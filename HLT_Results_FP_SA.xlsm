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charts/chart10.xml" ContentType="application/vnd.openxmlformats-officedocument.drawingml.chart+xml"/>
  <Override PartName="/xl/drawings/drawing8.xml" ContentType="application/vnd.openxmlformats-officedocument.drawingml.chartshapes+xml"/>
  <Override PartName="/xl/charts/chart11.xml" ContentType="application/vnd.openxmlformats-officedocument.drawingml.chart+xml"/>
  <Override PartName="/xl/drawings/drawing9.xml" ContentType="application/vnd.openxmlformats-officedocument.drawingml.chartshapes+xml"/>
  <Override PartName="/xl/charts/chart12.xml" ContentType="application/vnd.openxmlformats-officedocument.drawingml.chart+xml"/>
  <Override PartName="/xl/drawings/drawing10.xml" ContentType="application/vnd.openxmlformats-officedocument.drawingml.chartshapes+xml"/>
  <Override PartName="/xl/charts/chart13.xml" ContentType="application/vnd.openxmlformats-officedocument.drawingml.chart+xml"/>
  <Override PartName="/xl/drawings/drawing11.xml" ContentType="application/vnd.openxmlformats-officedocument.drawingml.chartshapes+xml"/>
  <Override PartName="/xl/charts/chart14.xml" ContentType="application/vnd.openxmlformats-officedocument.drawingml.chart+xml"/>
  <Override PartName="/xl/drawings/drawing12.xml" ContentType="application/vnd.openxmlformats-officedocument.drawingml.chartshapes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drawings/drawing14.xml" ContentType="application/vnd.openxmlformats-officedocument.drawingml.chartshapes+xml"/>
  <Override PartName="/xl/charts/chart17.xml" ContentType="application/vnd.openxmlformats-officedocument.drawingml.chart+xml"/>
  <Override PartName="/xl/drawings/drawing15.xml" ContentType="application/vnd.openxmlformats-officedocument.drawingml.chartshapes+xml"/>
  <Override PartName="/xl/charts/chart18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9.xml" ContentType="application/vnd.openxmlformats-officedocument.drawingml.chart+xml"/>
  <Override PartName="/xl/drawings/drawing18.xml" ContentType="application/vnd.openxmlformats-officedocument.drawingml.chartshapes+xml"/>
  <Override PartName="/xl/charts/chart20.xml" ContentType="application/vnd.openxmlformats-officedocument.drawingml.chart+xml"/>
  <Override PartName="/xl/drawings/drawing19.xml" ContentType="application/vnd.openxmlformats-officedocument.drawingml.chartshapes+xml"/>
  <Override PartName="/xl/charts/chart21.xml" ContentType="application/vnd.openxmlformats-officedocument.drawingml.chart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drawings/drawing22.xml" ContentType="application/vnd.openxmlformats-officedocument.drawingml.chartshapes+xml"/>
  <Override PartName="/xl/charts/chart24.xml" ContentType="application/vnd.openxmlformats-officedocument.drawingml.chart+xml"/>
  <Override PartName="/xl/drawings/drawing23.xml" ContentType="application/vnd.openxmlformats-officedocument.drawingml.chartshapes+xml"/>
  <Override PartName="/xl/charts/chart25.xml" ContentType="application/vnd.openxmlformats-officedocument.drawingml.chart+xml"/>
  <Override PartName="/xl/drawings/drawing24.xml" ContentType="application/vnd.openxmlformats-officedocument.drawingml.chartshapes+xml"/>
  <Override PartName="/xl/charts/chart26.xml" ContentType="application/vnd.openxmlformats-officedocument.drawingml.chart+xml"/>
  <Override PartName="/xl/drawings/drawing25.xml" ContentType="application/vnd.openxmlformats-officedocument.drawingml.chartshapes+xml"/>
  <Override PartName="/xl/charts/chart27.xml" ContentType="application/vnd.openxmlformats-officedocument.drawingml.chart+xml"/>
  <Override PartName="/xl/drawings/drawing26.xml" ContentType="application/vnd.openxmlformats-officedocument.drawingml.chartshapes+xml"/>
  <Override PartName="/xl/charts/chart28.xml" ContentType="application/vnd.openxmlformats-officedocument.drawingml.chart+xml"/>
  <Override PartName="/xl/drawings/drawing27.xml" ContentType="application/vnd.openxmlformats-officedocument.drawingml.chartshapes+xml"/>
  <Override PartName="/xl/charts/chart29.xml" ContentType="application/vnd.openxmlformats-officedocument.drawingml.chart+xml"/>
  <Override PartName="/xl/drawings/drawing28.xml" ContentType="application/vnd.openxmlformats-officedocument.drawingml.chartshapes+xml"/>
  <Override PartName="/xl/charts/chart30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32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drawings/drawing33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Shayegh\Dropbox\Research\Papers\2_Submitted\7-HLT_HealthEconomyClimate\Model\FixedPopulation\"/>
    </mc:Choice>
  </mc:AlternateContent>
  <bookViews>
    <workbookView xWindow="-795" yWindow="4800" windowWidth="15675" windowHeight="6915" tabRatio="818" activeTab="16"/>
  </bookViews>
  <sheets>
    <sheet name="RCP26" sheetId="19" r:id="rId1"/>
    <sheet name="RCP45" sheetId="34" r:id="rId2"/>
    <sheet name="RCP60" sheetId="12" r:id="rId3"/>
    <sheet name="RCP85" sheetId="35" r:id="rId4"/>
    <sheet name="R0" sheetId="23" r:id="rId5"/>
    <sheet name="R1" sheetId="42" r:id="rId6"/>
    <sheet name="R2" sheetId="43" r:id="rId7"/>
    <sheet name="R3" sheetId="44" r:id="rId8"/>
    <sheet name="R4" sheetId="45" r:id="rId9"/>
    <sheet name="R5" sheetId="46" r:id="rId10"/>
    <sheet name="R6" sheetId="47" r:id="rId11"/>
    <sheet name="R7" sheetId="48" r:id="rId12"/>
    <sheet name="R8" sheetId="49" r:id="rId13"/>
    <sheet name="R9" sheetId="50" r:id="rId14"/>
    <sheet name="Figure 1" sheetId="25" r:id="rId15"/>
    <sheet name="Figure 2" sheetId="62" r:id="rId16"/>
    <sheet name="Figure 3" sheetId="61" r:id="rId17"/>
    <sheet name="Figure S1" sheetId="41" r:id="rId18"/>
    <sheet name="Figure S2" sheetId="54" r:id="rId19"/>
    <sheet name="Figure S3" sheetId="58" r:id="rId20"/>
    <sheet name="Figure (3a)" sheetId="40" state="hidden" r:id="rId21"/>
  </sheets>
  <definedNames>
    <definedName name="solver_adj" localSheetId="0" hidden="1">'RCP26'!#REF!</definedName>
    <definedName name="solver_adj" localSheetId="1" hidden="1">'RCP45'!#REF!</definedName>
    <definedName name="solver_adj" localSheetId="2" hidden="1">'RCP60'!#REF!</definedName>
    <definedName name="solver_adj" localSheetId="3" hidden="1">'RCP85'!#REF!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0" hidden="1">'RCP26'!#REF!</definedName>
    <definedName name="solver_opt" localSheetId="1" hidden="1">'RCP45'!#REF!</definedName>
    <definedName name="solver_opt" localSheetId="2" hidden="1">'RCP60'!#REF!</definedName>
    <definedName name="solver_opt" localSheetId="3" hidden="1">'RCP85'!#REF!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typ" localSheetId="3" hidden="1">3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Z133" i="35" l="1"/>
  <c r="X133" i="35"/>
  <c r="T133" i="35"/>
  <c r="R133" i="35"/>
  <c r="M133" i="35"/>
  <c r="L133" i="35"/>
  <c r="N133" i="35" s="1"/>
  <c r="I133" i="35"/>
  <c r="H133" i="35"/>
  <c r="J133" i="35" s="1"/>
  <c r="E133" i="35"/>
  <c r="D133" i="35"/>
  <c r="C133" i="35"/>
  <c r="Z132" i="35"/>
  <c r="X132" i="35"/>
  <c r="T132" i="35"/>
  <c r="V132" i="35" s="1"/>
  <c r="R132" i="35"/>
  <c r="M132" i="35"/>
  <c r="L132" i="35"/>
  <c r="I132" i="35"/>
  <c r="J132" i="35" s="1"/>
  <c r="H132" i="35"/>
  <c r="E132" i="35"/>
  <c r="D132" i="35"/>
  <c r="C132" i="35"/>
  <c r="Z131" i="35"/>
  <c r="X131" i="35"/>
  <c r="T131" i="35"/>
  <c r="R131" i="35"/>
  <c r="M131" i="35"/>
  <c r="L131" i="35"/>
  <c r="I131" i="35"/>
  <c r="H131" i="35"/>
  <c r="E131" i="35"/>
  <c r="D131" i="35"/>
  <c r="F131" i="35" s="1"/>
  <c r="C131" i="35"/>
  <c r="Z130" i="35"/>
  <c r="X130" i="35"/>
  <c r="T130" i="35"/>
  <c r="R130" i="35"/>
  <c r="M130" i="35"/>
  <c r="N130" i="35" s="1"/>
  <c r="L130" i="35"/>
  <c r="I130" i="35"/>
  <c r="H130" i="35"/>
  <c r="E130" i="35"/>
  <c r="F130" i="35" s="1"/>
  <c r="D130" i="35"/>
  <c r="C130" i="35"/>
  <c r="Z129" i="35"/>
  <c r="X129" i="35"/>
  <c r="T129" i="35"/>
  <c r="R129" i="35"/>
  <c r="V129" i="35" s="1"/>
  <c r="M129" i="35"/>
  <c r="P129" i="35" s="1"/>
  <c r="L129" i="35"/>
  <c r="I129" i="35"/>
  <c r="H129" i="35"/>
  <c r="E129" i="35"/>
  <c r="D129" i="35"/>
  <c r="F129" i="35" s="1"/>
  <c r="C129" i="35"/>
  <c r="Z128" i="35"/>
  <c r="X128" i="35"/>
  <c r="T128" i="35"/>
  <c r="R128" i="35"/>
  <c r="M128" i="35"/>
  <c r="L128" i="35"/>
  <c r="I128" i="35"/>
  <c r="J128" i="35" s="1"/>
  <c r="H128" i="35"/>
  <c r="E128" i="35"/>
  <c r="D128" i="35"/>
  <c r="C128" i="35"/>
  <c r="Z127" i="35"/>
  <c r="X127" i="35"/>
  <c r="T127" i="35"/>
  <c r="R127" i="35"/>
  <c r="V127" i="35" s="1"/>
  <c r="M127" i="35"/>
  <c r="L127" i="35"/>
  <c r="N127" i="35" s="1"/>
  <c r="I127" i="35"/>
  <c r="H127" i="35"/>
  <c r="E127" i="35"/>
  <c r="D127" i="35"/>
  <c r="C127" i="35"/>
  <c r="Z126" i="35"/>
  <c r="X126" i="35"/>
  <c r="T126" i="35"/>
  <c r="R126" i="35"/>
  <c r="M126" i="35"/>
  <c r="L126" i="35"/>
  <c r="I126" i="35"/>
  <c r="H126" i="35"/>
  <c r="E126" i="35"/>
  <c r="F126" i="35" s="1"/>
  <c r="D126" i="35"/>
  <c r="C126" i="35"/>
  <c r="Z125" i="35"/>
  <c r="X125" i="35"/>
  <c r="T125" i="35"/>
  <c r="R125" i="35"/>
  <c r="M125" i="35"/>
  <c r="L125" i="35"/>
  <c r="P125" i="35" s="1"/>
  <c r="I125" i="35"/>
  <c r="H125" i="35"/>
  <c r="J125" i="35" s="1"/>
  <c r="E125" i="35"/>
  <c r="D125" i="35"/>
  <c r="C125" i="35"/>
  <c r="Z124" i="35"/>
  <c r="X124" i="35"/>
  <c r="T124" i="35"/>
  <c r="R124" i="35"/>
  <c r="M124" i="35"/>
  <c r="L124" i="35"/>
  <c r="I124" i="35"/>
  <c r="H124" i="35"/>
  <c r="E124" i="35"/>
  <c r="D124" i="35"/>
  <c r="C124" i="35"/>
  <c r="Z123" i="35"/>
  <c r="X123" i="35"/>
  <c r="Y123" i="35" s="1"/>
  <c r="T123" i="35"/>
  <c r="R123" i="35"/>
  <c r="M123" i="35"/>
  <c r="L123" i="35"/>
  <c r="I123" i="35"/>
  <c r="H123" i="35"/>
  <c r="E123" i="35"/>
  <c r="D123" i="35"/>
  <c r="F123" i="35" s="1"/>
  <c r="C123" i="35"/>
  <c r="Z122" i="35"/>
  <c r="X122" i="35"/>
  <c r="T122" i="35"/>
  <c r="R122" i="35"/>
  <c r="M122" i="35"/>
  <c r="N122" i="35" s="1"/>
  <c r="L122" i="35"/>
  <c r="I122" i="35"/>
  <c r="H122" i="35"/>
  <c r="E122" i="35"/>
  <c r="D122" i="35"/>
  <c r="C122" i="35"/>
  <c r="Z121" i="35"/>
  <c r="X121" i="35"/>
  <c r="T121" i="35"/>
  <c r="R121" i="35"/>
  <c r="V121" i="35" s="1"/>
  <c r="M121" i="35"/>
  <c r="L121" i="35"/>
  <c r="I121" i="35"/>
  <c r="H121" i="35"/>
  <c r="E121" i="35"/>
  <c r="D121" i="35"/>
  <c r="C121" i="35"/>
  <c r="Z120" i="35"/>
  <c r="X120" i="35"/>
  <c r="T120" i="35"/>
  <c r="R120" i="35"/>
  <c r="M120" i="35"/>
  <c r="L120" i="35"/>
  <c r="I120" i="35"/>
  <c r="J120" i="35" s="1"/>
  <c r="H120" i="35"/>
  <c r="E120" i="35"/>
  <c r="D120" i="35"/>
  <c r="C120" i="35"/>
  <c r="Z119" i="35"/>
  <c r="X119" i="35"/>
  <c r="T119" i="35"/>
  <c r="R119" i="35"/>
  <c r="M119" i="35"/>
  <c r="L119" i="35"/>
  <c r="P119" i="35" s="1"/>
  <c r="I119" i="35"/>
  <c r="H119" i="35"/>
  <c r="E119" i="35"/>
  <c r="D119" i="35"/>
  <c r="C119" i="35"/>
  <c r="Z118" i="35"/>
  <c r="X118" i="35"/>
  <c r="T118" i="35"/>
  <c r="R118" i="35"/>
  <c r="M118" i="35"/>
  <c r="L118" i="35"/>
  <c r="I118" i="35"/>
  <c r="H118" i="35"/>
  <c r="E118" i="35"/>
  <c r="F118" i="35" s="1"/>
  <c r="D118" i="35"/>
  <c r="C118" i="35"/>
  <c r="Z117" i="35"/>
  <c r="X117" i="35"/>
  <c r="T117" i="35"/>
  <c r="R117" i="35"/>
  <c r="M117" i="35"/>
  <c r="L117" i="35"/>
  <c r="I117" i="35"/>
  <c r="H117" i="35"/>
  <c r="J117" i="35" s="1"/>
  <c r="E117" i="35"/>
  <c r="D117" i="35"/>
  <c r="C117" i="35"/>
  <c r="Z116" i="35"/>
  <c r="X116" i="35"/>
  <c r="T116" i="35"/>
  <c r="V116" i="35" s="1"/>
  <c r="R116" i="35"/>
  <c r="M116" i="35"/>
  <c r="L116" i="35"/>
  <c r="I116" i="35"/>
  <c r="H116" i="35"/>
  <c r="E116" i="35"/>
  <c r="D116" i="35"/>
  <c r="F116" i="35" s="1"/>
  <c r="C116" i="35"/>
  <c r="Z115" i="35"/>
  <c r="X115" i="35"/>
  <c r="T115" i="35"/>
  <c r="V115" i="35" s="1"/>
  <c r="W115" i="35" s="1"/>
  <c r="R115" i="35"/>
  <c r="S133" i="35" s="1"/>
  <c r="M115" i="35"/>
  <c r="L115" i="35"/>
  <c r="I115" i="35"/>
  <c r="H115" i="35"/>
  <c r="E115" i="35"/>
  <c r="D115" i="35"/>
  <c r="F115" i="35" s="1"/>
  <c r="C115" i="35"/>
  <c r="Z114" i="35"/>
  <c r="X114" i="35"/>
  <c r="T114" i="35"/>
  <c r="R114" i="35"/>
  <c r="S132" i="35" s="1"/>
  <c r="M114" i="35"/>
  <c r="L114" i="35"/>
  <c r="I114" i="35"/>
  <c r="H114" i="35"/>
  <c r="E114" i="35"/>
  <c r="F114" i="35" s="1"/>
  <c r="D114" i="35"/>
  <c r="C114" i="35"/>
  <c r="Z113" i="35"/>
  <c r="AA131" i="35" s="1"/>
  <c r="X113" i="35"/>
  <c r="Y113" i="35" s="1"/>
  <c r="T113" i="35"/>
  <c r="R113" i="35"/>
  <c r="S131" i="35" s="1"/>
  <c r="M113" i="35"/>
  <c r="P113" i="35" s="1"/>
  <c r="L113" i="35"/>
  <c r="I113" i="35"/>
  <c r="H113" i="35"/>
  <c r="E113" i="35"/>
  <c r="D113" i="35"/>
  <c r="C113" i="35"/>
  <c r="Z112" i="35"/>
  <c r="AA118" i="35" s="1"/>
  <c r="X112" i="35"/>
  <c r="Y112" i="35" s="1"/>
  <c r="T112" i="35"/>
  <c r="R112" i="35"/>
  <c r="M112" i="35"/>
  <c r="L112" i="35"/>
  <c r="P112" i="35" s="1"/>
  <c r="I112" i="35"/>
  <c r="J112" i="35" s="1"/>
  <c r="H112" i="35"/>
  <c r="E112" i="35"/>
  <c r="D112" i="35"/>
  <c r="C112" i="35"/>
  <c r="Z111" i="35"/>
  <c r="AA129" i="35" s="1"/>
  <c r="X111" i="35"/>
  <c r="Y111" i="35" s="1"/>
  <c r="T111" i="35"/>
  <c r="R111" i="35"/>
  <c r="M111" i="35"/>
  <c r="L111" i="35"/>
  <c r="P111" i="35" s="1"/>
  <c r="I111" i="35"/>
  <c r="J111" i="35" s="1"/>
  <c r="H111" i="35"/>
  <c r="E111" i="35"/>
  <c r="D111" i="35"/>
  <c r="C111" i="35"/>
  <c r="Z110" i="35"/>
  <c r="X110" i="35"/>
  <c r="Y110" i="35" s="1"/>
  <c r="T110" i="35"/>
  <c r="R110" i="35"/>
  <c r="S122" i="35" s="1"/>
  <c r="M110" i="35"/>
  <c r="L110" i="35"/>
  <c r="I110" i="35"/>
  <c r="H110" i="35"/>
  <c r="E110" i="35"/>
  <c r="F110" i="35" s="1"/>
  <c r="D110" i="35"/>
  <c r="C110" i="35"/>
  <c r="AA126" i="35"/>
  <c r="N125" i="35"/>
  <c r="P114" i="35"/>
  <c r="Z133" i="12"/>
  <c r="X133" i="12"/>
  <c r="T133" i="12"/>
  <c r="R133" i="12"/>
  <c r="M133" i="12"/>
  <c r="L133" i="12"/>
  <c r="I133" i="12"/>
  <c r="H133" i="12"/>
  <c r="E133" i="12"/>
  <c r="D133" i="12"/>
  <c r="C133" i="12"/>
  <c r="Z132" i="12"/>
  <c r="X132" i="12"/>
  <c r="Y132" i="12" s="1"/>
  <c r="T132" i="12"/>
  <c r="R132" i="12"/>
  <c r="M132" i="12"/>
  <c r="L132" i="12"/>
  <c r="I132" i="12"/>
  <c r="H132" i="12"/>
  <c r="E132" i="12"/>
  <c r="D132" i="12"/>
  <c r="F132" i="12" s="1"/>
  <c r="C132" i="12"/>
  <c r="Z131" i="12"/>
  <c r="X131" i="12"/>
  <c r="T131" i="12"/>
  <c r="V131" i="12" s="1"/>
  <c r="R131" i="12"/>
  <c r="M131" i="12"/>
  <c r="L131" i="12"/>
  <c r="I131" i="12"/>
  <c r="H131" i="12"/>
  <c r="E131" i="12"/>
  <c r="D131" i="12"/>
  <c r="C131" i="12"/>
  <c r="Z130" i="12"/>
  <c r="X130" i="12"/>
  <c r="T130" i="12"/>
  <c r="R130" i="12"/>
  <c r="V130" i="12" s="1"/>
  <c r="M130" i="12"/>
  <c r="P130" i="12" s="1"/>
  <c r="L130" i="12"/>
  <c r="I130" i="12"/>
  <c r="H130" i="12"/>
  <c r="E130" i="12"/>
  <c r="D130" i="12"/>
  <c r="C130" i="12"/>
  <c r="Z129" i="12"/>
  <c r="X129" i="12"/>
  <c r="T129" i="12"/>
  <c r="R129" i="12"/>
  <c r="V129" i="12" s="1"/>
  <c r="M129" i="12"/>
  <c r="P129" i="12" s="1"/>
  <c r="L129" i="12"/>
  <c r="I129" i="12"/>
  <c r="H129" i="12"/>
  <c r="E129" i="12"/>
  <c r="D129" i="12"/>
  <c r="C129" i="12"/>
  <c r="Z128" i="12"/>
  <c r="X128" i="12"/>
  <c r="T128" i="12"/>
  <c r="R128" i="12"/>
  <c r="M128" i="12"/>
  <c r="L128" i="12"/>
  <c r="P128" i="12" s="1"/>
  <c r="I128" i="12"/>
  <c r="J128" i="12" s="1"/>
  <c r="H128" i="12"/>
  <c r="E128" i="12"/>
  <c r="D128" i="12"/>
  <c r="C128" i="12"/>
  <c r="Z127" i="12"/>
  <c r="X127" i="12"/>
  <c r="T127" i="12"/>
  <c r="R127" i="12"/>
  <c r="M127" i="12"/>
  <c r="L127" i="12"/>
  <c r="I127" i="12"/>
  <c r="H127" i="12"/>
  <c r="E127" i="12"/>
  <c r="F127" i="12" s="1"/>
  <c r="D127" i="12"/>
  <c r="C127" i="12"/>
  <c r="Z126" i="12"/>
  <c r="X126" i="12"/>
  <c r="T126" i="12"/>
  <c r="R126" i="12"/>
  <c r="M126" i="12"/>
  <c r="L126" i="12"/>
  <c r="I126" i="12"/>
  <c r="H126" i="12"/>
  <c r="J126" i="12" s="1"/>
  <c r="E126" i="12"/>
  <c r="D126" i="12"/>
  <c r="C126" i="12"/>
  <c r="Z125" i="12"/>
  <c r="X125" i="12"/>
  <c r="T125" i="12"/>
  <c r="V125" i="12" s="1"/>
  <c r="R125" i="12"/>
  <c r="M125" i="12"/>
  <c r="L125" i="12"/>
  <c r="I125" i="12"/>
  <c r="H125" i="12"/>
  <c r="E125" i="12"/>
  <c r="D125" i="12"/>
  <c r="C125" i="12"/>
  <c r="Z124" i="12"/>
  <c r="X124" i="12"/>
  <c r="T124" i="12"/>
  <c r="R124" i="12"/>
  <c r="M124" i="12"/>
  <c r="L124" i="12"/>
  <c r="I124" i="12"/>
  <c r="H124" i="12"/>
  <c r="E124" i="12"/>
  <c r="D124" i="12"/>
  <c r="F124" i="12" s="1"/>
  <c r="C124" i="12"/>
  <c r="Z123" i="12"/>
  <c r="X123" i="12"/>
  <c r="T123" i="12"/>
  <c r="R123" i="12"/>
  <c r="M123" i="12"/>
  <c r="P123" i="12" s="1"/>
  <c r="L123" i="12"/>
  <c r="I123" i="12"/>
  <c r="H123" i="12"/>
  <c r="E123" i="12"/>
  <c r="D123" i="12"/>
  <c r="C123" i="12"/>
  <c r="Z122" i="12"/>
  <c r="X122" i="12"/>
  <c r="T122" i="12"/>
  <c r="R122" i="12"/>
  <c r="V122" i="12" s="1"/>
  <c r="M122" i="12"/>
  <c r="P122" i="12" s="1"/>
  <c r="L122" i="12"/>
  <c r="I122" i="12"/>
  <c r="H122" i="12"/>
  <c r="E122" i="12"/>
  <c r="D122" i="12"/>
  <c r="C122" i="12"/>
  <c r="Z121" i="12"/>
  <c r="AA121" i="12" s="1"/>
  <c r="X121" i="12"/>
  <c r="T121" i="12"/>
  <c r="R121" i="12"/>
  <c r="M121" i="12"/>
  <c r="L121" i="12"/>
  <c r="I121" i="12"/>
  <c r="J121" i="12" s="1"/>
  <c r="H121" i="12"/>
  <c r="E121" i="12"/>
  <c r="F121" i="12" s="1"/>
  <c r="D121" i="12"/>
  <c r="C121" i="12"/>
  <c r="Z120" i="12"/>
  <c r="X120" i="12"/>
  <c r="T120" i="12"/>
  <c r="R120" i="12"/>
  <c r="M120" i="12"/>
  <c r="L120" i="12"/>
  <c r="P120" i="12" s="1"/>
  <c r="I120" i="12"/>
  <c r="H120" i="12"/>
  <c r="E120" i="12"/>
  <c r="D120" i="12"/>
  <c r="C120" i="12"/>
  <c r="Z119" i="12"/>
  <c r="X119" i="12"/>
  <c r="T119" i="12"/>
  <c r="V119" i="12" s="1"/>
  <c r="R119" i="12"/>
  <c r="M119" i="12"/>
  <c r="L119" i="12"/>
  <c r="I119" i="12"/>
  <c r="H119" i="12"/>
  <c r="E119" i="12"/>
  <c r="D119" i="12"/>
  <c r="C119" i="12"/>
  <c r="Z118" i="12"/>
  <c r="X118" i="12"/>
  <c r="T118" i="12"/>
  <c r="R118" i="12"/>
  <c r="M118" i="12"/>
  <c r="L118" i="12"/>
  <c r="I118" i="12"/>
  <c r="H118" i="12"/>
  <c r="E118" i="12"/>
  <c r="D118" i="12"/>
  <c r="C118" i="12"/>
  <c r="Z117" i="12"/>
  <c r="X117" i="12"/>
  <c r="T117" i="12"/>
  <c r="V117" i="12" s="1"/>
  <c r="R117" i="12"/>
  <c r="M117" i="12"/>
  <c r="P117" i="12" s="1"/>
  <c r="L117" i="12"/>
  <c r="I117" i="12"/>
  <c r="H117" i="12"/>
  <c r="E117" i="12"/>
  <c r="D117" i="12"/>
  <c r="C117" i="12"/>
  <c r="Z116" i="12"/>
  <c r="X116" i="12"/>
  <c r="T116" i="12"/>
  <c r="V116" i="12" s="1"/>
  <c r="R116" i="12"/>
  <c r="M116" i="12"/>
  <c r="L116" i="12"/>
  <c r="I116" i="12"/>
  <c r="H116" i="12"/>
  <c r="E116" i="12"/>
  <c r="D116" i="12"/>
  <c r="C116" i="12"/>
  <c r="Z115" i="12"/>
  <c r="X115" i="12"/>
  <c r="T115" i="12"/>
  <c r="V115" i="12" s="1"/>
  <c r="W115" i="12" s="1"/>
  <c r="R115" i="12"/>
  <c r="S127" i="12" s="1"/>
  <c r="M115" i="12"/>
  <c r="P115" i="12" s="1"/>
  <c r="L115" i="12"/>
  <c r="I115" i="12"/>
  <c r="H115" i="12"/>
  <c r="E115" i="12"/>
  <c r="D115" i="12"/>
  <c r="C115" i="12"/>
  <c r="Z114" i="12"/>
  <c r="X114" i="12"/>
  <c r="T114" i="12"/>
  <c r="R114" i="12"/>
  <c r="S132" i="12" s="1"/>
  <c r="M114" i="12"/>
  <c r="L114" i="12"/>
  <c r="I114" i="12"/>
  <c r="H114" i="12"/>
  <c r="E114" i="12"/>
  <c r="D114" i="12"/>
  <c r="C114" i="12"/>
  <c r="Z113" i="12"/>
  <c r="AA125" i="12" s="1"/>
  <c r="X113" i="12"/>
  <c r="Y113" i="12" s="1"/>
  <c r="T113" i="12"/>
  <c r="R113" i="12"/>
  <c r="S131" i="12" s="1"/>
  <c r="M113" i="12"/>
  <c r="L113" i="12"/>
  <c r="I113" i="12"/>
  <c r="J113" i="12" s="1"/>
  <c r="H113" i="12"/>
  <c r="E113" i="12"/>
  <c r="F113" i="12" s="1"/>
  <c r="D113" i="12"/>
  <c r="C113" i="12"/>
  <c r="Z112" i="12"/>
  <c r="AA124" i="12" s="1"/>
  <c r="X112" i="12"/>
  <c r="Y112" i="12" s="1"/>
  <c r="T112" i="12"/>
  <c r="R112" i="12"/>
  <c r="M112" i="12"/>
  <c r="L112" i="12"/>
  <c r="I112" i="12"/>
  <c r="H112" i="12"/>
  <c r="E112" i="12"/>
  <c r="D112" i="12"/>
  <c r="C112" i="12"/>
  <c r="Z111" i="12"/>
  <c r="X111" i="12"/>
  <c r="Y111" i="12" s="1"/>
  <c r="T111" i="12"/>
  <c r="V111" i="12" s="1"/>
  <c r="W111" i="12" s="1"/>
  <c r="R111" i="12"/>
  <c r="M111" i="12"/>
  <c r="L111" i="12"/>
  <c r="I111" i="12"/>
  <c r="H111" i="12"/>
  <c r="E111" i="12"/>
  <c r="F111" i="12" s="1"/>
  <c r="D111" i="12"/>
  <c r="C111" i="12"/>
  <c r="Z110" i="12"/>
  <c r="AA116" i="12" s="1"/>
  <c r="X110" i="12"/>
  <c r="Y110" i="12" s="1"/>
  <c r="T110" i="12"/>
  <c r="R110" i="12"/>
  <c r="M110" i="12"/>
  <c r="L110" i="12"/>
  <c r="I110" i="12"/>
  <c r="H110" i="12"/>
  <c r="E110" i="12"/>
  <c r="D110" i="12"/>
  <c r="C110" i="12"/>
  <c r="F120" i="12"/>
  <c r="Z133" i="34"/>
  <c r="X133" i="34"/>
  <c r="T133" i="34"/>
  <c r="R133" i="34"/>
  <c r="V133" i="34" s="1"/>
  <c r="M133" i="34"/>
  <c r="L133" i="34"/>
  <c r="I133" i="34"/>
  <c r="H133" i="34"/>
  <c r="E133" i="34"/>
  <c r="D133" i="34"/>
  <c r="C133" i="34"/>
  <c r="Z132" i="34"/>
  <c r="X132" i="34"/>
  <c r="T132" i="34"/>
  <c r="R132" i="34"/>
  <c r="M132" i="34"/>
  <c r="L132" i="34"/>
  <c r="I132" i="34"/>
  <c r="H132" i="34"/>
  <c r="E132" i="34"/>
  <c r="D132" i="34"/>
  <c r="C132" i="34"/>
  <c r="Z131" i="34"/>
  <c r="X131" i="34"/>
  <c r="T131" i="34"/>
  <c r="R131" i="34"/>
  <c r="M131" i="34"/>
  <c r="L131" i="34"/>
  <c r="P131" i="34" s="1"/>
  <c r="I131" i="34"/>
  <c r="H131" i="34"/>
  <c r="E131" i="34"/>
  <c r="D131" i="34"/>
  <c r="C131" i="34"/>
  <c r="Z130" i="34"/>
  <c r="X130" i="34"/>
  <c r="T130" i="34"/>
  <c r="R130" i="34"/>
  <c r="M130" i="34"/>
  <c r="L130" i="34"/>
  <c r="I130" i="34"/>
  <c r="J130" i="34" s="1"/>
  <c r="H130" i="34"/>
  <c r="E130" i="34"/>
  <c r="D130" i="34"/>
  <c r="C130" i="34"/>
  <c r="Z129" i="34"/>
  <c r="X129" i="34"/>
  <c r="T129" i="34"/>
  <c r="R129" i="34"/>
  <c r="M129" i="34"/>
  <c r="L129" i="34"/>
  <c r="I129" i="34"/>
  <c r="H129" i="34"/>
  <c r="J129" i="34" s="1"/>
  <c r="E129" i="34"/>
  <c r="D129" i="34"/>
  <c r="F129" i="34" s="1"/>
  <c r="C129" i="34"/>
  <c r="Z128" i="34"/>
  <c r="X128" i="34"/>
  <c r="T128" i="34"/>
  <c r="R128" i="34"/>
  <c r="M128" i="34"/>
  <c r="L128" i="34"/>
  <c r="I128" i="34"/>
  <c r="H128" i="34"/>
  <c r="E128" i="34"/>
  <c r="D128" i="34"/>
  <c r="C128" i="34"/>
  <c r="Z127" i="34"/>
  <c r="X127" i="34"/>
  <c r="T127" i="34"/>
  <c r="R127" i="34"/>
  <c r="M127" i="34"/>
  <c r="L127" i="34"/>
  <c r="I127" i="34"/>
  <c r="H127" i="34"/>
  <c r="E127" i="34"/>
  <c r="D127" i="34"/>
  <c r="C127" i="34"/>
  <c r="Z126" i="34"/>
  <c r="X126" i="34"/>
  <c r="T126" i="34"/>
  <c r="R126" i="34"/>
  <c r="M126" i="34"/>
  <c r="L126" i="34"/>
  <c r="I126" i="34"/>
  <c r="H126" i="34"/>
  <c r="E126" i="34"/>
  <c r="D126" i="34"/>
  <c r="C126" i="34"/>
  <c r="Z125" i="34"/>
  <c r="X125" i="34"/>
  <c r="T125" i="34"/>
  <c r="R125" i="34"/>
  <c r="V125" i="34" s="1"/>
  <c r="M125" i="34"/>
  <c r="L125" i="34"/>
  <c r="I125" i="34"/>
  <c r="H125" i="34"/>
  <c r="E125" i="34"/>
  <c r="D125" i="34"/>
  <c r="C125" i="34"/>
  <c r="Z124" i="34"/>
  <c r="X124" i="34"/>
  <c r="T124" i="34"/>
  <c r="R124" i="34"/>
  <c r="M124" i="34"/>
  <c r="L124" i="34"/>
  <c r="P124" i="34" s="1"/>
  <c r="I124" i="34"/>
  <c r="H124" i="34"/>
  <c r="E124" i="34"/>
  <c r="D124" i="34"/>
  <c r="C124" i="34"/>
  <c r="Z123" i="34"/>
  <c r="X123" i="34"/>
  <c r="T123" i="34"/>
  <c r="R123" i="34"/>
  <c r="M123" i="34"/>
  <c r="L123" i="34"/>
  <c r="I123" i="34"/>
  <c r="H123" i="34"/>
  <c r="E123" i="34"/>
  <c r="D123" i="34"/>
  <c r="C123" i="34"/>
  <c r="Z122" i="34"/>
  <c r="X122" i="34"/>
  <c r="T122" i="34"/>
  <c r="V122" i="34" s="1"/>
  <c r="R122" i="34"/>
  <c r="M122" i="34"/>
  <c r="L122" i="34"/>
  <c r="I122" i="34"/>
  <c r="H122" i="34"/>
  <c r="E122" i="34"/>
  <c r="D122" i="34"/>
  <c r="C122" i="34"/>
  <c r="Z121" i="34"/>
  <c r="X121" i="34"/>
  <c r="T121" i="34"/>
  <c r="R121" i="34"/>
  <c r="M121" i="34"/>
  <c r="L121" i="34"/>
  <c r="P121" i="34" s="1"/>
  <c r="I121" i="34"/>
  <c r="H121" i="34"/>
  <c r="E121" i="34"/>
  <c r="D121" i="34"/>
  <c r="C121" i="34"/>
  <c r="Z120" i="34"/>
  <c r="X120" i="34"/>
  <c r="T120" i="34"/>
  <c r="R120" i="34"/>
  <c r="M120" i="34"/>
  <c r="P120" i="34" s="1"/>
  <c r="L120" i="34"/>
  <c r="I120" i="34"/>
  <c r="H120" i="34"/>
  <c r="E120" i="34"/>
  <c r="D120" i="34"/>
  <c r="C120" i="34"/>
  <c r="Z119" i="34"/>
  <c r="X119" i="34"/>
  <c r="T119" i="34"/>
  <c r="U119" i="34" s="1"/>
  <c r="R119" i="34"/>
  <c r="M119" i="34"/>
  <c r="L119" i="34"/>
  <c r="I119" i="34"/>
  <c r="H119" i="34"/>
  <c r="E119" i="34"/>
  <c r="D119" i="34"/>
  <c r="C119" i="34"/>
  <c r="Z118" i="34"/>
  <c r="X118" i="34"/>
  <c r="T118" i="34"/>
  <c r="R118" i="34"/>
  <c r="M118" i="34"/>
  <c r="L118" i="34"/>
  <c r="I118" i="34"/>
  <c r="H118" i="34"/>
  <c r="E118" i="34"/>
  <c r="D118" i="34"/>
  <c r="C118" i="34"/>
  <c r="Z117" i="34"/>
  <c r="X117" i="34"/>
  <c r="T117" i="34"/>
  <c r="R117" i="34"/>
  <c r="M117" i="34"/>
  <c r="L117" i="34"/>
  <c r="I117" i="34"/>
  <c r="H117" i="34"/>
  <c r="E117" i="34"/>
  <c r="D117" i="34"/>
  <c r="C117" i="34"/>
  <c r="Z116" i="34"/>
  <c r="X116" i="34"/>
  <c r="T116" i="34"/>
  <c r="R116" i="34"/>
  <c r="M116" i="34"/>
  <c r="L116" i="34"/>
  <c r="I116" i="34"/>
  <c r="H116" i="34"/>
  <c r="E116" i="34"/>
  <c r="D116" i="34"/>
  <c r="C116" i="34"/>
  <c r="Z115" i="34"/>
  <c r="AA133" i="34" s="1"/>
  <c r="X115" i="34"/>
  <c r="Y115" i="34" s="1"/>
  <c r="T115" i="34"/>
  <c r="R115" i="34"/>
  <c r="M115" i="34"/>
  <c r="L115" i="34"/>
  <c r="P115" i="34" s="1"/>
  <c r="I115" i="34"/>
  <c r="H115" i="34"/>
  <c r="J115" i="34" s="1"/>
  <c r="E115" i="34"/>
  <c r="F115" i="34" s="1"/>
  <c r="D115" i="34"/>
  <c r="C115" i="34"/>
  <c r="Z114" i="34"/>
  <c r="X114" i="34"/>
  <c r="T114" i="34"/>
  <c r="V114" i="34" s="1"/>
  <c r="W114" i="34" s="1"/>
  <c r="R114" i="34"/>
  <c r="S120" i="34" s="1"/>
  <c r="M114" i="34"/>
  <c r="L114" i="34"/>
  <c r="I114" i="34"/>
  <c r="H114" i="34"/>
  <c r="E114" i="34"/>
  <c r="D114" i="34"/>
  <c r="C114" i="34"/>
  <c r="Z113" i="34"/>
  <c r="X113" i="34"/>
  <c r="T113" i="34"/>
  <c r="V113" i="34" s="1"/>
  <c r="W113" i="34" s="1"/>
  <c r="R113" i="34"/>
  <c r="M113" i="34"/>
  <c r="L113" i="34"/>
  <c r="I113" i="34"/>
  <c r="H113" i="34"/>
  <c r="E113" i="34"/>
  <c r="D113" i="34"/>
  <c r="F113" i="34" s="1"/>
  <c r="C113" i="34"/>
  <c r="Z112" i="34"/>
  <c r="X112" i="34"/>
  <c r="Y112" i="34" s="1"/>
  <c r="T112" i="34"/>
  <c r="R112" i="34"/>
  <c r="M112" i="34"/>
  <c r="L112" i="34"/>
  <c r="I112" i="34"/>
  <c r="H112" i="34"/>
  <c r="E112" i="34"/>
  <c r="D112" i="34"/>
  <c r="C112" i="34"/>
  <c r="Z111" i="34"/>
  <c r="X111" i="34"/>
  <c r="Y111" i="34" s="1"/>
  <c r="T111" i="34"/>
  <c r="R111" i="34"/>
  <c r="M111" i="34"/>
  <c r="P111" i="34" s="1"/>
  <c r="L111" i="34"/>
  <c r="I111" i="34"/>
  <c r="H111" i="34"/>
  <c r="E111" i="34"/>
  <c r="D111" i="34"/>
  <c r="C111" i="34"/>
  <c r="Z110" i="34"/>
  <c r="AA122" i="34" s="1"/>
  <c r="X110" i="34"/>
  <c r="T110" i="34"/>
  <c r="R110" i="34"/>
  <c r="S128" i="34" s="1"/>
  <c r="M110" i="34"/>
  <c r="L110" i="34"/>
  <c r="I110" i="34"/>
  <c r="H110" i="34"/>
  <c r="E110" i="34"/>
  <c r="D110" i="34"/>
  <c r="C110" i="34"/>
  <c r="F120" i="34"/>
  <c r="V118" i="34"/>
  <c r="Y133" i="34"/>
  <c r="AA130" i="34"/>
  <c r="Y130" i="34"/>
  <c r="U128" i="34"/>
  <c r="V133" i="35"/>
  <c r="P133" i="35"/>
  <c r="AA132" i="35"/>
  <c r="Y132" i="35"/>
  <c r="F132" i="35"/>
  <c r="V131" i="35"/>
  <c r="P131" i="35"/>
  <c r="N131" i="35"/>
  <c r="V130" i="35"/>
  <c r="S130" i="35"/>
  <c r="J129" i="35"/>
  <c r="V128" i="35"/>
  <c r="P128" i="35"/>
  <c r="N128" i="35"/>
  <c r="AA127" i="35"/>
  <c r="F127" i="35"/>
  <c r="P126" i="35"/>
  <c r="J126" i="35"/>
  <c r="V125" i="35"/>
  <c r="S124" i="35"/>
  <c r="J124" i="35"/>
  <c r="F124" i="35"/>
  <c r="P123" i="35"/>
  <c r="N123" i="35"/>
  <c r="Y122" i="35"/>
  <c r="V122" i="35"/>
  <c r="P122" i="35"/>
  <c r="F122" i="35"/>
  <c r="AA121" i="35"/>
  <c r="J121" i="35"/>
  <c r="V120" i="35"/>
  <c r="S120" i="35"/>
  <c r="P120" i="35"/>
  <c r="N120" i="35"/>
  <c r="AA119" i="35"/>
  <c r="F119" i="35"/>
  <c r="P118" i="35"/>
  <c r="N118" i="35"/>
  <c r="J118" i="35"/>
  <c r="AA117" i="35"/>
  <c r="Y117" i="35"/>
  <c r="V117" i="35"/>
  <c r="P117" i="35"/>
  <c r="Y116" i="35"/>
  <c r="J116" i="35"/>
  <c r="P115" i="35"/>
  <c r="V114" i="35"/>
  <c r="W114" i="35" s="1"/>
  <c r="V112" i="35"/>
  <c r="W112" i="35" s="1"/>
  <c r="F111" i="35"/>
  <c r="J110" i="35"/>
  <c r="S133" i="12"/>
  <c r="AA132" i="12"/>
  <c r="V132" i="12"/>
  <c r="Y128" i="12"/>
  <c r="AA127" i="12"/>
  <c r="AA126" i="12"/>
  <c r="P126" i="12"/>
  <c r="Y125" i="12"/>
  <c r="V124" i="12"/>
  <c r="J120" i="12"/>
  <c r="F119" i="12"/>
  <c r="Y117" i="12"/>
  <c r="S117" i="12"/>
  <c r="P114" i="12"/>
  <c r="J112" i="12"/>
  <c r="F133" i="34"/>
  <c r="N132" i="34"/>
  <c r="P132" i="34"/>
  <c r="J132" i="34"/>
  <c r="V131" i="34"/>
  <c r="F130" i="34"/>
  <c r="V129" i="34"/>
  <c r="P129" i="34"/>
  <c r="F128" i="34"/>
  <c r="U126" i="34"/>
  <c r="P126" i="34"/>
  <c r="AA121" i="34"/>
  <c r="S121" i="34"/>
  <c r="AA120" i="34"/>
  <c r="V120" i="34"/>
  <c r="AA119" i="34"/>
  <c r="J119" i="34"/>
  <c r="P118" i="34"/>
  <c r="F117" i="34"/>
  <c r="F114" i="34"/>
  <c r="N113" i="34"/>
  <c r="O113" i="34" s="1"/>
  <c r="Z133" i="19"/>
  <c r="Z132" i="19"/>
  <c r="Z131" i="19"/>
  <c r="Z130" i="19"/>
  <c r="Z129" i="19"/>
  <c r="Z128" i="19"/>
  <c r="X133" i="19"/>
  <c r="X132" i="19"/>
  <c r="X131" i="19"/>
  <c r="X130" i="19"/>
  <c r="X129" i="19"/>
  <c r="X128" i="19"/>
  <c r="T133" i="19"/>
  <c r="T132" i="19"/>
  <c r="T131" i="19"/>
  <c r="T130" i="19"/>
  <c r="T129" i="19"/>
  <c r="T128" i="19"/>
  <c r="R133" i="19"/>
  <c r="R132" i="19"/>
  <c r="R131" i="19"/>
  <c r="R130" i="19"/>
  <c r="R129" i="19"/>
  <c r="R128" i="19"/>
  <c r="M133" i="19"/>
  <c r="M132" i="19"/>
  <c r="M131" i="19"/>
  <c r="M130" i="19"/>
  <c r="M129" i="19"/>
  <c r="M128" i="19"/>
  <c r="L133" i="19"/>
  <c r="L132" i="19"/>
  <c r="L131" i="19"/>
  <c r="L130" i="19"/>
  <c r="L129" i="19"/>
  <c r="L128" i="19"/>
  <c r="I133" i="19"/>
  <c r="I132" i="19"/>
  <c r="I131" i="19"/>
  <c r="I130" i="19"/>
  <c r="I129" i="19"/>
  <c r="I128" i="19"/>
  <c r="H133" i="19"/>
  <c r="H132" i="19"/>
  <c r="H131" i="19"/>
  <c r="H130" i="19"/>
  <c r="H129" i="19"/>
  <c r="H128" i="19"/>
  <c r="J128" i="19" s="1"/>
  <c r="E133" i="19"/>
  <c r="E132" i="19"/>
  <c r="E131" i="19"/>
  <c r="E130" i="19"/>
  <c r="E129" i="19"/>
  <c r="E128" i="19"/>
  <c r="D133" i="19"/>
  <c r="D132" i="19"/>
  <c r="D131" i="19"/>
  <c r="D130" i="19"/>
  <c r="D129" i="19"/>
  <c r="F129" i="19" s="1"/>
  <c r="D128" i="19"/>
  <c r="C133" i="19"/>
  <c r="C132" i="19"/>
  <c r="C131" i="19"/>
  <c r="C130" i="19"/>
  <c r="C129" i="19"/>
  <c r="C128" i="19"/>
  <c r="Z127" i="19"/>
  <c r="Z126" i="19"/>
  <c r="Z125" i="19"/>
  <c r="Z124" i="19"/>
  <c r="Z123" i="19"/>
  <c r="Z122" i="19"/>
  <c r="X127" i="19"/>
  <c r="X126" i="19"/>
  <c r="X125" i="19"/>
  <c r="X124" i="19"/>
  <c r="X123" i="19"/>
  <c r="X122" i="19"/>
  <c r="T127" i="19"/>
  <c r="T126" i="19"/>
  <c r="T125" i="19"/>
  <c r="T124" i="19"/>
  <c r="T123" i="19"/>
  <c r="T122" i="19"/>
  <c r="R127" i="19"/>
  <c r="R126" i="19"/>
  <c r="R125" i="19"/>
  <c r="R124" i="19"/>
  <c r="R123" i="19"/>
  <c r="R122" i="19"/>
  <c r="M127" i="19"/>
  <c r="M126" i="19"/>
  <c r="M125" i="19"/>
  <c r="M124" i="19"/>
  <c r="M123" i="19"/>
  <c r="M122" i="19"/>
  <c r="L127" i="19"/>
  <c r="L126" i="19"/>
  <c r="L125" i="19"/>
  <c r="L124" i="19"/>
  <c r="L123" i="19"/>
  <c r="L122" i="19"/>
  <c r="I127" i="19"/>
  <c r="I126" i="19"/>
  <c r="I125" i="19"/>
  <c r="I124" i="19"/>
  <c r="I123" i="19"/>
  <c r="I122" i="19"/>
  <c r="J122" i="19" s="1"/>
  <c r="H127" i="19"/>
  <c r="H126" i="19"/>
  <c r="H125" i="19"/>
  <c r="H124" i="19"/>
  <c r="J124" i="19" s="1"/>
  <c r="H123" i="19"/>
  <c r="H122" i="19"/>
  <c r="E127" i="19"/>
  <c r="E126" i="19"/>
  <c r="E125" i="19"/>
  <c r="E124" i="19"/>
  <c r="E123" i="19"/>
  <c r="E122" i="19"/>
  <c r="D127" i="19"/>
  <c r="D126" i="19"/>
  <c r="D125" i="19"/>
  <c r="D124" i="19"/>
  <c r="D123" i="19"/>
  <c r="D122" i="19"/>
  <c r="C127" i="19"/>
  <c r="C126" i="19"/>
  <c r="C125" i="19"/>
  <c r="C124" i="19"/>
  <c r="C123" i="19"/>
  <c r="C122" i="19"/>
  <c r="V131" i="19"/>
  <c r="J126" i="19" l="1"/>
  <c r="P123" i="19"/>
  <c r="J123" i="19"/>
  <c r="V123" i="12"/>
  <c r="F125" i="12"/>
  <c r="J127" i="12"/>
  <c r="J123" i="34"/>
  <c r="P125" i="34"/>
  <c r="V127" i="34"/>
  <c r="AA117" i="34"/>
  <c r="S118" i="34"/>
  <c r="P121" i="12"/>
  <c r="P117" i="34"/>
  <c r="F121" i="34"/>
  <c r="F118" i="12"/>
  <c r="F117" i="35"/>
  <c r="G117" i="35" s="1"/>
  <c r="J119" i="35"/>
  <c r="V130" i="19"/>
  <c r="J131" i="35"/>
  <c r="F130" i="19"/>
  <c r="J131" i="34"/>
  <c r="V123" i="19"/>
  <c r="Y117" i="34"/>
  <c r="F111" i="34"/>
  <c r="G123" i="34" s="1"/>
  <c r="J113" i="34"/>
  <c r="V117" i="34"/>
  <c r="W117" i="34" s="1"/>
  <c r="F119" i="34"/>
  <c r="P123" i="34"/>
  <c r="Q123" i="34" s="1"/>
  <c r="O123" i="35"/>
  <c r="P110" i="34"/>
  <c r="J116" i="34"/>
  <c r="Y129" i="35"/>
  <c r="O133" i="35"/>
  <c r="F114" i="12"/>
  <c r="G132" i="12" s="1"/>
  <c r="N117" i="35"/>
  <c r="O117" i="35" s="1"/>
  <c r="V119" i="35"/>
  <c r="F121" i="35"/>
  <c r="Y123" i="34"/>
  <c r="S126" i="12"/>
  <c r="F133" i="12"/>
  <c r="G133" i="12" s="1"/>
  <c r="AA133" i="12"/>
  <c r="O127" i="35"/>
  <c r="U121" i="34"/>
  <c r="F123" i="34"/>
  <c r="P127" i="34"/>
  <c r="F131" i="34"/>
  <c r="G131" i="34" s="1"/>
  <c r="AA131" i="34"/>
  <c r="S132" i="34"/>
  <c r="J133" i="34"/>
  <c r="S117" i="34"/>
  <c r="S119" i="34"/>
  <c r="Y121" i="34"/>
  <c r="U124" i="34"/>
  <c r="AA126" i="34"/>
  <c r="Y129" i="34"/>
  <c r="P133" i="34"/>
  <c r="Q133" i="34" s="1"/>
  <c r="P110" i="35"/>
  <c r="Q128" i="35" s="1"/>
  <c r="N126" i="35"/>
  <c r="AA124" i="35"/>
  <c r="J110" i="34"/>
  <c r="P112" i="34"/>
  <c r="Q118" i="34" s="1"/>
  <c r="F116" i="34"/>
  <c r="F124" i="34"/>
  <c r="J126" i="34"/>
  <c r="F129" i="12"/>
  <c r="J131" i="12"/>
  <c r="K131" i="12" s="1"/>
  <c r="P133" i="12"/>
  <c r="Y120" i="35"/>
  <c r="P121" i="35"/>
  <c r="Q121" i="35" s="1"/>
  <c r="J125" i="19"/>
  <c r="P133" i="19"/>
  <c r="F128" i="19"/>
  <c r="Y133" i="35"/>
  <c r="Y115" i="35"/>
  <c r="J123" i="35"/>
  <c r="F113" i="35"/>
  <c r="G131" i="35" s="1"/>
  <c r="P130" i="35"/>
  <c r="Q130" i="35" s="1"/>
  <c r="J113" i="35"/>
  <c r="K131" i="35" s="1"/>
  <c r="Y126" i="35"/>
  <c r="Y114" i="35"/>
  <c r="V111" i="35"/>
  <c r="W111" i="35" s="1"/>
  <c r="AA125" i="35"/>
  <c r="S126" i="35"/>
  <c r="Y128" i="35"/>
  <c r="AA133" i="35"/>
  <c r="Y127" i="12"/>
  <c r="Y115" i="12"/>
  <c r="J122" i="12"/>
  <c r="V126" i="12"/>
  <c r="P132" i="12"/>
  <c r="F110" i="12"/>
  <c r="F126" i="12"/>
  <c r="G126" i="12" s="1"/>
  <c r="F112" i="12"/>
  <c r="P116" i="12"/>
  <c r="P124" i="12"/>
  <c r="Q124" i="12" s="1"/>
  <c r="F128" i="12"/>
  <c r="G128" i="12" s="1"/>
  <c r="Y129" i="12"/>
  <c r="J114" i="12"/>
  <c r="V118" i="12"/>
  <c r="J130" i="12"/>
  <c r="Y118" i="12"/>
  <c r="Y133" i="12"/>
  <c r="J115" i="12"/>
  <c r="J123" i="12"/>
  <c r="P125" i="12"/>
  <c r="V127" i="12"/>
  <c r="V110" i="12"/>
  <c r="W110" i="12" s="1"/>
  <c r="Y119" i="12"/>
  <c r="N110" i="12"/>
  <c r="O110" i="12" s="1"/>
  <c r="Y120" i="12"/>
  <c r="Y114" i="12"/>
  <c r="J116" i="12"/>
  <c r="K116" i="12" s="1"/>
  <c r="P118" i="12"/>
  <c r="V120" i="12"/>
  <c r="F122" i="12"/>
  <c r="Y122" i="12"/>
  <c r="J124" i="12"/>
  <c r="K124" i="12" s="1"/>
  <c r="V128" i="12"/>
  <c r="F130" i="12"/>
  <c r="Y130" i="12"/>
  <c r="J132" i="12"/>
  <c r="AA122" i="12"/>
  <c r="S123" i="12"/>
  <c r="Y116" i="34"/>
  <c r="Y110" i="34"/>
  <c r="Y119" i="34"/>
  <c r="Y113" i="34"/>
  <c r="J120" i="34"/>
  <c r="AA127" i="34"/>
  <c r="S125" i="34"/>
  <c r="Y127" i="34"/>
  <c r="P128" i="34"/>
  <c r="Q128" i="34" s="1"/>
  <c r="V130" i="34"/>
  <c r="F132" i="34"/>
  <c r="G132" i="34" s="1"/>
  <c r="Q117" i="34"/>
  <c r="W120" i="34"/>
  <c r="Y132" i="34"/>
  <c r="Y114" i="34"/>
  <c r="F122" i="34"/>
  <c r="Y122" i="34"/>
  <c r="J124" i="34"/>
  <c r="K124" i="34" s="1"/>
  <c r="F127" i="34"/>
  <c r="F110" i="34"/>
  <c r="J112" i="34"/>
  <c r="K130" i="34" s="1"/>
  <c r="P122" i="34"/>
  <c r="Q122" i="34" s="1"/>
  <c r="J128" i="34"/>
  <c r="P130" i="34"/>
  <c r="U123" i="34"/>
  <c r="F125" i="34"/>
  <c r="AA125" i="34"/>
  <c r="S126" i="34"/>
  <c r="J127" i="34"/>
  <c r="K127" i="34" s="1"/>
  <c r="P114" i="34"/>
  <c r="Q126" i="34" s="1"/>
  <c r="F118" i="34"/>
  <c r="V132" i="34"/>
  <c r="W132" i="34" s="1"/>
  <c r="Y128" i="34"/>
  <c r="P129" i="19"/>
  <c r="P128" i="19"/>
  <c r="P130" i="19"/>
  <c r="V132" i="19"/>
  <c r="AA132" i="34"/>
  <c r="S133" i="34"/>
  <c r="J129" i="12"/>
  <c r="N131" i="12"/>
  <c r="O131" i="12" s="1"/>
  <c r="V133" i="12"/>
  <c r="W133" i="12" s="1"/>
  <c r="N133" i="12"/>
  <c r="Y130" i="35"/>
  <c r="N129" i="35"/>
  <c r="O129" i="35" s="1"/>
  <c r="F133" i="35"/>
  <c r="AA123" i="12"/>
  <c r="S124" i="12"/>
  <c r="F126" i="34"/>
  <c r="G126" i="34" s="1"/>
  <c r="F122" i="19"/>
  <c r="P122" i="19"/>
  <c r="P127" i="35"/>
  <c r="Q127" i="35" s="1"/>
  <c r="Y124" i="12"/>
  <c r="F124" i="19"/>
  <c r="P124" i="19"/>
  <c r="V123" i="35"/>
  <c r="W123" i="35" s="1"/>
  <c r="F125" i="35"/>
  <c r="G125" i="35" s="1"/>
  <c r="J127" i="35"/>
  <c r="P125" i="19"/>
  <c r="P131" i="12"/>
  <c r="V110" i="35"/>
  <c r="F112" i="35"/>
  <c r="G118" i="35" s="1"/>
  <c r="J114" i="35"/>
  <c r="K120" i="35" s="1"/>
  <c r="P116" i="35"/>
  <c r="Q116" i="35" s="1"/>
  <c r="V118" i="35"/>
  <c r="W118" i="35" s="1"/>
  <c r="F120" i="35"/>
  <c r="G120" i="35" s="1"/>
  <c r="AA120" i="35"/>
  <c r="J122" i="35"/>
  <c r="K122" i="35" s="1"/>
  <c r="P124" i="35"/>
  <c r="Q124" i="35" s="1"/>
  <c r="V126" i="35"/>
  <c r="W126" i="35" s="1"/>
  <c r="F128" i="35"/>
  <c r="G128" i="35" s="1"/>
  <c r="AA128" i="35"/>
  <c r="J130" i="35"/>
  <c r="K130" i="35" s="1"/>
  <c r="Y131" i="35"/>
  <c r="P132" i="35"/>
  <c r="Q132" i="35" s="1"/>
  <c r="F127" i="19"/>
  <c r="V128" i="19"/>
  <c r="Y125" i="34"/>
  <c r="Y126" i="12"/>
  <c r="AA129" i="12"/>
  <c r="S116" i="35"/>
  <c r="S116" i="12"/>
  <c r="J111" i="12"/>
  <c r="P113" i="12"/>
  <c r="F117" i="12"/>
  <c r="G117" i="12" s="1"/>
  <c r="J119" i="12"/>
  <c r="AA117" i="12"/>
  <c r="Q118" i="35"/>
  <c r="N111" i="12"/>
  <c r="O111" i="12" s="1"/>
  <c r="V113" i="12"/>
  <c r="W113" i="12" s="1"/>
  <c r="F115" i="12"/>
  <c r="G127" i="12" s="1"/>
  <c r="J117" i="12"/>
  <c r="P119" i="12"/>
  <c r="Q119" i="12" s="1"/>
  <c r="AA120" i="12"/>
  <c r="V121" i="12"/>
  <c r="W121" i="12" s="1"/>
  <c r="K122" i="12"/>
  <c r="F123" i="12"/>
  <c r="G123" i="12" s="1"/>
  <c r="Y123" i="12"/>
  <c r="J125" i="12"/>
  <c r="K125" i="12" s="1"/>
  <c r="P127" i="12"/>
  <c r="Q127" i="12" s="1"/>
  <c r="AA128" i="12"/>
  <c r="S129" i="12"/>
  <c r="K130" i="12"/>
  <c r="F131" i="12"/>
  <c r="G131" i="12" s="1"/>
  <c r="Y131" i="12"/>
  <c r="J133" i="12"/>
  <c r="K133" i="12" s="1"/>
  <c r="S128" i="35"/>
  <c r="Y121" i="35"/>
  <c r="V124" i="35"/>
  <c r="W124" i="35" s="1"/>
  <c r="Y118" i="35"/>
  <c r="Y124" i="35"/>
  <c r="J115" i="35"/>
  <c r="K121" i="35" s="1"/>
  <c r="F123" i="19"/>
  <c r="V111" i="34"/>
  <c r="W111" i="34" s="1"/>
  <c r="N133" i="34"/>
  <c r="O133" i="34" s="1"/>
  <c r="V112" i="12"/>
  <c r="W112" i="12" s="1"/>
  <c r="S120" i="12"/>
  <c r="S130" i="12"/>
  <c r="S130" i="34"/>
  <c r="J111" i="34"/>
  <c r="K129" i="34" s="1"/>
  <c r="F112" i="34"/>
  <c r="G130" i="34" s="1"/>
  <c r="J114" i="34"/>
  <c r="V115" i="34"/>
  <c r="W115" i="34" s="1"/>
  <c r="P116" i="34"/>
  <c r="Q116" i="34" s="1"/>
  <c r="Y120" i="34"/>
  <c r="V124" i="19"/>
  <c r="S118" i="12"/>
  <c r="N121" i="35"/>
  <c r="O121" i="35" s="1"/>
  <c r="P119" i="34"/>
  <c r="J110" i="12"/>
  <c r="P112" i="12"/>
  <c r="Q130" i="12" s="1"/>
  <c r="AA119" i="12"/>
  <c r="V114" i="12"/>
  <c r="F116" i="12"/>
  <c r="Y116" i="12"/>
  <c r="J118" i="12"/>
  <c r="K118" i="12" s="1"/>
  <c r="S118" i="35"/>
  <c r="AA123" i="35"/>
  <c r="Y127" i="35"/>
  <c r="W116" i="35"/>
  <c r="S121" i="35"/>
  <c r="AA130" i="35"/>
  <c r="K123" i="35"/>
  <c r="V113" i="35"/>
  <c r="N116" i="35"/>
  <c r="N124" i="35"/>
  <c r="S125" i="35"/>
  <c r="N132" i="35"/>
  <c r="N119" i="35"/>
  <c r="O119" i="35" s="1"/>
  <c r="G126" i="35"/>
  <c r="W132" i="35"/>
  <c r="K117" i="35"/>
  <c r="K129" i="35"/>
  <c r="S117" i="35"/>
  <c r="S119" i="35"/>
  <c r="S123" i="35"/>
  <c r="S127" i="35"/>
  <c r="S129" i="35"/>
  <c r="W120" i="35"/>
  <c r="W122" i="35"/>
  <c r="W130" i="35"/>
  <c r="Y119" i="35"/>
  <c r="Y125" i="35"/>
  <c r="AA116" i="35"/>
  <c r="AA122" i="35"/>
  <c r="G132" i="35"/>
  <c r="K117" i="12"/>
  <c r="S122" i="12"/>
  <c r="S128" i="12"/>
  <c r="S121" i="12"/>
  <c r="K123" i="12"/>
  <c r="W124" i="12"/>
  <c r="G125" i="12"/>
  <c r="S119" i="12"/>
  <c r="Y121" i="12"/>
  <c r="AA130" i="12"/>
  <c r="AA131" i="12"/>
  <c r="W119" i="12"/>
  <c r="Q125" i="12"/>
  <c r="W127" i="12"/>
  <c r="S125" i="12"/>
  <c r="K132" i="12"/>
  <c r="G129" i="12"/>
  <c r="N132" i="12"/>
  <c r="O132" i="12" s="1"/>
  <c r="W116" i="12"/>
  <c r="AA118" i="12"/>
  <c r="K121" i="12"/>
  <c r="K126" i="12"/>
  <c r="K120" i="12"/>
  <c r="Q121" i="12"/>
  <c r="K128" i="12"/>
  <c r="K119" i="12"/>
  <c r="K127" i="12"/>
  <c r="Q121" i="34"/>
  <c r="AA116" i="34"/>
  <c r="AA129" i="34"/>
  <c r="S129" i="34"/>
  <c r="Y131" i="34"/>
  <c r="AA123" i="34"/>
  <c r="S127" i="34"/>
  <c r="AA128" i="34"/>
  <c r="Y126" i="34"/>
  <c r="V110" i="34"/>
  <c r="V112" i="34"/>
  <c r="Y118" i="34"/>
  <c r="S124" i="34"/>
  <c r="G128" i="34"/>
  <c r="S131" i="34"/>
  <c r="S116" i="34"/>
  <c r="AA118" i="34"/>
  <c r="G121" i="34"/>
  <c r="S123" i="34"/>
  <c r="Q129" i="34"/>
  <c r="U116" i="34"/>
  <c r="S122" i="34"/>
  <c r="Y124" i="34"/>
  <c r="AA124" i="34"/>
  <c r="Q127" i="34"/>
  <c r="G116" i="35"/>
  <c r="Q117" i="35"/>
  <c r="Q119" i="35"/>
  <c r="Q123" i="35"/>
  <c r="Q125" i="35"/>
  <c r="Q129" i="35"/>
  <c r="Q131" i="35"/>
  <c r="Q133" i="35"/>
  <c r="K116" i="35"/>
  <c r="K118" i="35"/>
  <c r="K124" i="35"/>
  <c r="K128" i="35"/>
  <c r="K132" i="35"/>
  <c r="W117" i="35"/>
  <c r="W121" i="35"/>
  <c r="W127" i="35"/>
  <c r="W129" i="35"/>
  <c r="W133" i="35"/>
  <c r="G122" i="35"/>
  <c r="G119" i="35"/>
  <c r="G121" i="35"/>
  <c r="G123" i="35"/>
  <c r="G127" i="35"/>
  <c r="G129" i="35"/>
  <c r="G133" i="35"/>
  <c r="Q120" i="35"/>
  <c r="Q126" i="35"/>
  <c r="N110" i="35"/>
  <c r="O110" i="35" s="1"/>
  <c r="N111" i="35"/>
  <c r="O111" i="35" s="1"/>
  <c r="N112" i="35"/>
  <c r="O112" i="35" s="1"/>
  <c r="N113" i="35"/>
  <c r="O113" i="35" s="1"/>
  <c r="N114" i="35"/>
  <c r="O114" i="35" s="1"/>
  <c r="N115" i="35"/>
  <c r="O115" i="35" s="1"/>
  <c r="U116" i="35"/>
  <c r="U117" i="35"/>
  <c r="U118" i="35"/>
  <c r="U119" i="35"/>
  <c r="U120" i="35"/>
  <c r="U121" i="35"/>
  <c r="U122" i="35"/>
  <c r="U123" i="35"/>
  <c r="U124" i="35"/>
  <c r="U125" i="35"/>
  <c r="U126" i="35"/>
  <c r="U127" i="35"/>
  <c r="U128" i="35"/>
  <c r="U129" i="35"/>
  <c r="U130" i="35"/>
  <c r="U131" i="35"/>
  <c r="U132" i="35"/>
  <c r="U133" i="35"/>
  <c r="G116" i="12"/>
  <c r="Q120" i="12"/>
  <c r="W122" i="12"/>
  <c r="W130" i="12"/>
  <c r="Q131" i="12"/>
  <c r="W117" i="12"/>
  <c r="G119" i="12"/>
  <c r="W125" i="12"/>
  <c r="Q133" i="12"/>
  <c r="Q118" i="12"/>
  <c r="G122" i="12"/>
  <c r="Q126" i="12"/>
  <c r="W128" i="12"/>
  <c r="W123" i="12"/>
  <c r="W131" i="12"/>
  <c r="W118" i="12"/>
  <c r="G120" i="12"/>
  <c r="W129" i="12"/>
  <c r="Q132" i="12"/>
  <c r="N112" i="12"/>
  <c r="O112" i="12" s="1"/>
  <c r="N114" i="12"/>
  <c r="O114" i="12" s="1"/>
  <c r="N115" i="12"/>
  <c r="O115" i="12" s="1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P110" i="12"/>
  <c r="Q122" i="12" s="1"/>
  <c r="P111" i="12"/>
  <c r="Q123" i="12" s="1"/>
  <c r="N113" i="12"/>
  <c r="O113" i="12" s="1"/>
  <c r="N116" i="12"/>
  <c r="N117" i="12"/>
  <c r="N118" i="12"/>
  <c r="O118" i="12" s="1"/>
  <c r="N119" i="12"/>
  <c r="N120" i="12"/>
  <c r="O120" i="12" s="1"/>
  <c r="N121" i="12"/>
  <c r="N122" i="12"/>
  <c r="O122" i="12" s="1"/>
  <c r="N123" i="12"/>
  <c r="O123" i="12" s="1"/>
  <c r="N124" i="12"/>
  <c r="O124" i="12" s="1"/>
  <c r="N125" i="12"/>
  <c r="N126" i="12"/>
  <c r="O126" i="12" s="1"/>
  <c r="N127" i="12"/>
  <c r="N128" i="12"/>
  <c r="N129" i="12"/>
  <c r="N130" i="12"/>
  <c r="O130" i="12" s="1"/>
  <c r="G116" i="34"/>
  <c r="J122" i="34"/>
  <c r="K131" i="34"/>
  <c r="K133" i="34"/>
  <c r="K119" i="34"/>
  <c r="J121" i="34"/>
  <c r="K121" i="34" s="1"/>
  <c r="J118" i="34"/>
  <c r="K118" i="34" s="1"/>
  <c r="G120" i="34"/>
  <c r="W125" i="34"/>
  <c r="K126" i="34"/>
  <c r="W127" i="34"/>
  <c r="W129" i="34"/>
  <c r="W131" i="34"/>
  <c r="K132" i="34"/>
  <c r="G125" i="34"/>
  <c r="Q132" i="34"/>
  <c r="K120" i="34"/>
  <c r="G122" i="34"/>
  <c r="G127" i="34"/>
  <c r="G133" i="34"/>
  <c r="J117" i="34"/>
  <c r="K117" i="34" s="1"/>
  <c r="G119" i="34"/>
  <c r="J125" i="34"/>
  <c r="K125" i="34" s="1"/>
  <c r="N110" i="34"/>
  <c r="O110" i="34" s="1"/>
  <c r="N111" i="34"/>
  <c r="O111" i="34" s="1"/>
  <c r="N112" i="34"/>
  <c r="O112" i="34" s="1"/>
  <c r="U125" i="34"/>
  <c r="U129" i="34"/>
  <c r="U130" i="34"/>
  <c r="U131" i="34"/>
  <c r="U132" i="34"/>
  <c r="U133" i="34"/>
  <c r="N114" i="34"/>
  <c r="O114" i="34" s="1"/>
  <c r="N115" i="34"/>
  <c r="O115" i="34" s="1"/>
  <c r="U118" i="34"/>
  <c r="U120" i="34"/>
  <c r="U122" i="34"/>
  <c r="U127" i="34"/>
  <c r="V119" i="34"/>
  <c r="W119" i="34" s="1"/>
  <c r="V121" i="34"/>
  <c r="W121" i="34" s="1"/>
  <c r="V124" i="34"/>
  <c r="V126" i="34"/>
  <c r="W126" i="34" s="1"/>
  <c r="V128" i="34"/>
  <c r="U117" i="34"/>
  <c r="P113" i="34"/>
  <c r="Q125" i="34" s="1"/>
  <c r="V116" i="34"/>
  <c r="V123" i="34"/>
  <c r="W123" i="34" s="1"/>
  <c r="N116" i="34"/>
  <c r="O116" i="34" s="1"/>
  <c r="N117" i="34"/>
  <c r="O117" i="34" s="1"/>
  <c r="N118" i="34"/>
  <c r="O118" i="34" s="1"/>
  <c r="N119" i="34"/>
  <c r="O119" i="34" s="1"/>
  <c r="N120" i="34"/>
  <c r="O120" i="34" s="1"/>
  <c r="N121" i="34"/>
  <c r="O121" i="34" s="1"/>
  <c r="N122" i="34"/>
  <c r="O122" i="34" s="1"/>
  <c r="N123" i="34"/>
  <c r="N124" i="34"/>
  <c r="O124" i="34" s="1"/>
  <c r="N125" i="34"/>
  <c r="O125" i="34" s="1"/>
  <c r="N126" i="34"/>
  <c r="N127" i="34"/>
  <c r="N128" i="34"/>
  <c r="O128" i="34" s="1"/>
  <c r="N129" i="34"/>
  <c r="O129" i="34" s="1"/>
  <c r="N130" i="34"/>
  <c r="O130" i="34" s="1"/>
  <c r="N131" i="34"/>
  <c r="O131" i="34" s="1"/>
  <c r="V133" i="19"/>
  <c r="V129" i="19"/>
  <c r="P132" i="19"/>
  <c r="P131" i="19"/>
  <c r="J129" i="19"/>
  <c r="J130" i="19"/>
  <c r="J131" i="19"/>
  <c r="J133" i="19"/>
  <c r="J132" i="19"/>
  <c r="F133" i="19"/>
  <c r="F131" i="19"/>
  <c r="F132" i="19"/>
  <c r="V126" i="19"/>
  <c r="V125" i="19"/>
  <c r="V122" i="19"/>
  <c r="V127" i="19"/>
  <c r="P126" i="19"/>
  <c r="P127" i="19"/>
  <c r="N122" i="19"/>
  <c r="N123" i="19"/>
  <c r="N124" i="19"/>
  <c r="N125" i="19"/>
  <c r="N127" i="19"/>
  <c r="N126" i="19"/>
  <c r="J127" i="19"/>
  <c r="F126" i="19"/>
  <c r="F125" i="19"/>
  <c r="N128" i="19"/>
  <c r="N129" i="19"/>
  <c r="N130" i="19"/>
  <c r="N131" i="19"/>
  <c r="N132" i="19"/>
  <c r="N133" i="19"/>
  <c r="K74" i="58"/>
  <c r="A74" i="58"/>
  <c r="K57" i="58"/>
  <c r="A57" i="58"/>
  <c r="K39" i="58"/>
  <c r="A39" i="58"/>
  <c r="K21" i="58"/>
  <c r="A21" i="58"/>
  <c r="K4" i="58"/>
  <c r="A4" i="58"/>
  <c r="AV50" i="54"/>
  <c r="Y50" i="54"/>
  <c r="B50" i="54"/>
  <c r="AV29" i="54"/>
  <c r="Y29" i="54"/>
  <c r="B29" i="54"/>
  <c r="AV8" i="54"/>
  <c r="Y8" i="54"/>
  <c r="B8" i="54"/>
  <c r="AV50" i="41"/>
  <c r="AV29" i="41"/>
  <c r="AV8" i="41"/>
  <c r="Y50" i="41"/>
  <c r="Y29" i="41"/>
  <c r="Y8" i="41"/>
  <c r="B50" i="41"/>
  <c r="B29" i="41"/>
  <c r="B8" i="41"/>
  <c r="Z109" i="35"/>
  <c r="X109" i="35"/>
  <c r="T109" i="35"/>
  <c r="V109" i="35" s="1"/>
  <c r="R109" i="35"/>
  <c r="M109" i="35"/>
  <c r="L109" i="35"/>
  <c r="I109" i="35"/>
  <c r="H109" i="35"/>
  <c r="E109" i="35"/>
  <c r="D109" i="35"/>
  <c r="C109" i="35"/>
  <c r="Z108" i="35"/>
  <c r="X108" i="35"/>
  <c r="T108" i="35"/>
  <c r="R108" i="35"/>
  <c r="M108" i="35"/>
  <c r="L108" i="35"/>
  <c r="I108" i="35"/>
  <c r="H108" i="35"/>
  <c r="E108" i="35"/>
  <c r="D108" i="35"/>
  <c r="C108" i="35"/>
  <c r="Z107" i="35"/>
  <c r="X107" i="35"/>
  <c r="T107" i="35"/>
  <c r="R107" i="35"/>
  <c r="M107" i="35"/>
  <c r="L107" i="35"/>
  <c r="I107" i="35"/>
  <c r="H107" i="35"/>
  <c r="E107" i="35"/>
  <c r="D107" i="35"/>
  <c r="C107" i="35"/>
  <c r="Z106" i="35"/>
  <c r="X106" i="35"/>
  <c r="T106" i="35"/>
  <c r="R106" i="35"/>
  <c r="M106" i="35"/>
  <c r="L106" i="35"/>
  <c r="I106" i="35"/>
  <c r="H106" i="35"/>
  <c r="E106" i="35"/>
  <c r="D106" i="35"/>
  <c r="C106" i="35"/>
  <c r="Z105" i="35"/>
  <c r="X105" i="35"/>
  <c r="Y105" i="35" s="1"/>
  <c r="T105" i="35"/>
  <c r="R105" i="35"/>
  <c r="M105" i="35"/>
  <c r="L105" i="35"/>
  <c r="I105" i="35"/>
  <c r="H105" i="35"/>
  <c r="E105" i="35"/>
  <c r="D105" i="35"/>
  <c r="C105" i="35"/>
  <c r="Z104" i="35"/>
  <c r="X104" i="35"/>
  <c r="T104" i="35"/>
  <c r="R104" i="35"/>
  <c r="M104" i="35"/>
  <c r="L104" i="35"/>
  <c r="I104" i="35"/>
  <c r="H104" i="35"/>
  <c r="E104" i="35"/>
  <c r="D104" i="35"/>
  <c r="C104" i="35"/>
  <c r="Z103" i="35"/>
  <c r="AA109" i="35" s="1"/>
  <c r="X103" i="35"/>
  <c r="T103" i="35"/>
  <c r="R103" i="35"/>
  <c r="M103" i="35"/>
  <c r="L103" i="35"/>
  <c r="I103" i="35"/>
  <c r="H103" i="35"/>
  <c r="E103" i="35"/>
  <c r="D103" i="35"/>
  <c r="C103" i="35"/>
  <c r="Z102" i="35"/>
  <c r="X102" i="35"/>
  <c r="T102" i="35"/>
  <c r="R102" i="35"/>
  <c r="M102" i="35"/>
  <c r="L102" i="35"/>
  <c r="I102" i="35"/>
  <c r="H102" i="35"/>
  <c r="E102" i="35"/>
  <c r="D102" i="35"/>
  <c r="C102" i="35"/>
  <c r="Z101" i="35"/>
  <c r="X101" i="35"/>
  <c r="T101" i="35"/>
  <c r="R101" i="35"/>
  <c r="M101" i="35"/>
  <c r="L101" i="35"/>
  <c r="I101" i="35"/>
  <c r="H101" i="35"/>
  <c r="E101" i="35"/>
  <c r="D101" i="35"/>
  <c r="C101" i="35"/>
  <c r="Z100" i="35"/>
  <c r="X100" i="35"/>
  <c r="T100" i="35"/>
  <c r="R100" i="35"/>
  <c r="M100" i="35"/>
  <c r="L100" i="35"/>
  <c r="I100" i="35"/>
  <c r="H100" i="35"/>
  <c r="E100" i="35"/>
  <c r="D100" i="35"/>
  <c r="C100" i="35"/>
  <c r="Z99" i="35"/>
  <c r="X99" i="35"/>
  <c r="T99" i="35"/>
  <c r="R99" i="35"/>
  <c r="M99" i="35"/>
  <c r="L99" i="35"/>
  <c r="I99" i="35"/>
  <c r="H99" i="35"/>
  <c r="E99" i="35"/>
  <c r="D99" i="35"/>
  <c r="C99" i="35"/>
  <c r="Z98" i="35"/>
  <c r="AA104" i="35" s="1"/>
  <c r="X98" i="35"/>
  <c r="Y104" i="35" s="1"/>
  <c r="T98" i="35"/>
  <c r="R98" i="35"/>
  <c r="M98" i="35"/>
  <c r="L98" i="35"/>
  <c r="I98" i="35"/>
  <c r="H98" i="35"/>
  <c r="E98" i="35"/>
  <c r="D98" i="35"/>
  <c r="C98" i="35"/>
  <c r="Z97" i="35"/>
  <c r="X97" i="35"/>
  <c r="T97" i="35"/>
  <c r="R97" i="35"/>
  <c r="M97" i="35"/>
  <c r="L97" i="35"/>
  <c r="I97" i="35"/>
  <c r="J97" i="35" s="1"/>
  <c r="H97" i="35"/>
  <c r="E97" i="35"/>
  <c r="D97" i="35"/>
  <c r="C97" i="35"/>
  <c r="Z96" i="35"/>
  <c r="X96" i="35"/>
  <c r="T96" i="35"/>
  <c r="R96" i="35"/>
  <c r="M96" i="35"/>
  <c r="L96" i="35"/>
  <c r="N96" i="35" s="1"/>
  <c r="I96" i="35"/>
  <c r="H96" i="35"/>
  <c r="E96" i="35"/>
  <c r="D96" i="35"/>
  <c r="C96" i="35"/>
  <c r="Z95" i="35"/>
  <c r="X95" i="35"/>
  <c r="T95" i="35"/>
  <c r="R95" i="35"/>
  <c r="M95" i="35"/>
  <c r="L95" i="35"/>
  <c r="I95" i="35"/>
  <c r="H95" i="35"/>
  <c r="J95" i="35" s="1"/>
  <c r="E95" i="35"/>
  <c r="F95" i="35" s="1"/>
  <c r="D95" i="35"/>
  <c r="C95" i="35"/>
  <c r="Z94" i="35"/>
  <c r="X94" i="35"/>
  <c r="T94" i="35"/>
  <c r="R94" i="35"/>
  <c r="M94" i="35"/>
  <c r="L94" i="35"/>
  <c r="I94" i="35"/>
  <c r="H94" i="35"/>
  <c r="J94" i="35" s="1"/>
  <c r="E94" i="35"/>
  <c r="D94" i="35"/>
  <c r="C94" i="35"/>
  <c r="Z93" i="35"/>
  <c r="X93" i="35"/>
  <c r="T93" i="35"/>
  <c r="R93" i="35"/>
  <c r="M93" i="35"/>
  <c r="N93" i="35" s="1"/>
  <c r="L93" i="35"/>
  <c r="I93" i="35"/>
  <c r="H93" i="35"/>
  <c r="E93" i="35"/>
  <c r="D93" i="35"/>
  <c r="F93" i="35" s="1"/>
  <c r="C93" i="35"/>
  <c r="Z92" i="35"/>
  <c r="X92" i="35"/>
  <c r="T92" i="35"/>
  <c r="R92" i="35"/>
  <c r="M92" i="35"/>
  <c r="N92" i="35" s="1"/>
  <c r="L92" i="35"/>
  <c r="I92" i="35"/>
  <c r="H92" i="35"/>
  <c r="E92" i="35"/>
  <c r="D92" i="35"/>
  <c r="C92" i="35"/>
  <c r="Z91" i="35"/>
  <c r="X91" i="35"/>
  <c r="T91" i="35"/>
  <c r="R91" i="35"/>
  <c r="V91" i="35" s="1"/>
  <c r="M91" i="35"/>
  <c r="N91" i="35" s="1"/>
  <c r="L91" i="35"/>
  <c r="I91" i="35"/>
  <c r="J91" i="35" s="1"/>
  <c r="H91" i="35"/>
  <c r="E91" i="35"/>
  <c r="D91" i="35"/>
  <c r="C91" i="35"/>
  <c r="Z90" i="35"/>
  <c r="X90" i="35"/>
  <c r="T90" i="35"/>
  <c r="R90" i="35"/>
  <c r="V90" i="35" s="1"/>
  <c r="M90" i="35"/>
  <c r="L90" i="35"/>
  <c r="I90" i="35"/>
  <c r="H90" i="35"/>
  <c r="E90" i="35"/>
  <c r="F90" i="35" s="1"/>
  <c r="D90" i="35"/>
  <c r="C90" i="35"/>
  <c r="Z89" i="35"/>
  <c r="X89" i="35"/>
  <c r="T89" i="35"/>
  <c r="R89" i="35"/>
  <c r="M89" i="35"/>
  <c r="L89" i="35"/>
  <c r="N89" i="35" s="1"/>
  <c r="I89" i="35"/>
  <c r="H89" i="35"/>
  <c r="E89" i="35"/>
  <c r="F89" i="35" s="1"/>
  <c r="D89" i="35"/>
  <c r="C89" i="35"/>
  <c r="Z88" i="35"/>
  <c r="X88" i="35"/>
  <c r="T88" i="35"/>
  <c r="R88" i="35"/>
  <c r="M88" i="35"/>
  <c r="L88" i="35"/>
  <c r="N88" i="35" s="1"/>
  <c r="I88" i="35"/>
  <c r="H88" i="35"/>
  <c r="E88" i="35"/>
  <c r="D88" i="35"/>
  <c r="C88" i="35"/>
  <c r="Z87" i="35"/>
  <c r="X87" i="35"/>
  <c r="T87" i="35"/>
  <c r="V87" i="35" s="1"/>
  <c r="R87" i="35"/>
  <c r="M87" i="35"/>
  <c r="L87" i="35"/>
  <c r="I87" i="35"/>
  <c r="H87" i="35"/>
  <c r="J87" i="35" s="1"/>
  <c r="E87" i="35"/>
  <c r="F87" i="35" s="1"/>
  <c r="D87" i="35"/>
  <c r="C87" i="35"/>
  <c r="Z86" i="35"/>
  <c r="X86" i="35"/>
  <c r="T86" i="35"/>
  <c r="R86" i="35"/>
  <c r="M86" i="35"/>
  <c r="L86" i="35"/>
  <c r="I86" i="35"/>
  <c r="H86" i="35"/>
  <c r="J86" i="35" s="1"/>
  <c r="E86" i="35"/>
  <c r="D86" i="35"/>
  <c r="C86" i="35"/>
  <c r="Z85" i="35"/>
  <c r="X85" i="35"/>
  <c r="T85" i="35"/>
  <c r="V85" i="35" s="1"/>
  <c r="R85" i="35"/>
  <c r="M85" i="35"/>
  <c r="L85" i="35"/>
  <c r="I85" i="35"/>
  <c r="H85" i="35"/>
  <c r="E85" i="35"/>
  <c r="D85" i="35"/>
  <c r="C85" i="35"/>
  <c r="Z84" i="35"/>
  <c r="X84" i="35"/>
  <c r="T84" i="35"/>
  <c r="V84" i="35" s="1"/>
  <c r="R84" i="35"/>
  <c r="M84" i="35"/>
  <c r="L84" i="35"/>
  <c r="I84" i="35"/>
  <c r="H84" i="35"/>
  <c r="E84" i="35"/>
  <c r="D84" i="35"/>
  <c r="C84" i="35"/>
  <c r="Z83" i="35"/>
  <c r="X83" i="35"/>
  <c r="T83" i="35"/>
  <c r="R83" i="35"/>
  <c r="M83" i="35"/>
  <c r="L83" i="35"/>
  <c r="I83" i="35"/>
  <c r="H83" i="35"/>
  <c r="E83" i="35"/>
  <c r="D83" i="35"/>
  <c r="C83" i="35"/>
  <c r="Z82" i="35"/>
  <c r="X82" i="35"/>
  <c r="T82" i="35"/>
  <c r="R82" i="35"/>
  <c r="M82" i="35"/>
  <c r="P82" i="35" s="1"/>
  <c r="L82" i="35"/>
  <c r="I82" i="35"/>
  <c r="H82" i="35"/>
  <c r="E82" i="35"/>
  <c r="D82" i="35"/>
  <c r="C82" i="35"/>
  <c r="Z81" i="35"/>
  <c r="X81" i="35"/>
  <c r="Y81" i="35" s="1"/>
  <c r="T81" i="35"/>
  <c r="R81" i="35"/>
  <c r="M81" i="35"/>
  <c r="L81" i="35"/>
  <c r="I81" i="35"/>
  <c r="J81" i="35" s="1"/>
  <c r="H81" i="35"/>
  <c r="E81" i="35"/>
  <c r="D81" i="35"/>
  <c r="C81" i="35"/>
  <c r="Z80" i="35"/>
  <c r="X80" i="35"/>
  <c r="T80" i="35"/>
  <c r="R80" i="35"/>
  <c r="M80" i="35"/>
  <c r="L80" i="35"/>
  <c r="I80" i="35"/>
  <c r="H80" i="35"/>
  <c r="E80" i="35"/>
  <c r="D80" i="35"/>
  <c r="C80" i="35"/>
  <c r="Z79" i="35"/>
  <c r="AA85" i="35" s="1"/>
  <c r="X79" i="35"/>
  <c r="T79" i="35"/>
  <c r="R79" i="35"/>
  <c r="M79" i="35"/>
  <c r="L79" i="35"/>
  <c r="I79" i="35"/>
  <c r="H79" i="35"/>
  <c r="E79" i="35"/>
  <c r="F79" i="35" s="1"/>
  <c r="D79" i="35"/>
  <c r="C79" i="35"/>
  <c r="Z78" i="35"/>
  <c r="X78" i="35"/>
  <c r="T78" i="35"/>
  <c r="R78" i="35"/>
  <c r="M78" i="35"/>
  <c r="L78" i="35"/>
  <c r="I78" i="35"/>
  <c r="H78" i="35"/>
  <c r="E78" i="35"/>
  <c r="D78" i="35"/>
  <c r="C78" i="35"/>
  <c r="Z77" i="35"/>
  <c r="X77" i="35"/>
  <c r="Y83" i="35" s="1"/>
  <c r="T77" i="35"/>
  <c r="V77" i="35" s="1"/>
  <c r="R77" i="35"/>
  <c r="M77" i="35"/>
  <c r="L77" i="35"/>
  <c r="I77" i="35"/>
  <c r="H77" i="35"/>
  <c r="E77" i="35"/>
  <c r="D77" i="35"/>
  <c r="C77" i="35"/>
  <c r="Z76" i="35"/>
  <c r="X76" i="35"/>
  <c r="T76" i="35"/>
  <c r="R76" i="35"/>
  <c r="M76" i="35"/>
  <c r="L76" i="35"/>
  <c r="I76" i="35"/>
  <c r="H76" i="35"/>
  <c r="E76" i="35"/>
  <c r="D76" i="35"/>
  <c r="C76" i="35"/>
  <c r="Z75" i="35"/>
  <c r="X75" i="35"/>
  <c r="T75" i="35"/>
  <c r="R75" i="35"/>
  <c r="S81" i="35" s="1"/>
  <c r="M75" i="35"/>
  <c r="P75" i="35" s="1"/>
  <c r="L75" i="35"/>
  <c r="I75" i="35"/>
  <c r="H75" i="35"/>
  <c r="E75" i="35"/>
  <c r="D75" i="35"/>
  <c r="C75" i="35"/>
  <c r="Z74" i="35"/>
  <c r="X74" i="35"/>
  <c r="Y80" i="35" s="1"/>
  <c r="T74" i="35"/>
  <c r="R74" i="35"/>
  <c r="M74" i="35"/>
  <c r="L74" i="35"/>
  <c r="I74" i="35"/>
  <c r="H74" i="35"/>
  <c r="E74" i="35"/>
  <c r="D74" i="35"/>
  <c r="C74" i="35"/>
  <c r="Z73" i="35"/>
  <c r="X73" i="35"/>
  <c r="T73" i="35"/>
  <c r="R73" i="35"/>
  <c r="M73" i="35"/>
  <c r="L73" i="35"/>
  <c r="I73" i="35"/>
  <c r="J73" i="35" s="1"/>
  <c r="H73" i="35"/>
  <c r="E73" i="35"/>
  <c r="D73" i="35"/>
  <c r="C73" i="35"/>
  <c r="Z72" i="35"/>
  <c r="X72" i="35"/>
  <c r="T72" i="35"/>
  <c r="V72" i="35" s="1"/>
  <c r="R72" i="35"/>
  <c r="M72" i="35"/>
  <c r="L72" i="35"/>
  <c r="I72" i="35"/>
  <c r="H72" i="35"/>
  <c r="E72" i="35"/>
  <c r="D72" i="35"/>
  <c r="C72" i="35"/>
  <c r="Z71" i="35"/>
  <c r="X71" i="35"/>
  <c r="T71" i="35"/>
  <c r="R71" i="35"/>
  <c r="M71" i="35"/>
  <c r="L71" i="35"/>
  <c r="I71" i="35"/>
  <c r="H71" i="35"/>
  <c r="E71" i="35"/>
  <c r="F71" i="35" s="1"/>
  <c r="D71" i="35"/>
  <c r="C71" i="35"/>
  <c r="Z70" i="35"/>
  <c r="X70" i="35"/>
  <c r="T70" i="35"/>
  <c r="R70" i="35"/>
  <c r="M70" i="35"/>
  <c r="L70" i="35"/>
  <c r="I70" i="35"/>
  <c r="H70" i="35"/>
  <c r="E70" i="35"/>
  <c r="D70" i="35"/>
  <c r="C70" i="35"/>
  <c r="Z69" i="35"/>
  <c r="X69" i="35"/>
  <c r="T69" i="35"/>
  <c r="V69" i="35" s="1"/>
  <c r="R69" i="35"/>
  <c r="M69" i="35"/>
  <c r="L69" i="35"/>
  <c r="I69" i="35"/>
  <c r="H69" i="35"/>
  <c r="E69" i="35"/>
  <c r="D69" i="35"/>
  <c r="C69" i="35"/>
  <c r="Z68" i="35"/>
  <c r="X68" i="35"/>
  <c r="T68" i="35"/>
  <c r="R68" i="35"/>
  <c r="M68" i="35"/>
  <c r="L68" i="35"/>
  <c r="I68" i="35"/>
  <c r="H68" i="35"/>
  <c r="E68" i="35"/>
  <c r="D68" i="35"/>
  <c r="C68" i="35"/>
  <c r="Z67" i="35"/>
  <c r="X67" i="35"/>
  <c r="T67" i="35"/>
  <c r="R67" i="35"/>
  <c r="M67" i="35"/>
  <c r="N67" i="35" s="1"/>
  <c r="L67" i="35"/>
  <c r="I67" i="35"/>
  <c r="H67" i="35"/>
  <c r="E67" i="35"/>
  <c r="D67" i="35"/>
  <c r="C67" i="35"/>
  <c r="Z66" i="35"/>
  <c r="AA72" i="35" s="1"/>
  <c r="X66" i="35"/>
  <c r="T66" i="35"/>
  <c r="R66" i="35"/>
  <c r="M66" i="35"/>
  <c r="L66" i="35"/>
  <c r="I66" i="35"/>
  <c r="H66" i="35"/>
  <c r="E66" i="35"/>
  <c r="F66" i="35" s="1"/>
  <c r="D66" i="35"/>
  <c r="C66" i="35"/>
  <c r="Z65" i="35"/>
  <c r="X65" i="35"/>
  <c r="T65" i="35"/>
  <c r="R65" i="35"/>
  <c r="M65" i="35"/>
  <c r="L65" i="35"/>
  <c r="I65" i="35"/>
  <c r="J65" i="35" s="1"/>
  <c r="H65" i="35"/>
  <c r="E65" i="35"/>
  <c r="F65" i="35" s="1"/>
  <c r="D65" i="35"/>
  <c r="C65" i="35"/>
  <c r="Z64" i="35"/>
  <c r="X64" i="35"/>
  <c r="T64" i="35"/>
  <c r="U70" i="35" s="1"/>
  <c r="R64" i="35"/>
  <c r="M64" i="35"/>
  <c r="L64" i="35"/>
  <c r="N64" i="35" s="1"/>
  <c r="I64" i="35"/>
  <c r="H64" i="35"/>
  <c r="E64" i="35"/>
  <c r="D64" i="35"/>
  <c r="C64" i="35"/>
  <c r="Z63" i="35"/>
  <c r="X63" i="35"/>
  <c r="T63" i="35"/>
  <c r="R63" i="35"/>
  <c r="M63" i="35"/>
  <c r="L63" i="35"/>
  <c r="I63" i="35"/>
  <c r="H63" i="35"/>
  <c r="E63" i="35"/>
  <c r="F63" i="35" s="1"/>
  <c r="D63" i="35"/>
  <c r="C63" i="35"/>
  <c r="Z62" i="35"/>
  <c r="X62" i="35"/>
  <c r="T62" i="35"/>
  <c r="R62" i="35"/>
  <c r="M62" i="35"/>
  <c r="L62" i="35"/>
  <c r="I62" i="35"/>
  <c r="H62" i="35"/>
  <c r="E62" i="35"/>
  <c r="D62" i="35"/>
  <c r="C62" i="35"/>
  <c r="Z61" i="35"/>
  <c r="X61" i="35"/>
  <c r="T61" i="35"/>
  <c r="R61" i="35"/>
  <c r="M61" i="35"/>
  <c r="N61" i="35" s="1"/>
  <c r="L61" i="35"/>
  <c r="I61" i="35"/>
  <c r="H61" i="35"/>
  <c r="E61" i="35"/>
  <c r="D61" i="35"/>
  <c r="C61" i="35"/>
  <c r="Z60" i="35"/>
  <c r="X60" i="35"/>
  <c r="T60" i="35"/>
  <c r="R60" i="35"/>
  <c r="M60" i="35"/>
  <c r="L60" i="35"/>
  <c r="I60" i="35"/>
  <c r="J60" i="35" s="1"/>
  <c r="H60" i="35"/>
  <c r="E60" i="35"/>
  <c r="D60" i="35"/>
  <c r="F60" i="35" s="1"/>
  <c r="C60" i="35"/>
  <c r="Z59" i="35"/>
  <c r="X59" i="35"/>
  <c r="T59" i="35"/>
  <c r="R59" i="35"/>
  <c r="M59" i="35"/>
  <c r="L59" i="35"/>
  <c r="I59" i="35"/>
  <c r="J59" i="35" s="1"/>
  <c r="H59" i="35"/>
  <c r="E59" i="35"/>
  <c r="D59" i="35"/>
  <c r="C59" i="35"/>
  <c r="Z58" i="35"/>
  <c r="X58" i="35"/>
  <c r="T58" i="35"/>
  <c r="R58" i="35"/>
  <c r="V58" i="35" s="1"/>
  <c r="M58" i="35"/>
  <c r="L58" i="35"/>
  <c r="I58" i="35"/>
  <c r="J58" i="35" s="1"/>
  <c r="H58" i="35"/>
  <c r="E58" i="35"/>
  <c r="F58" i="35" s="1"/>
  <c r="D58" i="35"/>
  <c r="C58" i="35"/>
  <c r="Z57" i="35"/>
  <c r="X57" i="35"/>
  <c r="T57" i="35"/>
  <c r="R57" i="35"/>
  <c r="M57" i="35"/>
  <c r="L57" i="35"/>
  <c r="I57" i="35"/>
  <c r="H57" i="35"/>
  <c r="E57" i="35"/>
  <c r="F57" i="35" s="1"/>
  <c r="D57" i="35"/>
  <c r="C57" i="35"/>
  <c r="Z56" i="35"/>
  <c r="X56" i="35"/>
  <c r="T56" i="35"/>
  <c r="V56" i="35" s="1"/>
  <c r="R56" i="35"/>
  <c r="M56" i="35"/>
  <c r="L56" i="35"/>
  <c r="N56" i="35" s="1"/>
  <c r="I56" i="35"/>
  <c r="H56" i="35"/>
  <c r="E56" i="35"/>
  <c r="F56" i="35" s="1"/>
  <c r="D56" i="35"/>
  <c r="C56" i="35"/>
  <c r="Z55" i="35"/>
  <c r="X55" i="35"/>
  <c r="T55" i="35"/>
  <c r="R55" i="35"/>
  <c r="M55" i="35"/>
  <c r="L55" i="35"/>
  <c r="I55" i="35"/>
  <c r="H55" i="35"/>
  <c r="E55" i="35"/>
  <c r="D55" i="35"/>
  <c r="C55" i="35"/>
  <c r="Z54" i="35"/>
  <c r="X54" i="35"/>
  <c r="T54" i="35"/>
  <c r="V54" i="35" s="1"/>
  <c r="R54" i="35"/>
  <c r="M54" i="35"/>
  <c r="L54" i="35"/>
  <c r="I54" i="35"/>
  <c r="H54" i="35"/>
  <c r="J54" i="35" s="1"/>
  <c r="E54" i="35"/>
  <c r="D54" i="35"/>
  <c r="C54" i="35"/>
  <c r="Z53" i="35"/>
  <c r="X53" i="35"/>
  <c r="T53" i="35"/>
  <c r="R53" i="35"/>
  <c r="M53" i="35"/>
  <c r="L53" i="35"/>
  <c r="I53" i="35"/>
  <c r="H53" i="35"/>
  <c r="E53" i="35"/>
  <c r="D53" i="35"/>
  <c r="C53" i="35"/>
  <c r="Z52" i="35"/>
  <c r="X52" i="35"/>
  <c r="T52" i="35"/>
  <c r="R52" i="35"/>
  <c r="M52" i="35"/>
  <c r="N52" i="35" s="1"/>
  <c r="L52" i="35"/>
  <c r="I52" i="35"/>
  <c r="J52" i="35" s="1"/>
  <c r="H52" i="35"/>
  <c r="E52" i="35"/>
  <c r="D52" i="35"/>
  <c r="F52" i="35" s="1"/>
  <c r="C52" i="35"/>
  <c r="Z51" i="35"/>
  <c r="X51" i="35"/>
  <c r="T51" i="35"/>
  <c r="R51" i="35"/>
  <c r="M51" i="35"/>
  <c r="N51" i="35" s="1"/>
  <c r="L51" i="35"/>
  <c r="I51" i="35"/>
  <c r="J51" i="35" s="1"/>
  <c r="H51" i="35"/>
  <c r="E51" i="35"/>
  <c r="D51" i="35"/>
  <c r="C51" i="35"/>
  <c r="Z50" i="35"/>
  <c r="X50" i="35"/>
  <c r="T50" i="35"/>
  <c r="R50" i="35"/>
  <c r="M50" i="35"/>
  <c r="L50" i="35"/>
  <c r="I50" i="35"/>
  <c r="J50" i="35" s="1"/>
  <c r="H50" i="35"/>
  <c r="E50" i="35"/>
  <c r="F50" i="35" s="1"/>
  <c r="D50" i="35"/>
  <c r="C50" i="35"/>
  <c r="Z49" i="35"/>
  <c r="X49" i="35"/>
  <c r="Y49" i="35" s="1"/>
  <c r="T49" i="35"/>
  <c r="R49" i="35"/>
  <c r="M49" i="35"/>
  <c r="L49" i="35"/>
  <c r="N49" i="35" s="1"/>
  <c r="I49" i="35"/>
  <c r="H49" i="35"/>
  <c r="E49" i="35"/>
  <c r="D49" i="35"/>
  <c r="C49" i="35"/>
  <c r="Z48" i="35"/>
  <c r="X48" i="35"/>
  <c r="T48" i="35"/>
  <c r="R48" i="35"/>
  <c r="M48" i="35"/>
  <c r="L48" i="35"/>
  <c r="I48" i="35"/>
  <c r="H48" i="35"/>
  <c r="E48" i="35"/>
  <c r="D48" i="35"/>
  <c r="C48" i="35"/>
  <c r="Z47" i="35"/>
  <c r="X47" i="35"/>
  <c r="T47" i="35"/>
  <c r="R47" i="35"/>
  <c r="S47" i="35" s="1"/>
  <c r="M47" i="35"/>
  <c r="L47" i="35"/>
  <c r="I47" i="35"/>
  <c r="H47" i="35"/>
  <c r="J47" i="35" s="1"/>
  <c r="E47" i="35"/>
  <c r="D47" i="35"/>
  <c r="C47" i="35"/>
  <c r="Z46" i="35"/>
  <c r="AA46" i="35" s="1"/>
  <c r="X46" i="35"/>
  <c r="T46" i="35"/>
  <c r="R46" i="35"/>
  <c r="M46" i="35"/>
  <c r="L46" i="35"/>
  <c r="I46" i="35"/>
  <c r="H46" i="35"/>
  <c r="E46" i="35"/>
  <c r="D46" i="35"/>
  <c r="C46" i="35"/>
  <c r="Z45" i="35"/>
  <c r="X45" i="35"/>
  <c r="T45" i="35"/>
  <c r="R45" i="35"/>
  <c r="M45" i="35"/>
  <c r="L45" i="35"/>
  <c r="I45" i="35"/>
  <c r="H45" i="35"/>
  <c r="E45" i="35"/>
  <c r="D45" i="35"/>
  <c r="F45" i="35" s="1"/>
  <c r="C45" i="35"/>
  <c r="Z44" i="35"/>
  <c r="X44" i="35"/>
  <c r="T44" i="35"/>
  <c r="R44" i="35"/>
  <c r="M44" i="35"/>
  <c r="L44" i="35"/>
  <c r="I44" i="35"/>
  <c r="H44" i="35"/>
  <c r="E44" i="35"/>
  <c r="D44" i="35"/>
  <c r="C44" i="35"/>
  <c r="Z43" i="35"/>
  <c r="X43" i="35"/>
  <c r="T43" i="35"/>
  <c r="R43" i="35"/>
  <c r="M43" i="35"/>
  <c r="L43" i="35"/>
  <c r="I43" i="35"/>
  <c r="H43" i="35"/>
  <c r="E43" i="35"/>
  <c r="D43" i="35"/>
  <c r="C43" i="35"/>
  <c r="Z42" i="35"/>
  <c r="AA48" i="35" s="1"/>
  <c r="X42" i="35"/>
  <c r="Y48" i="35" s="1"/>
  <c r="T42" i="35"/>
  <c r="R42" i="35"/>
  <c r="M42" i="35"/>
  <c r="L42" i="35"/>
  <c r="I42" i="35"/>
  <c r="H42" i="35"/>
  <c r="E42" i="35"/>
  <c r="D42" i="35"/>
  <c r="C42" i="35"/>
  <c r="Z41" i="35"/>
  <c r="X41" i="35"/>
  <c r="Y47" i="35" s="1"/>
  <c r="T41" i="35"/>
  <c r="R41" i="35"/>
  <c r="M41" i="35"/>
  <c r="L41" i="35"/>
  <c r="P41" i="35" s="1"/>
  <c r="I41" i="35"/>
  <c r="J41" i="35" s="1"/>
  <c r="H41" i="35"/>
  <c r="E41" i="35"/>
  <c r="D41" i="35"/>
  <c r="C41" i="35"/>
  <c r="Z40" i="35"/>
  <c r="X40" i="35"/>
  <c r="T40" i="35"/>
  <c r="R40" i="35"/>
  <c r="S46" i="35" s="1"/>
  <c r="M40" i="35"/>
  <c r="L40" i="35"/>
  <c r="P40" i="35" s="1"/>
  <c r="I40" i="35"/>
  <c r="H40" i="35"/>
  <c r="E40" i="35"/>
  <c r="D40" i="35"/>
  <c r="C40" i="35"/>
  <c r="Z39" i="35"/>
  <c r="X39" i="35"/>
  <c r="T39" i="35"/>
  <c r="R39" i="35"/>
  <c r="S45" i="35" s="1"/>
  <c r="M39" i="35"/>
  <c r="L39" i="35"/>
  <c r="I39" i="35"/>
  <c r="H39" i="35"/>
  <c r="J39" i="35" s="1"/>
  <c r="E39" i="35"/>
  <c r="F39" i="35" s="1"/>
  <c r="D39" i="35"/>
  <c r="C39" i="35"/>
  <c r="Z38" i="35"/>
  <c r="AA44" i="35" s="1"/>
  <c r="X38" i="35"/>
  <c r="T38" i="35"/>
  <c r="R38" i="35"/>
  <c r="M38" i="35"/>
  <c r="L38" i="35"/>
  <c r="I38" i="35"/>
  <c r="H38" i="35"/>
  <c r="J38" i="35" s="1"/>
  <c r="E38" i="35"/>
  <c r="D38" i="35"/>
  <c r="C38" i="35"/>
  <c r="Z37" i="35"/>
  <c r="X37" i="35"/>
  <c r="T37" i="35"/>
  <c r="R37" i="35"/>
  <c r="M37" i="35"/>
  <c r="L37" i="35"/>
  <c r="I37" i="35"/>
  <c r="H37" i="35"/>
  <c r="E37" i="35"/>
  <c r="D37" i="35"/>
  <c r="C37" i="35"/>
  <c r="Z36" i="35"/>
  <c r="X36" i="35"/>
  <c r="T36" i="35"/>
  <c r="R36" i="35"/>
  <c r="M36" i="35"/>
  <c r="L36" i="35"/>
  <c r="I36" i="35"/>
  <c r="J36" i="35" s="1"/>
  <c r="H36" i="35"/>
  <c r="E36" i="35"/>
  <c r="D36" i="35"/>
  <c r="F36" i="35" s="1"/>
  <c r="C36" i="35"/>
  <c r="Z35" i="35"/>
  <c r="X35" i="35"/>
  <c r="T35" i="35"/>
  <c r="R35" i="35"/>
  <c r="M35" i="35"/>
  <c r="L35" i="35"/>
  <c r="I35" i="35"/>
  <c r="J35" i="35" s="1"/>
  <c r="H35" i="35"/>
  <c r="E35" i="35"/>
  <c r="D35" i="35"/>
  <c r="C35" i="35"/>
  <c r="Z34" i="35"/>
  <c r="X34" i="35"/>
  <c r="T34" i="35"/>
  <c r="R34" i="35"/>
  <c r="M34" i="35"/>
  <c r="L34" i="35"/>
  <c r="I34" i="35"/>
  <c r="J34" i="35" s="1"/>
  <c r="H34" i="35"/>
  <c r="E34" i="35"/>
  <c r="F34" i="35" s="1"/>
  <c r="D34" i="35"/>
  <c r="C34" i="35"/>
  <c r="Z33" i="35"/>
  <c r="X33" i="35"/>
  <c r="T33" i="35"/>
  <c r="R33" i="35"/>
  <c r="M33" i="35"/>
  <c r="L33" i="35"/>
  <c r="I33" i="35"/>
  <c r="H33" i="35"/>
  <c r="E33" i="35"/>
  <c r="F33" i="35" s="1"/>
  <c r="D33" i="35"/>
  <c r="C33" i="35"/>
  <c r="Z32" i="35"/>
  <c r="X32" i="35"/>
  <c r="T32" i="35"/>
  <c r="R32" i="35"/>
  <c r="M32" i="35"/>
  <c r="L32" i="35"/>
  <c r="I32" i="35"/>
  <c r="H32" i="35"/>
  <c r="E32" i="35"/>
  <c r="F32" i="35" s="1"/>
  <c r="D32" i="35"/>
  <c r="C32" i="35"/>
  <c r="Z31" i="35"/>
  <c r="X31" i="35"/>
  <c r="T31" i="35"/>
  <c r="R31" i="35"/>
  <c r="M31" i="35"/>
  <c r="L31" i="35"/>
  <c r="I31" i="35"/>
  <c r="H31" i="35"/>
  <c r="E31" i="35"/>
  <c r="D31" i="35"/>
  <c r="C31" i="35"/>
  <c r="Z30" i="35"/>
  <c r="X30" i="35"/>
  <c r="T30" i="35"/>
  <c r="V30" i="35" s="1"/>
  <c r="R30" i="35"/>
  <c r="M30" i="35"/>
  <c r="L30" i="35"/>
  <c r="I30" i="35"/>
  <c r="H30" i="35"/>
  <c r="J30" i="35" s="1"/>
  <c r="E30" i="35"/>
  <c r="D30" i="35"/>
  <c r="C30" i="35"/>
  <c r="Z29" i="35"/>
  <c r="X29" i="35"/>
  <c r="T29" i="35"/>
  <c r="R29" i="35"/>
  <c r="M29" i="35"/>
  <c r="L29" i="35"/>
  <c r="I29" i="35"/>
  <c r="H29" i="35"/>
  <c r="E29" i="35"/>
  <c r="D29" i="35"/>
  <c r="C29" i="35"/>
  <c r="Z28" i="35"/>
  <c r="X28" i="35"/>
  <c r="T28" i="35"/>
  <c r="R28" i="35"/>
  <c r="M28" i="35"/>
  <c r="L28" i="35"/>
  <c r="I28" i="35"/>
  <c r="J28" i="35" s="1"/>
  <c r="H28" i="35"/>
  <c r="E28" i="35"/>
  <c r="D28" i="35"/>
  <c r="F28" i="35" s="1"/>
  <c r="C28" i="35"/>
  <c r="Z27" i="35"/>
  <c r="X27" i="35"/>
  <c r="T27" i="35"/>
  <c r="R27" i="35"/>
  <c r="M27" i="35"/>
  <c r="L27" i="35"/>
  <c r="I27" i="35"/>
  <c r="J27" i="35" s="1"/>
  <c r="H27" i="35"/>
  <c r="E27" i="35"/>
  <c r="D27" i="35"/>
  <c r="C27" i="35"/>
  <c r="Z26" i="35"/>
  <c r="X26" i="35"/>
  <c r="T26" i="35"/>
  <c r="R26" i="35"/>
  <c r="M26" i="35"/>
  <c r="L26" i="35"/>
  <c r="I26" i="35"/>
  <c r="J26" i="35" s="1"/>
  <c r="H26" i="35"/>
  <c r="E26" i="35"/>
  <c r="F26" i="35" s="1"/>
  <c r="D26" i="35"/>
  <c r="C26" i="35"/>
  <c r="Z25" i="35"/>
  <c r="X25" i="35"/>
  <c r="T25" i="35"/>
  <c r="R25" i="35"/>
  <c r="M25" i="35"/>
  <c r="L25" i="35"/>
  <c r="N25" i="35" s="1"/>
  <c r="I25" i="35"/>
  <c r="J25" i="35" s="1"/>
  <c r="H25" i="35"/>
  <c r="E25" i="35"/>
  <c r="D25" i="35"/>
  <c r="C25" i="35"/>
  <c r="Z24" i="35"/>
  <c r="X24" i="35"/>
  <c r="T24" i="35"/>
  <c r="R24" i="35"/>
  <c r="M24" i="35"/>
  <c r="L24" i="35"/>
  <c r="N24" i="35" s="1"/>
  <c r="I24" i="35"/>
  <c r="H24" i="35"/>
  <c r="E24" i="35"/>
  <c r="F24" i="35" s="1"/>
  <c r="D24" i="35"/>
  <c r="C24" i="35"/>
  <c r="Z23" i="35"/>
  <c r="X23" i="35"/>
  <c r="T23" i="35"/>
  <c r="V23" i="35" s="1"/>
  <c r="R23" i="35"/>
  <c r="M23" i="35"/>
  <c r="L23" i="35"/>
  <c r="I23" i="35"/>
  <c r="H23" i="35"/>
  <c r="J23" i="35" s="1"/>
  <c r="E23" i="35"/>
  <c r="F23" i="35" s="1"/>
  <c r="D23" i="35"/>
  <c r="C23" i="35"/>
  <c r="Z22" i="35"/>
  <c r="X22" i="35"/>
  <c r="T22" i="35"/>
  <c r="R22" i="35"/>
  <c r="M22" i="35"/>
  <c r="L22" i="35"/>
  <c r="I22" i="35"/>
  <c r="H22" i="35"/>
  <c r="J22" i="35" s="1"/>
  <c r="E22" i="35"/>
  <c r="D22" i="35"/>
  <c r="C22" i="35"/>
  <c r="Z21" i="35"/>
  <c r="X21" i="35"/>
  <c r="Y21" i="35" s="1"/>
  <c r="T21" i="35"/>
  <c r="V21" i="35" s="1"/>
  <c r="R21" i="35"/>
  <c r="M21" i="35"/>
  <c r="L21" i="35"/>
  <c r="I21" i="35"/>
  <c r="H21" i="35"/>
  <c r="E21" i="35"/>
  <c r="D21" i="35"/>
  <c r="C21" i="35"/>
  <c r="Z20" i="35"/>
  <c r="X20" i="35"/>
  <c r="Y20" i="35" s="1"/>
  <c r="T20" i="35"/>
  <c r="R20" i="35"/>
  <c r="M20" i="35"/>
  <c r="L20" i="35"/>
  <c r="I20" i="35"/>
  <c r="H20" i="35"/>
  <c r="E20" i="35"/>
  <c r="D20" i="35"/>
  <c r="C20" i="35"/>
  <c r="Z19" i="35"/>
  <c r="X19" i="35"/>
  <c r="T19" i="35"/>
  <c r="R19" i="35"/>
  <c r="M19" i="35"/>
  <c r="L19" i="35"/>
  <c r="I19" i="35"/>
  <c r="H19" i="35"/>
  <c r="E19" i="35"/>
  <c r="D19" i="35"/>
  <c r="C19" i="35"/>
  <c r="Z18" i="35"/>
  <c r="X18" i="35"/>
  <c r="Y24" i="35" s="1"/>
  <c r="T18" i="35"/>
  <c r="R18" i="35"/>
  <c r="M18" i="35"/>
  <c r="L18" i="35"/>
  <c r="I18" i="35"/>
  <c r="H18" i="35"/>
  <c r="E18" i="35"/>
  <c r="D18" i="35"/>
  <c r="C18" i="35"/>
  <c r="Z17" i="35"/>
  <c r="X17" i="35"/>
  <c r="T17" i="35"/>
  <c r="R17" i="35"/>
  <c r="M17" i="35"/>
  <c r="L17" i="35"/>
  <c r="I17" i="35"/>
  <c r="J17" i="35" s="1"/>
  <c r="H17" i="35"/>
  <c r="E17" i="35"/>
  <c r="D17" i="35"/>
  <c r="C17" i="35"/>
  <c r="Z16" i="35"/>
  <c r="X16" i="35"/>
  <c r="T16" i="35"/>
  <c r="R16" i="35"/>
  <c r="M16" i="35"/>
  <c r="L16" i="35"/>
  <c r="P16" i="35" s="1"/>
  <c r="I16" i="35"/>
  <c r="H16" i="35"/>
  <c r="E16" i="35"/>
  <c r="D16" i="35"/>
  <c r="C16" i="35"/>
  <c r="Z15" i="35"/>
  <c r="X15" i="35"/>
  <c r="T15" i="35"/>
  <c r="R15" i="35"/>
  <c r="S21" i="35" s="1"/>
  <c r="M15" i="35"/>
  <c r="L15" i="35"/>
  <c r="I15" i="35"/>
  <c r="H15" i="35"/>
  <c r="E15" i="35"/>
  <c r="F15" i="35" s="1"/>
  <c r="D15" i="35"/>
  <c r="C15" i="35"/>
  <c r="Z14" i="35"/>
  <c r="X14" i="35"/>
  <c r="T14" i="35"/>
  <c r="R14" i="35"/>
  <c r="M14" i="35"/>
  <c r="L14" i="35"/>
  <c r="I14" i="35"/>
  <c r="H14" i="35"/>
  <c r="J14" i="35" s="1"/>
  <c r="E14" i="35"/>
  <c r="D14" i="35"/>
  <c r="C14" i="35"/>
  <c r="Z13" i="35"/>
  <c r="X13" i="35"/>
  <c r="T13" i="35"/>
  <c r="R13" i="35"/>
  <c r="M13" i="35"/>
  <c r="P13" i="35" s="1"/>
  <c r="L13" i="35"/>
  <c r="I13" i="35"/>
  <c r="H13" i="35"/>
  <c r="E13" i="35"/>
  <c r="D13" i="35"/>
  <c r="C13" i="35"/>
  <c r="Z12" i="35"/>
  <c r="X12" i="35"/>
  <c r="T12" i="35"/>
  <c r="R12" i="35"/>
  <c r="M12" i="35"/>
  <c r="P12" i="35" s="1"/>
  <c r="L12" i="35"/>
  <c r="I12" i="35"/>
  <c r="H12" i="35"/>
  <c r="E12" i="35"/>
  <c r="D12" i="35"/>
  <c r="C12" i="35"/>
  <c r="Z11" i="35"/>
  <c r="X11" i="35"/>
  <c r="T11" i="35"/>
  <c r="R11" i="35"/>
  <c r="M11" i="35"/>
  <c r="L11" i="35"/>
  <c r="I11" i="35"/>
  <c r="J11" i="35" s="1"/>
  <c r="H11" i="35"/>
  <c r="E11" i="35"/>
  <c r="D11" i="35"/>
  <c r="C11" i="35"/>
  <c r="Z10" i="35"/>
  <c r="X10" i="35"/>
  <c r="T10" i="35"/>
  <c r="R10" i="35"/>
  <c r="M10" i="35"/>
  <c r="L10" i="35"/>
  <c r="I10" i="35"/>
  <c r="J10" i="35" s="1"/>
  <c r="H10" i="35"/>
  <c r="E10" i="35"/>
  <c r="D10" i="35"/>
  <c r="C10" i="35"/>
  <c r="Z9" i="35"/>
  <c r="X9" i="35"/>
  <c r="T9" i="35"/>
  <c r="R9" i="35"/>
  <c r="M9" i="35"/>
  <c r="L9" i="35"/>
  <c r="I9" i="35"/>
  <c r="J9" i="35" s="1"/>
  <c r="H9" i="35"/>
  <c r="E9" i="35"/>
  <c r="F9" i="35" s="1"/>
  <c r="D9" i="35"/>
  <c r="C9" i="35"/>
  <c r="Z8" i="35"/>
  <c r="X8" i="35"/>
  <c r="T8" i="35"/>
  <c r="R8" i="35"/>
  <c r="M8" i="35"/>
  <c r="L8" i="35"/>
  <c r="P8" i="35" s="1"/>
  <c r="I8" i="35"/>
  <c r="H8" i="35"/>
  <c r="E8" i="35"/>
  <c r="F8" i="35" s="1"/>
  <c r="D8" i="35"/>
  <c r="C8" i="35"/>
  <c r="Z7" i="35"/>
  <c r="AA13" i="35" s="1"/>
  <c r="X7" i="35"/>
  <c r="T7" i="35"/>
  <c r="R7" i="35"/>
  <c r="M7" i="35"/>
  <c r="L7" i="35"/>
  <c r="I7" i="35"/>
  <c r="H7" i="35"/>
  <c r="E7" i="35"/>
  <c r="F7" i="35" s="1"/>
  <c r="D7" i="35"/>
  <c r="C7" i="35"/>
  <c r="Z6" i="35"/>
  <c r="X6" i="35"/>
  <c r="T6" i="35"/>
  <c r="V6" i="35" s="1"/>
  <c r="R6" i="35"/>
  <c r="M6" i="35"/>
  <c r="L6" i="35"/>
  <c r="I6" i="35"/>
  <c r="H6" i="35"/>
  <c r="E6" i="35"/>
  <c r="D6" i="35"/>
  <c r="C6" i="35"/>
  <c r="Z5" i="35"/>
  <c r="X5" i="35"/>
  <c r="T5" i="35"/>
  <c r="V5" i="35" s="1"/>
  <c r="R5" i="35"/>
  <c r="M5" i="35"/>
  <c r="P5" i="35" s="1"/>
  <c r="L5" i="35"/>
  <c r="I5" i="35"/>
  <c r="H5" i="35"/>
  <c r="E5" i="35"/>
  <c r="D5" i="35"/>
  <c r="C5" i="35"/>
  <c r="Z4" i="35"/>
  <c r="X4" i="35"/>
  <c r="T4" i="35"/>
  <c r="V4" i="35" s="1"/>
  <c r="R4" i="35"/>
  <c r="M4" i="35"/>
  <c r="P4" i="35" s="1"/>
  <c r="L4" i="35"/>
  <c r="I4" i="35"/>
  <c r="H4" i="35"/>
  <c r="E4" i="35"/>
  <c r="D4" i="35"/>
  <c r="F4" i="35" s="1"/>
  <c r="C4" i="35"/>
  <c r="Z3" i="35"/>
  <c r="X3" i="35"/>
  <c r="T3" i="35"/>
  <c r="R3" i="35"/>
  <c r="M3" i="35"/>
  <c r="P3" i="35" s="1"/>
  <c r="L3" i="35"/>
  <c r="I3" i="35"/>
  <c r="J3" i="35" s="1"/>
  <c r="H3" i="35"/>
  <c r="E3" i="35"/>
  <c r="D3" i="35"/>
  <c r="C3" i="35"/>
  <c r="Z2" i="35"/>
  <c r="X2" i="35"/>
  <c r="T2" i="35"/>
  <c r="R2" i="35"/>
  <c r="M2" i="35"/>
  <c r="L2" i="35"/>
  <c r="I2" i="35"/>
  <c r="J2" i="35" s="1"/>
  <c r="H2" i="35"/>
  <c r="E2" i="35"/>
  <c r="D2" i="35"/>
  <c r="C2" i="35"/>
  <c r="P91" i="35"/>
  <c r="P83" i="35"/>
  <c r="U83" i="35"/>
  <c r="V61" i="35"/>
  <c r="P54" i="35"/>
  <c r="AA47" i="35"/>
  <c r="AA45" i="35"/>
  <c r="V32" i="35"/>
  <c r="V24" i="35"/>
  <c r="Z109" i="12"/>
  <c r="X109" i="12"/>
  <c r="T109" i="12"/>
  <c r="R109" i="12"/>
  <c r="M109" i="12"/>
  <c r="L109" i="12"/>
  <c r="I109" i="12"/>
  <c r="H109" i="12"/>
  <c r="J109" i="12" s="1"/>
  <c r="E109" i="12"/>
  <c r="D109" i="12"/>
  <c r="C109" i="12"/>
  <c r="Z108" i="12"/>
  <c r="X108" i="12"/>
  <c r="T108" i="12"/>
  <c r="R108" i="12"/>
  <c r="M108" i="12"/>
  <c r="L108" i="12"/>
  <c r="I108" i="12"/>
  <c r="H108" i="12"/>
  <c r="J108" i="12" s="1"/>
  <c r="E108" i="12"/>
  <c r="F108" i="12" s="1"/>
  <c r="D108" i="12"/>
  <c r="C108" i="12"/>
  <c r="Z107" i="12"/>
  <c r="X107" i="12"/>
  <c r="T107" i="12"/>
  <c r="R107" i="12"/>
  <c r="M107" i="12"/>
  <c r="L107" i="12"/>
  <c r="I107" i="12"/>
  <c r="H107" i="12"/>
  <c r="E107" i="12"/>
  <c r="D107" i="12"/>
  <c r="F107" i="12" s="1"/>
  <c r="C107" i="12"/>
  <c r="Z106" i="12"/>
  <c r="X106" i="12"/>
  <c r="Y106" i="12" s="1"/>
  <c r="T106" i="12"/>
  <c r="V106" i="12" s="1"/>
  <c r="R106" i="12"/>
  <c r="M106" i="12"/>
  <c r="L106" i="12"/>
  <c r="I106" i="12"/>
  <c r="H106" i="12"/>
  <c r="E106" i="12"/>
  <c r="D106" i="12"/>
  <c r="F106" i="12" s="1"/>
  <c r="C106" i="12"/>
  <c r="Z105" i="12"/>
  <c r="X105" i="12"/>
  <c r="T105" i="12"/>
  <c r="R105" i="12"/>
  <c r="V105" i="12" s="1"/>
  <c r="M105" i="12"/>
  <c r="L105" i="12"/>
  <c r="I105" i="12"/>
  <c r="J105" i="12" s="1"/>
  <c r="H105" i="12"/>
  <c r="E105" i="12"/>
  <c r="D105" i="12"/>
  <c r="C105" i="12"/>
  <c r="Z104" i="12"/>
  <c r="X104" i="12"/>
  <c r="T104" i="12"/>
  <c r="R104" i="12"/>
  <c r="V104" i="12" s="1"/>
  <c r="M104" i="12"/>
  <c r="L104" i="12"/>
  <c r="I104" i="12"/>
  <c r="H104" i="12"/>
  <c r="E104" i="12"/>
  <c r="D104" i="12"/>
  <c r="C104" i="12"/>
  <c r="Z103" i="12"/>
  <c r="X103" i="12"/>
  <c r="T103" i="12"/>
  <c r="R103" i="12"/>
  <c r="M103" i="12"/>
  <c r="L103" i="12"/>
  <c r="N103" i="12" s="1"/>
  <c r="I103" i="12"/>
  <c r="H103" i="12"/>
  <c r="E103" i="12"/>
  <c r="D103" i="12"/>
  <c r="C103" i="12"/>
  <c r="Z102" i="12"/>
  <c r="X102" i="12"/>
  <c r="T102" i="12"/>
  <c r="R102" i="12"/>
  <c r="M102" i="12"/>
  <c r="L102" i="12"/>
  <c r="N102" i="12" s="1"/>
  <c r="I102" i="12"/>
  <c r="J102" i="12" s="1"/>
  <c r="H102" i="12"/>
  <c r="E102" i="12"/>
  <c r="D102" i="12"/>
  <c r="C102" i="12"/>
  <c r="Z101" i="12"/>
  <c r="X101" i="12"/>
  <c r="T101" i="12"/>
  <c r="R101" i="12"/>
  <c r="M101" i="12"/>
  <c r="L101" i="12"/>
  <c r="I101" i="12"/>
  <c r="H101" i="12"/>
  <c r="J101" i="12" s="1"/>
  <c r="E101" i="12"/>
  <c r="D101" i="12"/>
  <c r="C101" i="12"/>
  <c r="Z100" i="12"/>
  <c r="X100" i="12"/>
  <c r="T100" i="12"/>
  <c r="R100" i="12"/>
  <c r="M100" i="12"/>
  <c r="L100" i="12"/>
  <c r="I100" i="12"/>
  <c r="H100" i="12"/>
  <c r="J100" i="12" s="1"/>
  <c r="E100" i="12"/>
  <c r="F100" i="12" s="1"/>
  <c r="D100" i="12"/>
  <c r="C100" i="12"/>
  <c r="Z99" i="12"/>
  <c r="X99" i="12"/>
  <c r="Y105" i="12" s="1"/>
  <c r="T99" i="12"/>
  <c r="R99" i="12"/>
  <c r="M99" i="12"/>
  <c r="L99" i="12"/>
  <c r="I99" i="12"/>
  <c r="H99" i="12"/>
  <c r="E99" i="12"/>
  <c r="D99" i="12"/>
  <c r="F99" i="12" s="1"/>
  <c r="C99" i="12"/>
  <c r="Z98" i="12"/>
  <c r="X98" i="12"/>
  <c r="T98" i="12"/>
  <c r="R98" i="12"/>
  <c r="M98" i="12"/>
  <c r="L98" i="12"/>
  <c r="I98" i="12"/>
  <c r="H98" i="12"/>
  <c r="E98" i="12"/>
  <c r="D98" i="12"/>
  <c r="F98" i="12" s="1"/>
  <c r="C98" i="12"/>
  <c r="Z97" i="12"/>
  <c r="X97" i="12"/>
  <c r="T97" i="12"/>
  <c r="R97" i="12"/>
  <c r="M97" i="12"/>
  <c r="L97" i="12"/>
  <c r="P97" i="12" s="1"/>
  <c r="I97" i="12"/>
  <c r="H97" i="12"/>
  <c r="E97" i="12"/>
  <c r="D97" i="12"/>
  <c r="C97" i="12"/>
  <c r="Z96" i="12"/>
  <c r="X96" i="12"/>
  <c r="T96" i="12"/>
  <c r="R96" i="12"/>
  <c r="M96" i="12"/>
  <c r="L96" i="12"/>
  <c r="I96" i="12"/>
  <c r="H96" i="12"/>
  <c r="E96" i="12"/>
  <c r="D96" i="12"/>
  <c r="C96" i="12"/>
  <c r="Z95" i="12"/>
  <c r="X95" i="12"/>
  <c r="T95" i="12"/>
  <c r="R95" i="12"/>
  <c r="M95" i="12"/>
  <c r="L95" i="12"/>
  <c r="I95" i="12"/>
  <c r="H95" i="12"/>
  <c r="E95" i="12"/>
  <c r="D95" i="12"/>
  <c r="C95" i="12"/>
  <c r="Z94" i="12"/>
  <c r="X94" i="12"/>
  <c r="T94" i="12"/>
  <c r="R94" i="12"/>
  <c r="M94" i="12"/>
  <c r="L94" i="12"/>
  <c r="I94" i="12"/>
  <c r="H94" i="12"/>
  <c r="E94" i="12"/>
  <c r="D94" i="12"/>
  <c r="C94" i="12"/>
  <c r="Z93" i="12"/>
  <c r="X93" i="12"/>
  <c r="T93" i="12"/>
  <c r="R93" i="12"/>
  <c r="M93" i="12"/>
  <c r="N93" i="12" s="1"/>
  <c r="L93" i="12"/>
  <c r="I93" i="12"/>
  <c r="H93" i="12"/>
  <c r="E93" i="12"/>
  <c r="D93" i="12"/>
  <c r="C93" i="12"/>
  <c r="Z92" i="12"/>
  <c r="X92" i="12"/>
  <c r="T92" i="12"/>
  <c r="R92" i="12"/>
  <c r="M92" i="12"/>
  <c r="L92" i="12"/>
  <c r="I92" i="12"/>
  <c r="H92" i="12"/>
  <c r="E92" i="12"/>
  <c r="D92" i="12"/>
  <c r="C92" i="12"/>
  <c r="Z91" i="12"/>
  <c r="X91" i="12"/>
  <c r="T91" i="12"/>
  <c r="R91" i="12"/>
  <c r="S97" i="12" s="1"/>
  <c r="M91" i="12"/>
  <c r="L91" i="12"/>
  <c r="I91" i="12"/>
  <c r="J91" i="12" s="1"/>
  <c r="H91" i="12"/>
  <c r="E91" i="12"/>
  <c r="D91" i="12"/>
  <c r="C91" i="12"/>
  <c r="Z90" i="12"/>
  <c r="AA96" i="12" s="1"/>
  <c r="X90" i="12"/>
  <c r="T90" i="12"/>
  <c r="R90" i="12"/>
  <c r="M90" i="12"/>
  <c r="L90" i="12"/>
  <c r="I90" i="12"/>
  <c r="H90" i="12"/>
  <c r="E90" i="12"/>
  <c r="D90" i="12"/>
  <c r="C90" i="12"/>
  <c r="Z89" i="12"/>
  <c r="X89" i="12"/>
  <c r="T89" i="12"/>
  <c r="R89" i="12"/>
  <c r="M89" i="12"/>
  <c r="L89" i="12"/>
  <c r="I89" i="12"/>
  <c r="H89" i="12"/>
  <c r="E89" i="12"/>
  <c r="D89" i="12"/>
  <c r="C89" i="12"/>
  <c r="Z88" i="12"/>
  <c r="X88" i="12"/>
  <c r="Y94" i="12" s="1"/>
  <c r="T88" i="12"/>
  <c r="R88" i="12"/>
  <c r="S94" i="12" s="1"/>
  <c r="M88" i="12"/>
  <c r="L88" i="12"/>
  <c r="N88" i="12" s="1"/>
  <c r="I88" i="12"/>
  <c r="H88" i="12"/>
  <c r="E88" i="12"/>
  <c r="D88" i="12"/>
  <c r="C88" i="12"/>
  <c r="Z87" i="12"/>
  <c r="X87" i="12"/>
  <c r="T87" i="12"/>
  <c r="V87" i="12" s="1"/>
  <c r="R87" i="12"/>
  <c r="M87" i="12"/>
  <c r="L87" i="12"/>
  <c r="I87" i="12"/>
  <c r="H87" i="12"/>
  <c r="E87" i="12"/>
  <c r="D87" i="12"/>
  <c r="C87" i="12"/>
  <c r="Z86" i="12"/>
  <c r="X86" i="12"/>
  <c r="T86" i="12"/>
  <c r="R86" i="12"/>
  <c r="M86" i="12"/>
  <c r="N86" i="12" s="1"/>
  <c r="L86" i="12"/>
  <c r="I86" i="12"/>
  <c r="H86" i="12"/>
  <c r="E86" i="12"/>
  <c r="D86" i="12"/>
  <c r="C86" i="12"/>
  <c r="Z85" i="12"/>
  <c r="X85" i="12"/>
  <c r="T85" i="12"/>
  <c r="R85" i="12"/>
  <c r="M85" i="12"/>
  <c r="L85" i="12"/>
  <c r="I85" i="12"/>
  <c r="H85" i="12"/>
  <c r="E85" i="12"/>
  <c r="D85" i="12"/>
  <c r="C85" i="12"/>
  <c r="Z84" i="12"/>
  <c r="X84" i="12"/>
  <c r="T84" i="12"/>
  <c r="R84" i="12"/>
  <c r="M84" i="12"/>
  <c r="L84" i="12"/>
  <c r="I84" i="12"/>
  <c r="H84" i="12"/>
  <c r="E84" i="12"/>
  <c r="D84" i="12"/>
  <c r="C84" i="12"/>
  <c r="Z83" i="12"/>
  <c r="X83" i="12"/>
  <c r="T83" i="12"/>
  <c r="R83" i="12"/>
  <c r="M83" i="12"/>
  <c r="P83" i="12" s="1"/>
  <c r="L83" i="12"/>
  <c r="I83" i="12"/>
  <c r="H83" i="12"/>
  <c r="E83" i="12"/>
  <c r="D83" i="12"/>
  <c r="C83" i="12"/>
  <c r="Z82" i="12"/>
  <c r="X82" i="12"/>
  <c r="Y82" i="12" s="1"/>
  <c r="T82" i="12"/>
  <c r="V82" i="12" s="1"/>
  <c r="R82" i="12"/>
  <c r="M82" i="12"/>
  <c r="L82" i="12"/>
  <c r="I82" i="12"/>
  <c r="H82" i="12"/>
  <c r="E82" i="12"/>
  <c r="D82" i="12"/>
  <c r="C82" i="12"/>
  <c r="Z81" i="12"/>
  <c r="X81" i="12"/>
  <c r="T81" i="12"/>
  <c r="R81" i="12"/>
  <c r="M81" i="12"/>
  <c r="L81" i="12"/>
  <c r="P81" i="12" s="1"/>
  <c r="I81" i="12"/>
  <c r="H81" i="12"/>
  <c r="E81" i="12"/>
  <c r="D81" i="12"/>
  <c r="C81" i="12"/>
  <c r="Z80" i="12"/>
  <c r="X80" i="12"/>
  <c r="T80" i="12"/>
  <c r="R80" i="12"/>
  <c r="M80" i="12"/>
  <c r="L80" i="12"/>
  <c r="I80" i="12"/>
  <c r="H80" i="12"/>
  <c r="E80" i="12"/>
  <c r="D80" i="12"/>
  <c r="C80" i="12"/>
  <c r="Z79" i="12"/>
  <c r="X79" i="12"/>
  <c r="T79" i="12"/>
  <c r="R79" i="12"/>
  <c r="M79" i="12"/>
  <c r="L79" i="12"/>
  <c r="I79" i="12"/>
  <c r="H79" i="12"/>
  <c r="E79" i="12"/>
  <c r="D79" i="12"/>
  <c r="C79" i="12"/>
  <c r="Z78" i="12"/>
  <c r="X78" i="12"/>
  <c r="T78" i="12"/>
  <c r="R78" i="12"/>
  <c r="M78" i="12"/>
  <c r="P78" i="12" s="1"/>
  <c r="L78" i="12"/>
  <c r="I78" i="12"/>
  <c r="H78" i="12"/>
  <c r="E78" i="12"/>
  <c r="D78" i="12"/>
  <c r="C78" i="12"/>
  <c r="Z77" i="12"/>
  <c r="AA83" i="12" s="1"/>
  <c r="X77" i="12"/>
  <c r="Y83" i="12" s="1"/>
  <c r="T77" i="12"/>
  <c r="R77" i="12"/>
  <c r="M77" i="12"/>
  <c r="L77" i="12"/>
  <c r="I77" i="12"/>
  <c r="H77" i="12"/>
  <c r="E77" i="12"/>
  <c r="D77" i="12"/>
  <c r="C77" i="12"/>
  <c r="Z76" i="12"/>
  <c r="X76" i="12"/>
  <c r="T76" i="12"/>
  <c r="R76" i="12"/>
  <c r="M76" i="12"/>
  <c r="L76" i="12"/>
  <c r="I76" i="12"/>
  <c r="H76" i="12"/>
  <c r="E76" i="12"/>
  <c r="F76" i="12" s="1"/>
  <c r="D76" i="12"/>
  <c r="C76" i="12"/>
  <c r="Z75" i="12"/>
  <c r="X75" i="12"/>
  <c r="T75" i="12"/>
  <c r="R75" i="12"/>
  <c r="S81" i="12" s="1"/>
  <c r="M75" i="12"/>
  <c r="L75" i="12"/>
  <c r="I75" i="12"/>
  <c r="H75" i="12"/>
  <c r="E75" i="12"/>
  <c r="D75" i="12"/>
  <c r="C75" i="12"/>
  <c r="Z74" i="12"/>
  <c r="AA80" i="12" s="1"/>
  <c r="X74" i="12"/>
  <c r="T74" i="12"/>
  <c r="R74" i="12"/>
  <c r="M74" i="12"/>
  <c r="L74" i="12"/>
  <c r="I74" i="12"/>
  <c r="H74" i="12"/>
  <c r="E74" i="12"/>
  <c r="D74" i="12"/>
  <c r="C74" i="12"/>
  <c r="Z73" i="12"/>
  <c r="X73" i="12"/>
  <c r="T73" i="12"/>
  <c r="R73" i="12"/>
  <c r="M73" i="12"/>
  <c r="L73" i="12"/>
  <c r="I73" i="12"/>
  <c r="H73" i="12"/>
  <c r="E73" i="12"/>
  <c r="D73" i="12"/>
  <c r="C73" i="12"/>
  <c r="Z72" i="12"/>
  <c r="X72" i="12"/>
  <c r="T72" i="12"/>
  <c r="R72" i="12"/>
  <c r="M72" i="12"/>
  <c r="L72" i="12"/>
  <c r="I72" i="12"/>
  <c r="H72" i="12"/>
  <c r="E72" i="12"/>
  <c r="D72" i="12"/>
  <c r="C72" i="12"/>
  <c r="Z71" i="12"/>
  <c r="AA71" i="12" s="1"/>
  <c r="X71" i="12"/>
  <c r="T71" i="12"/>
  <c r="R71" i="12"/>
  <c r="V71" i="12" s="1"/>
  <c r="M71" i="12"/>
  <c r="L71" i="12"/>
  <c r="I71" i="12"/>
  <c r="H71" i="12"/>
  <c r="E71" i="12"/>
  <c r="D71" i="12"/>
  <c r="C71" i="12"/>
  <c r="Z70" i="12"/>
  <c r="X70" i="12"/>
  <c r="T70" i="12"/>
  <c r="R70" i="12"/>
  <c r="V70" i="12" s="1"/>
  <c r="M70" i="12"/>
  <c r="L70" i="12"/>
  <c r="I70" i="12"/>
  <c r="H70" i="12"/>
  <c r="E70" i="12"/>
  <c r="F70" i="12" s="1"/>
  <c r="D70" i="12"/>
  <c r="C70" i="12"/>
  <c r="Z69" i="12"/>
  <c r="X69" i="12"/>
  <c r="T69" i="12"/>
  <c r="R69" i="12"/>
  <c r="M69" i="12"/>
  <c r="L69" i="12"/>
  <c r="I69" i="12"/>
  <c r="H69" i="12"/>
  <c r="E69" i="12"/>
  <c r="D69" i="12"/>
  <c r="C69" i="12"/>
  <c r="Z68" i="12"/>
  <c r="X68" i="12"/>
  <c r="T68" i="12"/>
  <c r="V68" i="12" s="1"/>
  <c r="R68" i="12"/>
  <c r="M68" i="12"/>
  <c r="L68" i="12"/>
  <c r="I68" i="12"/>
  <c r="H68" i="12"/>
  <c r="E68" i="12"/>
  <c r="D68" i="12"/>
  <c r="C68" i="12"/>
  <c r="Z67" i="12"/>
  <c r="X67" i="12"/>
  <c r="T67" i="12"/>
  <c r="U73" i="12" s="1"/>
  <c r="R67" i="12"/>
  <c r="M67" i="12"/>
  <c r="L67" i="12"/>
  <c r="I67" i="12"/>
  <c r="H67" i="12"/>
  <c r="E67" i="12"/>
  <c r="D67" i="12"/>
  <c r="C67" i="12"/>
  <c r="Z66" i="12"/>
  <c r="AA72" i="12" s="1"/>
  <c r="X66" i="12"/>
  <c r="T66" i="12"/>
  <c r="R66" i="12"/>
  <c r="M66" i="12"/>
  <c r="N66" i="12" s="1"/>
  <c r="L66" i="12"/>
  <c r="I66" i="12"/>
  <c r="H66" i="12"/>
  <c r="E66" i="12"/>
  <c r="D66" i="12"/>
  <c r="C66" i="12"/>
  <c r="Z65" i="12"/>
  <c r="X65" i="12"/>
  <c r="T65" i="12"/>
  <c r="R65" i="12"/>
  <c r="M65" i="12"/>
  <c r="L65" i="12"/>
  <c r="I65" i="12"/>
  <c r="H65" i="12"/>
  <c r="E65" i="12"/>
  <c r="D65" i="12"/>
  <c r="F65" i="12" s="1"/>
  <c r="C65" i="12"/>
  <c r="Z64" i="12"/>
  <c r="X64" i="12"/>
  <c r="T64" i="12"/>
  <c r="U70" i="12" s="1"/>
  <c r="R64" i="12"/>
  <c r="M64" i="12"/>
  <c r="P64" i="12" s="1"/>
  <c r="L64" i="12"/>
  <c r="I64" i="12"/>
  <c r="J64" i="12" s="1"/>
  <c r="H64" i="12"/>
  <c r="E64" i="12"/>
  <c r="D64" i="12"/>
  <c r="F64" i="12" s="1"/>
  <c r="C64" i="12"/>
  <c r="Z63" i="12"/>
  <c r="X63" i="12"/>
  <c r="T63" i="12"/>
  <c r="R63" i="12"/>
  <c r="M63" i="12"/>
  <c r="L63" i="12"/>
  <c r="I63" i="12"/>
  <c r="H63" i="12"/>
  <c r="E63" i="12"/>
  <c r="D63" i="12"/>
  <c r="C63" i="12"/>
  <c r="Z62" i="12"/>
  <c r="X62" i="12"/>
  <c r="T62" i="12"/>
  <c r="R62" i="12"/>
  <c r="M62" i="12"/>
  <c r="L62" i="12"/>
  <c r="I62" i="12"/>
  <c r="J62" i="12" s="1"/>
  <c r="H62" i="12"/>
  <c r="E62" i="12"/>
  <c r="F62" i="12" s="1"/>
  <c r="D62" i="12"/>
  <c r="C62" i="12"/>
  <c r="Z61" i="12"/>
  <c r="X61" i="12"/>
  <c r="T61" i="12"/>
  <c r="R61" i="12"/>
  <c r="M61" i="12"/>
  <c r="L61" i="12"/>
  <c r="I61" i="12"/>
  <c r="H61" i="12"/>
  <c r="E61" i="12"/>
  <c r="D61" i="12"/>
  <c r="C61" i="12"/>
  <c r="Z60" i="12"/>
  <c r="X60" i="12"/>
  <c r="T60" i="12"/>
  <c r="R60" i="12"/>
  <c r="M60" i="12"/>
  <c r="L60" i="12"/>
  <c r="N60" i="12" s="1"/>
  <c r="I60" i="12"/>
  <c r="J60" i="12" s="1"/>
  <c r="H60" i="12"/>
  <c r="E60" i="12"/>
  <c r="D60" i="12"/>
  <c r="C60" i="12"/>
  <c r="Z59" i="12"/>
  <c r="X59" i="12"/>
  <c r="T59" i="12"/>
  <c r="R59" i="12"/>
  <c r="M59" i="12"/>
  <c r="L59" i="12"/>
  <c r="I59" i="12"/>
  <c r="H59" i="12"/>
  <c r="E59" i="12"/>
  <c r="D59" i="12"/>
  <c r="C59" i="12"/>
  <c r="Z58" i="12"/>
  <c r="X58" i="12"/>
  <c r="T58" i="12"/>
  <c r="R58" i="12"/>
  <c r="M58" i="12"/>
  <c r="L58" i="12"/>
  <c r="I58" i="12"/>
  <c r="H58" i="12"/>
  <c r="J58" i="12" s="1"/>
  <c r="E58" i="12"/>
  <c r="D58" i="12"/>
  <c r="C58" i="12"/>
  <c r="Z57" i="12"/>
  <c r="X57" i="12"/>
  <c r="T57" i="12"/>
  <c r="R57" i="12"/>
  <c r="M57" i="12"/>
  <c r="L57" i="12"/>
  <c r="N57" i="12" s="1"/>
  <c r="I57" i="12"/>
  <c r="H57" i="12"/>
  <c r="E57" i="12"/>
  <c r="D57" i="12"/>
  <c r="C57" i="12"/>
  <c r="Z56" i="12"/>
  <c r="X56" i="12"/>
  <c r="T56" i="12"/>
  <c r="R56" i="12"/>
  <c r="M56" i="12"/>
  <c r="L56" i="12"/>
  <c r="I56" i="12"/>
  <c r="H56" i="12"/>
  <c r="E56" i="12"/>
  <c r="D56" i="12"/>
  <c r="F56" i="12" s="1"/>
  <c r="C56" i="12"/>
  <c r="Z55" i="12"/>
  <c r="X55" i="12"/>
  <c r="T55" i="12"/>
  <c r="R55" i="12"/>
  <c r="M55" i="12"/>
  <c r="L55" i="12"/>
  <c r="I55" i="12"/>
  <c r="H55" i="12"/>
  <c r="E55" i="12"/>
  <c r="D55" i="12"/>
  <c r="C55" i="12"/>
  <c r="Z54" i="12"/>
  <c r="X54" i="12"/>
  <c r="T54" i="12"/>
  <c r="R54" i="12"/>
  <c r="V54" i="12" s="1"/>
  <c r="M54" i="12"/>
  <c r="L54" i="12"/>
  <c r="I54" i="12"/>
  <c r="H54" i="12"/>
  <c r="E54" i="12"/>
  <c r="D54" i="12"/>
  <c r="C54" i="12"/>
  <c r="Z53" i="12"/>
  <c r="X53" i="12"/>
  <c r="T53" i="12"/>
  <c r="U59" i="12" s="1"/>
  <c r="R53" i="12"/>
  <c r="M53" i="12"/>
  <c r="L53" i="12"/>
  <c r="I53" i="12"/>
  <c r="H53" i="12"/>
  <c r="E53" i="12"/>
  <c r="D53" i="12"/>
  <c r="F53" i="12" s="1"/>
  <c r="G59" i="12" s="1"/>
  <c r="C53" i="12"/>
  <c r="Z52" i="12"/>
  <c r="X52" i="12"/>
  <c r="T52" i="12"/>
  <c r="R52" i="12"/>
  <c r="M52" i="12"/>
  <c r="L52" i="12"/>
  <c r="P52" i="12" s="1"/>
  <c r="I52" i="12"/>
  <c r="H52" i="12"/>
  <c r="E52" i="12"/>
  <c r="D52" i="12"/>
  <c r="C52" i="12"/>
  <c r="Z51" i="12"/>
  <c r="X51" i="12"/>
  <c r="T51" i="12"/>
  <c r="U57" i="12" s="1"/>
  <c r="R51" i="12"/>
  <c r="V51" i="12" s="1"/>
  <c r="M51" i="12"/>
  <c r="L51" i="12"/>
  <c r="I51" i="12"/>
  <c r="H51" i="12"/>
  <c r="E51" i="12"/>
  <c r="D51" i="12"/>
  <c r="C51" i="12"/>
  <c r="Z50" i="12"/>
  <c r="AA56" i="12" s="1"/>
  <c r="X50" i="12"/>
  <c r="T50" i="12"/>
  <c r="R50" i="12"/>
  <c r="M50" i="12"/>
  <c r="L50" i="12"/>
  <c r="I50" i="12"/>
  <c r="H50" i="12"/>
  <c r="J50" i="12" s="1"/>
  <c r="E50" i="12"/>
  <c r="D50" i="12"/>
  <c r="C50" i="12"/>
  <c r="Z49" i="12"/>
  <c r="X49" i="12"/>
  <c r="T49" i="12"/>
  <c r="R49" i="12"/>
  <c r="M49" i="12"/>
  <c r="L49" i="12"/>
  <c r="I49" i="12"/>
  <c r="H49" i="12"/>
  <c r="E49" i="12"/>
  <c r="D49" i="12"/>
  <c r="C49" i="12"/>
  <c r="Z48" i="12"/>
  <c r="X48" i="12"/>
  <c r="T48" i="12"/>
  <c r="R48" i="12"/>
  <c r="V48" i="12" s="1"/>
  <c r="M48" i="12"/>
  <c r="L48" i="12"/>
  <c r="I48" i="12"/>
  <c r="H48" i="12"/>
  <c r="E48" i="12"/>
  <c r="D48" i="12"/>
  <c r="C48" i="12"/>
  <c r="Z47" i="12"/>
  <c r="X47" i="12"/>
  <c r="T47" i="12"/>
  <c r="R47" i="12"/>
  <c r="M47" i="12"/>
  <c r="L47" i="12"/>
  <c r="I47" i="12"/>
  <c r="H47" i="12"/>
  <c r="E47" i="12"/>
  <c r="D47" i="12"/>
  <c r="C47" i="12"/>
  <c r="Z46" i="12"/>
  <c r="X46" i="12"/>
  <c r="T46" i="12"/>
  <c r="R46" i="12"/>
  <c r="M46" i="12"/>
  <c r="L46" i="12"/>
  <c r="I46" i="12"/>
  <c r="J46" i="12" s="1"/>
  <c r="H46" i="12"/>
  <c r="E46" i="12"/>
  <c r="D46" i="12"/>
  <c r="C46" i="12"/>
  <c r="Z45" i="12"/>
  <c r="X45" i="12"/>
  <c r="T45" i="12"/>
  <c r="U45" i="12" s="1"/>
  <c r="R45" i="12"/>
  <c r="M45" i="12"/>
  <c r="L45" i="12"/>
  <c r="I45" i="12"/>
  <c r="H45" i="12"/>
  <c r="E45" i="12"/>
  <c r="D45" i="12"/>
  <c r="C45" i="12"/>
  <c r="Z44" i="12"/>
  <c r="X44" i="12"/>
  <c r="T44" i="12"/>
  <c r="R44" i="12"/>
  <c r="M44" i="12"/>
  <c r="L44" i="12"/>
  <c r="I44" i="12"/>
  <c r="H44" i="12"/>
  <c r="E44" i="12"/>
  <c r="D44" i="12"/>
  <c r="C44" i="12"/>
  <c r="Z43" i="12"/>
  <c r="X43" i="12"/>
  <c r="T43" i="12"/>
  <c r="R43" i="12"/>
  <c r="M43" i="12"/>
  <c r="L43" i="12"/>
  <c r="I43" i="12"/>
  <c r="H43" i="12"/>
  <c r="E43" i="12"/>
  <c r="D43" i="12"/>
  <c r="C43" i="12"/>
  <c r="Z42" i="12"/>
  <c r="X42" i="12"/>
  <c r="T42" i="12"/>
  <c r="V42" i="12" s="1"/>
  <c r="R42" i="12"/>
  <c r="M42" i="12"/>
  <c r="L42" i="12"/>
  <c r="I42" i="12"/>
  <c r="H42" i="12"/>
  <c r="E42" i="12"/>
  <c r="D42" i="12"/>
  <c r="C42" i="12"/>
  <c r="Z41" i="12"/>
  <c r="X41" i="12"/>
  <c r="T41" i="12"/>
  <c r="R41" i="12"/>
  <c r="M41" i="12"/>
  <c r="L41" i="12"/>
  <c r="I41" i="12"/>
  <c r="H41" i="12"/>
  <c r="E41" i="12"/>
  <c r="D41" i="12"/>
  <c r="C41" i="12"/>
  <c r="Z40" i="12"/>
  <c r="X40" i="12"/>
  <c r="T40" i="12"/>
  <c r="U46" i="12" s="1"/>
  <c r="R40" i="12"/>
  <c r="M40" i="12"/>
  <c r="L40" i="12"/>
  <c r="I40" i="12"/>
  <c r="H40" i="12"/>
  <c r="E40" i="12"/>
  <c r="D40" i="12"/>
  <c r="C40" i="12"/>
  <c r="Z39" i="12"/>
  <c r="X39" i="12"/>
  <c r="T39" i="12"/>
  <c r="R39" i="12"/>
  <c r="M39" i="12"/>
  <c r="L39" i="12"/>
  <c r="I39" i="12"/>
  <c r="H39" i="12"/>
  <c r="E39" i="12"/>
  <c r="D39" i="12"/>
  <c r="C39" i="12"/>
  <c r="Z38" i="12"/>
  <c r="X38" i="12"/>
  <c r="T38" i="12"/>
  <c r="R38" i="12"/>
  <c r="M38" i="12"/>
  <c r="L38" i="12"/>
  <c r="I38" i="12"/>
  <c r="H38" i="12"/>
  <c r="E38" i="12"/>
  <c r="D38" i="12"/>
  <c r="C38" i="12"/>
  <c r="Z37" i="12"/>
  <c r="X37" i="12"/>
  <c r="T37" i="12"/>
  <c r="R37" i="12"/>
  <c r="M37" i="12"/>
  <c r="L37" i="12"/>
  <c r="I37" i="12"/>
  <c r="H37" i="12"/>
  <c r="E37" i="12"/>
  <c r="D37" i="12"/>
  <c r="C37" i="12"/>
  <c r="Z36" i="12"/>
  <c r="X36" i="12"/>
  <c r="T36" i="12"/>
  <c r="R36" i="12"/>
  <c r="M36" i="12"/>
  <c r="L36" i="12"/>
  <c r="I36" i="12"/>
  <c r="H36" i="12"/>
  <c r="J36" i="12" s="1"/>
  <c r="E36" i="12"/>
  <c r="F36" i="12" s="1"/>
  <c r="D36" i="12"/>
  <c r="C36" i="12"/>
  <c r="Z35" i="12"/>
  <c r="X35" i="12"/>
  <c r="T35" i="12"/>
  <c r="R35" i="12"/>
  <c r="M35" i="12"/>
  <c r="L35" i="12"/>
  <c r="I35" i="12"/>
  <c r="H35" i="12"/>
  <c r="E35" i="12"/>
  <c r="D35" i="12"/>
  <c r="C35" i="12"/>
  <c r="Z34" i="12"/>
  <c r="X34" i="12"/>
  <c r="T34" i="12"/>
  <c r="V34" i="12" s="1"/>
  <c r="R34" i="12"/>
  <c r="M34" i="12"/>
  <c r="L34" i="12"/>
  <c r="I34" i="12"/>
  <c r="H34" i="12"/>
  <c r="E34" i="12"/>
  <c r="D34" i="12"/>
  <c r="F34" i="12" s="1"/>
  <c r="C34" i="12"/>
  <c r="Z33" i="12"/>
  <c r="X33" i="12"/>
  <c r="T33" i="12"/>
  <c r="R33" i="12"/>
  <c r="M33" i="12"/>
  <c r="L33" i="12"/>
  <c r="I33" i="12"/>
  <c r="H33" i="12"/>
  <c r="E33" i="12"/>
  <c r="D33" i="12"/>
  <c r="C33" i="12"/>
  <c r="Z32" i="12"/>
  <c r="X32" i="12"/>
  <c r="T32" i="12"/>
  <c r="R32" i="12"/>
  <c r="V32" i="12" s="1"/>
  <c r="M32" i="12"/>
  <c r="N32" i="12" s="1"/>
  <c r="L32" i="12"/>
  <c r="I32" i="12"/>
  <c r="H32" i="12"/>
  <c r="E32" i="12"/>
  <c r="D32" i="12"/>
  <c r="C32" i="12"/>
  <c r="Z31" i="12"/>
  <c r="X31" i="12"/>
  <c r="T31" i="12"/>
  <c r="R31" i="12"/>
  <c r="M31" i="12"/>
  <c r="L31" i="12"/>
  <c r="I31" i="12"/>
  <c r="H31" i="12"/>
  <c r="E31" i="12"/>
  <c r="D31" i="12"/>
  <c r="C31" i="12"/>
  <c r="Z30" i="12"/>
  <c r="X30" i="12"/>
  <c r="T30" i="12"/>
  <c r="R30" i="12"/>
  <c r="M30" i="12"/>
  <c r="P30" i="12" s="1"/>
  <c r="L30" i="12"/>
  <c r="I30" i="12"/>
  <c r="J30" i="12" s="1"/>
  <c r="H30" i="12"/>
  <c r="E30" i="12"/>
  <c r="D30" i="12"/>
  <c r="C30" i="12"/>
  <c r="Z29" i="12"/>
  <c r="X29" i="12"/>
  <c r="Y35" i="12" s="1"/>
  <c r="T29" i="12"/>
  <c r="R29" i="12"/>
  <c r="M29" i="12"/>
  <c r="L29" i="12"/>
  <c r="I29" i="12"/>
  <c r="H29" i="12"/>
  <c r="E29" i="12"/>
  <c r="D29" i="12"/>
  <c r="C29" i="12"/>
  <c r="Z28" i="12"/>
  <c r="X28" i="12"/>
  <c r="T28" i="12"/>
  <c r="R28" i="12"/>
  <c r="M28" i="12"/>
  <c r="L28" i="12"/>
  <c r="I28" i="12"/>
  <c r="H28" i="12"/>
  <c r="E28" i="12"/>
  <c r="F28" i="12" s="1"/>
  <c r="D28" i="12"/>
  <c r="C28" i="12"/>
  <c r="Z27" i="12"/>
  <c r="X27" i="12"/>
  <c r="T27" i="12"/>
  <c r="U33" i="12" s="1"/>
  <c r="R27" i="12"/>
  <c r="S33" i="12" s="1"/>
  <c r="M27" i="12"/>
  <c r="L27" i="12"/>
  <c r="I27" i="12"/>
  <c r="H27" i="12"/>
  <c r="E27" i="12"/>
  <c r="D27" i="12"/>
  <c r="C27" i="12"/>
  <c r="Z26" i="12"/>
  <c r="X26" i="12"/>
  <c r="Y32" i="12" s="1"/>
  <c r="T26" i="12"/>
  <c r="V26" i="12" s="1"/>
  <c r="R26" i="12"/>
  <c r="M26" i="12"/>
  <c r="L26" i="12"/>
  <c r="I26" i="12"/>
  <c r="H26" i="12"/>
  <c r="E26" i="12"/>
  <c r="F26" i="12" s="1"/>
  <c r="D26" i="12"/>
  <c r="C26" i="12"/>
  <c r="Z25" i="12"/>
  <c r="X25" i="12"/>
  <c r="T25" i="12"/>
  <c r="R25" i="12"/>
  <c r="M25" i="12"/>
  <c r="L25" i="12"/>
  <c r="I25" i="12"/>
  <c r="H25" i="12"/>
  <c r="E25" i="12"/>
  <c r="D25" i="12"/>
  <c r="C25" i="12"/>
  <c r="Z24" i="12"/>
  <c r="X24" i="12"/>
  <c r="T24" i="12"/>
  <c r="R24" i="12"/>
  <c r="V24" i="12" s="1"/>
  <c r="M24" i="12"/>
  <c r="N24" i="12" s="1"/>
  <c r="L24" i="12"/>
  <c r="I24" i="12"/>
  <c r="H24" i="12"/>
  <c r="E24" i="12"/>
  <c r="D24" i="12"/>
  <c r="F24" i="12" s="1"/>
  <c r="C24" i="12"/>
  <c r="Z23" i="12"/>
  <c r="AA23" i="12" s="1"/>
  <c r="X23" i="12"/>
  <c r="T23" i="12"/>
  <c r="R23" i="12"/>
  <c r="M23" i="12"/>
  <c r="L23" i="12"/>
  <c r="I23" i="12"/>
  <c r="H23" i="12"/>
  <c r="E23" i="12"/>
  <c r="D23" i="12"/>
  <c r="C23" i="12"/>
  <c r="Z22" i="12"/>
  <c r="X22" i="12"/>
  <c r="T22" i="12"/>
  <c r="R22" i="12"/>
  <c r="M22" i="12"/>
  <c r="L22" i="12"/>
  <c r="N22" i="12" s="1"/>
  <c r="I22" i="12"/>
  <c r="J22" i="12" s="1"/>
  <c r="H22" i="12"/>
  <c r="E22" i="12"/>
  <c r="D22" i="12"/>
  <c r="C22" i="12"/>
  <c r="Z21" i="12"/>
  <c r="X21" i="12"/>
  <c r="T21" i="12"/>
  <c r="R21" i="12"/>
  <c r="M21" i="12"/>
  <c r="L21" i="12"/>
  <c r="I21" i="12"/>
  <c r="H21" i="12"/>
  <c r="E21" i="12"/>
  <c r="D21" i="12"/>
  <c r="C21" i="12"/>
  <c r="Z20" i="12"/>
  <c r="X20" i="12"/>
  <c r="T20" i="12"/>
  <c r="R20" i="12"/>
  <c r="M20" i="12"/>
  <c r="L20" i="12"/>
  <c r="N20" i="12" s="1"/>
  <c r="I20" i="12"/>
  <c r="H20" i="12"/>
  <c r="J20" i="12" s="1"/>
  <c r="E20" i="12"/>
  <c r="F20" i="12" s="1"/>
  <c r="D20" i="12"/>
  <c r="C20" i="12"/>
  <c r="Z19" i="12"/>
  <c r="X19" i="12"/>
  <c r="T19" i="12"/>
  <c r="R19" i="12"/>
  <c r="S25" i="12" s="1"/>
  <c r="M19" i="12"/>
  <c r="L19" i="12"/>
  <c r="I19" i="12"/>
  <c r="H19" i="12"/>
  <c r="E19" i="12"/>
  <c r="D19" i="12"/>
  <c r="C19" i="12"/>
  <c r="Z18" i="12"/>
  <c r="AA24" i="12" s="1"/>
  <c r="X18" i="12"/>
  <c r="T18" i="12"/>
  <c r="R18" i="12"/>
  <c r="M18" i="12"/>
  <c r="L18" i="12"/>
  <c r="I18" i="12"/>
  <c r="H18" i="12"/>
  <c r="J18" i="12" s="1"/>
  <c r="E18" i="12"/>
  <c r="D18" i="12"/>
  <c r="F18" i="12" s="1"/>
  <c r="C18" i="12"/>
  <c r="Z17" i="12"/>
  <c r="X17" i="12"/>
  <c r="T17" i="12"/>
  <c r="R17" i="12"/>
  <c r="M17" i="12"/>
  <c r="L17" i="12"/>
  <c r="N17" i="12" s="1"/>
  <c r="I17" i="12"/>
  <c r="H17" i="12"/>
  <c r="E17" i="12"/>
  <c r="D17" i="12"/>
  <c r="C17" i="12"/>
  <c r="Z16" i="12"/>
  <c r="X16" i="12"/>
  <c r="T16" i="12"/>
  <c r="R16" i="12"/>
  <c r="V16" i="12" s="1"/>
  <c r="M16" i="12"/>
  <c r="N16" i="12" s="1"/>
  <c r="L16" i="12"/>
  <c r="I16" i="12"/>
  <c r="H16" i="12"/>
  <c r="E16" i="12"/>
  <c r="D16" i="12"/>
  <c r="F16" i="12" s="1"/>
  <c r="C16" i="12"/>
  <c r="Z15" i="12"/>
  <c r="X15" i="12"/>
  <c r="T15" i="12"/>
  <c r="R15" i="12"/>
  <c r="M15" i="12"/>
  <c r="L15" i="12"/>
  <c r="I15" i="12"/>
  <c r="H15" i="12"/>
  <c r="E15" i="12"/>
  <c r="D15" i="12"/>
  <c r="C15" i="12"/>
  <c r="Z14" i="12"/>
  <c r="X14" i="12"/>
  <c r="T14" i="12"/>
  <c r="R14" i="12"/>
  <c r="V14" i="12" s="1"/>
  <c r="M14" i="12"/>
  <c r="L14" i="12"/>
  <c r="N14" i="12" s="1"/>
  <c r="I14" i="12"/>
  <c r="J14" i="12" s="1"/>
  <c r="H14" i="12"/>
  <c r="E14" i="12"/>
  <c r="D14" i="12"/>
  <c r="C14" i="12"/>
  <c r="Z13" i="12"/>
  <c r="X13" i="12"/>
  <c r="T13" i="12"/>
  <c r="R13" i="12"/>
  <c r="M13" i="12"/>
  <c r="L13" i="12"/>
  <c r="I13" i="12"/>
  <c r="H13" i="12"/>
  <c r="E13" i="12"/>
  <c r="D13" i="12"/>
  <c r="C13" i="12"/>
  <c r="Z12" i="12"/>
  <c r="X12" i="12"/>
  <c r="T12" i="12"/>
  <c r="R12" i="12"/>
  <c r="M12" i="12"/>
  <c r="L12" i="12"/>
  <c r="I12" i="12"/>
  <c r="H12" i="12"/>
  <c r="J12" i="12" s="1"/>
  <c r="E12" i="12"/>
  <c r="F12" i="12" s="1"/>
  <c r="D12" i="12"/>
  <c r="C12" i="12"/>
  <c r="Z11" i="12"/>
  <c r="X11" i="12"/>
  <c r="T11" i="12"/>
  <c r="R11" i="12"/>
  <c r="M11" i="12"/>
  <c r="L11" i="12"/>
  <c r="I11" i="12"/>
  <c r="H11" i="12"/>
  <c r="E11" i="12"/>
  <c r="D11" i="12"/>
  <c r="C11" i="12"/>
  <c r="Z10" i="12"/>
  <c r="X10" i="12"/>
  <c r="T10" i="12"/>
  <c r="V10" i="12" s="1"/>
  <c r="R10" i="12"/>
  <c r="M10" i="12"/>
  <c r="L10" i="12"/>
  <c r="I10" i="12"/>
  <c r="H10" i="12"/>
  <c r="E10" i="12"/>
  <c r="D10" i="12"/>
  <c r="F10" i="12" s="1"/>
  <c r="C10" i="12"/>
  <c r="Z9" i="12"/>
  <c r="X9" i="12"/>
  <c r="T9" i="12"/>
  <c r="R9" i="12"/>
  <c r="M9" i="12"/>
  <c r="L9" i="12"/>
  <c r="I9" i="12"/>
  <c r="H9" i="12"/>
  <c r="E9" i="12"/>
  <c r="D9" i="12"/>
  <c r="C9" i="12"/>
  <c r="Z8" i="12"/>
  <c r="X8" i="12"/>
  <c r="T8" i="12"/>
  <c r="R8" i="12"/>
  <c r="V8" i="12" s="1"/>
  <c r="M8" i="12"/>
  <c r="L8" i="12"/>
  <c r="I8" i="12"/>
  <c r="H8" i="12"/>
  <c r="E8" i="12"/>
  <c r="D8" i="12"/>
  <c r="C8" i="12"/>
  <c r="Z7" i="12"/>
  <c r="X7" i="12"/>
  <c r="T7" i="12"/>
  <c r="R7" i="12"/>
  <c r="M7" i="12"/>
  <c r="L7" i="12"/>
  <c r="I7" i="12"/>
  <c r="H7" i="12"/>
  <c r="J7" i="12" s="1"/>
  <c r="E7" i="12"/>
  <c r="D7" i="12"/>
  <c r="C7" i="12"/>
  <c r="Z6" i="12"/>
  <c r="X6" i="12"/>
  <c r="T6" i="12"/>
  <c r="R6" i="12"/>
  <c r="S12" i="12" s="1"/>
  <c r="M6" i="12"/>
  <c r="L6" i="12"/>
  <c r="P6" i="12" s="1"/>
  <c r="I6" i="12"/>
  <c r="H6" i="12"/>
  <c r="E6" i="12"/>
  <c r="D6" i="12"/>
  <c r="C6" i="12"/>
  <c r="Z5" i="12"/>
  <c r="AA11" i="12" s="1"/>
  <c r="X5" i="12"/>
  <c r="Y11" i="12" s="1"/>
  <c r="T5" i="12"/>
  <c r="R5" i="12"/>
  <c r="M5" i="12"/>
  <c r="L5" i="12"/>
  <c r="I5" i="12"/>
  <c r="H5" i="12"/>
  <c r="E5" i="12"/>
  <c r="D5" i="12"/>
  <c r="F5" i="12" s="1"/>
  <c r="C5" i="12"/>
  <c r="Z4" i="12"/>
  <c r="X4" i="12"/>
  <c r="T4" i="12"/>
  <c r="R4" i="12"/>
  <c r="M4" i="12"/>
  <c r="L4" i="12"/>
  <c r="I4" i="12"/>
  <c r="H4" i="12"/>
  <c r="J4" i="12" s="1"/>
  <c r="E4" i="12"/>
  <c r="D4" i="12"/>
  <c r="C4" i="12"/>
  <c r="Z3" i="12"/>
  <c r="X3" i="12"/>
  <c r="T3" i="12"/>
  <c r="R3" i="12"/>
  <c r="M3" i="12"/>
  <c r="L3" i="12"/>
  <c r="I3" i="12"/>
  <c r="H3" i="12"/>
  <c r="E3" i="12"/>
  <c r="D3" i="12"/>
  <c r="C3" i="12"/>
  <c r="Z2" i="12"/>
  <c r="AA8" i="12" s="1"/>
  <c r="X2" i="12"/>
  <c r="Y8" i="12" s="1"/>
  <c r="T2" i="12"/>
  <c r="R2" i="12"/>
  <c r="M2" i="12"/>
  <c r="L2" i="12"/>
  <c r="I2" i="12"/>
  <c r="H2" i="12"/>
  <c r="E2" i="12"/>
  <c r="D2" i="12"/>
  <c r="F2" i="12" s="1"/>
  <c r="C2" i="12"/>
  <c r="Y34" i="12"/>
  <c r="Z109" i="34"/>
  <c r="X109" i="34"/>
  <c r="T109" i="34"/>
  <c r="R109" i="34"/>
  <c r="M109" i="34"/>
  <c r="L109" i="34"/>
  <c r="N109" i="34" s="1"/>
  <c r="I109" i="34"/>
  <c r="H109" i="34"/>
  <c r="E109" i="34"/>
  <c r="D109" i="34"/>
  <c r="C109" i="34"/>
  <c r="Z108" i="34"/>
  <c r="X108" i="34"/>
  <c r="T108" i="34"/>
  <c r="V108" i="34" s="1"/>
  <c r="R108" i="34"/>
  <c r="M108" i="34"/>
  <c r="L108" i="34"/>
  <c r="I108" i="34"/>
  <c r="H108" i="34"/>
  <c r="E108" i="34"/>
  <c r="D108" i="34"/>
  <c r="C108" i="34"/>
  <c r="Z107" i="34"/>
  <c r="X107" i="34"/>
  <c r="T107" i="34"/>
  <c r="R107" i="34"/>
  <c r="M107" i="34"/>
  <c r="L107" i="34"/>
  <c r="I107" i="34"/>
  <c r="H107" i="34"/>
  <c r="J107" i="34" s="1"/>
  <c r="E107" i="34"/>
  <c r="F107" i="34" s="1"/>
  <c r="D107" i="34"/>
  <c r="C107" i="34"/>
  <c r="Z106" i="34"/>
  <c r="X106" i="34"/>
  <c r="T106" i="34"/>
  <c r="R106" i="34"/>
  <c r="M106" i="34"/>
  <c r="N106" i="34" s="1"/>
  <c r="L106" i="34"/>
  <c r="I106" i="34"/>
  <c r="H106" i="34"/>
  <c r="E106" i="34"/>
  <c r="D106" i="34"/>
  <c r="C106" i="34"/>
  <c r="Z105" i="34"/>
  <c r="X105" i="34"/>
  <c r="T105" i="34"/>
  <c r="R105" i="34"/>
  <c r="M105" i="34"/>
  <c r="L105" i="34"/>
  <c r="I105" i="34"/>
  <c r="H105" i="34"/>
  <c r="E105" i="34"/>
  <c r="D105" i="34"/>
  <c r="F105" i="34" s="1"/>
  <c r="C105" i="34"/>
  <c r="Z104" i="34"/>
  <c r="X104" i="34"/>
  <c r="T104" i="34"/>
  <c r="R104" i="34"/>
  <c r="M104" i="34"/>
  <c r="N104" i="34" s="1"/>
  <c r="L104" i="34"/>
  <c r="I104" i="34"/>
  <c r="J104" i="34" s="1"/>
  <c r="H104" i="34"/>
  <c r="E104" i="34"/>
  <c r="D104" i="34"/>
  <c r="C104" i="34"/>
  <c r="Z103" i="34"/>
  <c r="AA109" i="34" s="1"/>
  <c r="X103" i="34"/>
  <c r="Y109" i="34" s="1"/>
  <c r="T103" i="34"/>
  <c r="R103" i="34"/>
  <c r="V103" i="34" s="1"/>
  <c r="M103" i="34"/>
  <c r="L103" i="34"/>
  <c r="I103" i="34"/>
  <c r="H103" i="34"/>
  <c r="E103" i="34"/>
  <c r="D103" i="34"/>
  <c r="C103" i="34"/>
  <c r="Z102" i="34"/>
  <c r="AA108" i="34" s="1"/>
  <c r="X102" i="34"/>
  <c r="T102" i="34"/>
  <c r="R102" i="34"/>
  <c r="M102" i="34"/>
  <c r="L102" i="34"/>
  <c r="I102" i="34"/>
  <c r="H102" i="34"/>
  <c r="E102" i="34"/>
  <c r="F102" i="34" s="1"/>
  <c r="D102" i="34"/>
  <c r="C102" i="34"/>
  <c r="Z101" i="34"/>
  <c r="X101" i="34"/>
  <c r="T101" i="34"/>
  <c r="U107" i="34" s="1"/>
  <c r="R101" i="34"/>
  <c r="S107" i="34" s="1"/>
  <c r="M101" i="34"/>
  <c r="L101" i="34"/>
  <c r="P101" i="34" s="1"/>
  <c r="I101" i="34"/>
  <c r="H101" i="34"/>
  <c r="E101" i="34"/>
  <c r="D101" i="34"/>
  <c r="C101" i="34"/>
  <c r="Z100" i="34"/>
  <c r="AA106" i="34" s="1"/>
  <c r="X100" i="34"/>
  <c r="T100" i="34"/>
  <c r="U106" i="34" s="1"/>
  <c r="R100" i="34"/>
  <c r="M100" i="34"/>
  <c r="L100" i="34"/>
  <c r="I100" i="34"/>
  <c r="H100" i="34"/>
  <c r="J100" i="34" s="1"/>
  <c r="E100" i="34"/>
  <c r="D100" i="34"/>
  <c r="C100" i="34"/>
  <c r="Z99" i="34"/>
  <c r="X99" i="34"/>
  <c r="T99" i="34"/>
  <c r="R99" i="34"/>
  <c r="M99" i="34"/>
  <c r="L99" i="34"/>
  <c r="I99" i="34"/>
  <c r="J99" i="34" s="1"/>
  <c r="H99" i="34"/>
  <c r="E99" i="34"/>
  <c r="D99" i="34"/>
  <c r="C99" i="34"/>
  <c r="Z98" i="34"/>
  <c r="X98" i="34"/>
  <c r="Y104" i="34" s="1"/>
  <c r="T98" i="34"/>
  <c r="R98" i="34"/>
  <c r="M98" i="34"/>
  <c r="N98" i="34" s="1"/>
  <c r="L98" i="34"/>
  <c r="I98" i="34"/>
  <c r="H98" i="34"/>
  <c r="E98" i="34"/>
  <c r="D98" i="34"/>
  <c r="F98" i="34" s="1"/>
  <c r="C98" i="34"/>
  <c r="Z97" i="34"/>
  <c r="AA97" i="34" s="1"/>
  <c r="X97" i="34"/>
  <c r="T97" i="34"/>
  <c r="R97" i="34"/>
  <c r="M97" i="34"/>
  <c r="L97" i="34"/>
  <c r="I97" i="34"/>
  <c r="H97" i="34"/>
  <c r="E97" i="34"/>
  <c r="D97" i="34"/>
  <c r="C97" i="34"/>
  <c r="Z96" i="34"/>
  <c r="X96" i="34"/>
  <c r="T96" i="34"/>
  <c r="R96" i="34"/>
  <c r="V96" i="34" s="1"/>
  <c r="M96" i="34"/>
  <c r="L96" i="34"/>
  <c r="I96" i="34"/>
  <c r="J96" i="34" s="1"/>
  <c r="H96" i="34"/>
  <c r="E96" i="34"/>
  <c r="D96" i="34"/>
  <c r="C96" i="34"/>
  <c r="Z95" i="34"/>
  <c r="X95" i="34"/>
  <c r="T95" i="34"/>
  <c r="R95" i="34"/>
  <c r="M95" i="34"/>
  <c r="L95" i="34"/>
  <c r="I95" i="34"/>
  <c r="H95" i="34"/>
  <c r="E95" i="34"/>
  <c r="D95" i="34"/>
  <c r="C95" i="34"/>
  <c r="Z94" i="34"/>
  <c r="X94" i="34"/>
  <c r="T94" i="34"/>
  <c r="R94" i="34"/>
  <c r="M94" i="34"/>
  <c r="L94" i="34"/>
  <c r="I94" i="34"/>
  <c r="H94" i="34"/>
  <c r="J94" i="34" s="1"/>
  <c r="E94" i="34"/>
  <c r="D94" i="34"/>
  <c r="C94" i="34"/>
  <c r="Z93" i="34"/>
  <c r="X93" i="34"/>
  <c r="T93" i="34"/>
  <c r="R93" i="34"/>
  <c r="S93" i="34" s="1"/>
  <c r="M93" i="34"/>
  <c r="L93" i="34"/>
  <c r="I93" i="34"/>
  <c r="H93" i="34"/>
  <c r="E93" i="34"/>
  <c r="D93" i="34"/>
  <c r="C93" i="34"/>
  <c r="Z92" i="34"/>
  <c r="X92" i="34"/>
  <c r="Y92" i="34" s="1"/>
  <c r="T92" i="34"/>
  <c r="V92" i="34" s="1"/>
  <c r="R92" i="34"/>
  <c r="M92" i="34"/>
  <c r="L92" i="34"/>
  <c r="I92" i="34"/>
  <c r="H92" i="34"/>
  <c r="J92" i="34" s="1"/>
  <c r="E92" i="34"/>
  <c r="D92" i="34"/>
  <c r="C92" i="34"/>
  <c r="Z91" i="34"/>
  <c r="X91" i="34"/>
  <c r="T91" i="34"/>
  <c r="R91" i="34"/>
  <c r="M91" i="34"/>
  <c r="L91" i="34"/>
  <c r="I91" i="34"/>
  <c r="J91" i="34" s="1"/>
  <c r="H91" i="34"/>
  <c r="E91" i="34"/>
  <c r="D91" i="34"/>
  <c r="F91" i="34" s="1"/>
  <c r="C91" i="34"/>
  <c r="Z90" i="34"/>
  <c r="X90" i="34"/>
  <c r="Y96" i="34" s="1"/>
  <c r="T90" i="34"/>
  <c r="U96" i="34" s="1"/>
  <c r="R90" i="34"/>
  <c r="M90" i="34"/>
  <c r="N90" i="34" s="1"/>
  <c r="L90" i="34"/>
  <c r="I90" i="34"/>
  <c r="H90" i="34"/>
  <c r="E90" i="34"/>
  <c r="D90" i="34"/>
  <c r="F90" i="34" s="1"/>
  <c r="C90" i="34"/>
  <c r="Z89" i="34"/>
  <c r="X89" i="34"/>
  <c r="T89" i="34"/>
  <c r="R89" i="34"/>
  <c r="M89" i="34"/>
  <c r="L89" i="34"/>
  <c r="I89" i="34"/>
  <c r="H89" i="34"/>
  <c r="E89" i="34"/>
  <c r="F89" i="34" s="1"/>
  <c r="D89" i="34"/>
  <c r="C89" i="34"/>
  <c r="Z88" i="34"/>
  <c r="X88" i="34"/>
  <c r="T88" i="34"/>
  <c r="R88" i="34"/>
  <c r="M88" i="34"/>
  <c r="L88" i="34"/>
  <c r="I88" i="34"/>
  <c r="J88" i="34" s="1"/>
  <c r="H88" i="34"/>
  <c r="E88" i="34"/>
  <c r="D88" i="34"/>
  <c r="C88" i="34"/>
  <c r="Z87" i="34"/>
  <c r="AA93" i="34" s="1"/>
  <c r="X87" i="34"/>
  <c r="Y93" i="34" s="1"/>
  <c r="T87" i="34"/>
  <c r="R87" i="34"/>
  <c r="M87" i="34"/>
  <c r="L87" i="34"/>
  <c r="N87" i="34" s="1"/>
  <c r="I87" i="34"/>
  <c r="H87" i="34"/>
  <c r="E87" i="34"/>
  <c r="D87" i="34"/>
  <c r="C87" i="34"/>
  <c r="Z86" i="34"/>
  <c r="X86" i="34"/>
  <c r="T86" i="34"/>
  <c r="R86" i="34"/>
  <c r="M86" i="34"/>
  <c r="L86" i="34"/>
  <c r="I86" i="34"/>
  <c r="H86" i="34"/>
  <c r="E86" i="34"/>
  <c r="F86" i="34" s="1"/>
  <c r="D86" i="34"/>
  <c r="C86" i="34"/>
  <c r="Z85" i="34"/>
  <c r="X85" i="34"/>
  <c r="T85" i="34"/>
  <c r="R85" i="34"/>
  <c r="S85" i="34" s="1"/>
  <c r="M85" i="34"/>
  <c r="L85" i="34"/>
  <c r="N85" i="34" s="1"/>
  <c r="I85" i="34"/>
  <c r="H85" i="34"/>
  <c r="E85" i="34"/>
  <c r="D85" i="34"/>
  <c r="C85" i="34"/>
  <c r="Z84" i="34"/>
  <c r="X84" i="34"/>
  <c r="T84" i="34"/>
  <c r="V84" i="34" s="1"/>
  <c r="R84" i="34"/>
  <c r="M84" i="34"/>
  <c r="L84" i="34"/>
  <c r="I84" i="34"/>
  <c r="H84" i="34"/>
  <c r="E84" i="34"/>
  <c r="F84" i="34" s="1"/>
  <c r="D84" i="34"/>
  <c r="C84" i="34"/>
  <c r="Z83" i="34"/>
  <c r="X83" i="34"/>
  <c r="T83" i="34"/>
  <c r="R83" i="34"/>
  <c r="M83" i="34"/>
  <c r="L83" i="34"/>
  <c r="I83" i="34"/>
  <c r="J83" i="34" s="1"/>
  <c r="H83" i="34"/>
  <c r="E83" i="34"/>
  <c r="D83" i="34"/>
  <c r="C83" i="34"/>
  <c r="Z82" i="34"/>
  <c r="X82" i="34"/>
  <c r="T82" i="34"/>
  <c r="V82" i="34" s="1"/>
  <c r="R82" i="34"/>
  <c r="S82" i="34" s="1"/>
  <c r="M82" i="34"/>
  <c r="P82" i="34" s="1"/>
  <c r="L82" i="34"/>
  <c r="I82" i="34"/>
  <c r="H82" i="34"/>
  <c r="E82" i="34"/>
  <c r="D82" i="34"/>
  <c r="C82" i="34"/>
  <c r="Z81" i="34"/>
  <c r="X81" i="34"/>
  <c r="Y81" i="34" s="1"/>
  <c r="T81" i="34"/>
  <c r="R81" i="34"/>
  <c r="M81" i="34"/>
  <c r="L81" i="34"/>
  <c r="I81" i="34"/>
  <c r="H81" i="34"/>
  <c r="E81" i="34"/>
  <c r="D81" i="34"/>
  <c r="F81" i="34" s="1"/>
  <c r="C81" i="34"/>
  <c r="Z80" i="34"/>
  <c r="X80" i="34"/>
  <c r="T80" i="34"/>
  <c r="R80" i="34"/>
  <c r="M80" i="34"/>
  <c r="N80" i="34" s="1"/>
  <c r="L80" i="34"/>
  <c r="I80" i="34"/>
  <c r="J80" i="34" s="1"/>
  <c r="H80" i="34"/>
  <c r="E80" i="34"/>
  <c r="D80" i="34"/>
  <c r="C80" i="34"/>
  <c r="Z79" i="34"/>
  <c r="AA85" i="34" s="1"/>
  <c r="X79" i="34"/>
  <c r="T79" i="34"/>
  <c r="R79" i="34"/>
  <c r="M79" i="34"/>
  <c r="L79" i="34"/>
  <c r="I79" i="34"/>
  <c r="H79" i="34"/>
  <c r="E79" i="34"/>
  <c r="D79" i="34"/>
  <c r="C79" i="34"/>
  <c r="Z78" i="34"/>
  <c r="AA84" i="34" s="1"/>
  <c r="X78" i="34"/>
  <c r="T78" i="34"/>
  <c r="R78" i="34"/>
  <c r="M78" i="34"/>
  <c r="L78" i="34"/>
  <c r="I78" i="34"/>
  <c r="J78" i="34" s="1"/>
  <c r="H78" i="34"/>
  <c r="E78" i="34"/>
  <c r="F78" i="34" s="1"/>
  <c r="D78" i="34"/>
  <c r="C78" i="34"/>
  <c r="Z77" i="34"/>
  <c r="X77" i="34"/>
  <c r="Y83" i="34" s="1"/>
  <c r="T77" i="34"/>
  <c r="R77" i="34"/>
  <c r="M77" i="34"/>
  <c r="N77" i="34" s="1"/>
  <c r="L77" i="34"/>
  <c r="P77" i="34" s="1"/>
  <c r="I77" i="34"/>
  <c r="H77" i="34"/>
  <c r="E77" i="34"/>
  <c r="D77" i="34"/>
  <c r="C77" i="34"/>
  <c r="Z76" i="34"/>
  <c r="X76" i="34"/>
  <c r="T76" i="34"/>
  <c r="R76" i="34"/>
  <c r="M76" i="34"/>
  <c r="L76" i="34"/>
  <c r="I76" i="34"/>
  <c r="H76" i="34"/>
  <c r="E76" i="34"/>
  <c r="D76" i="34"/>
  <c r="F76" i="34" s="1"/>
  <c r="C76" i="34"/>
  <c r="Z75" i="34"/>
  <c r="X75" i="34"/>
  <c r="T75" i="34"/>
  <c r="R75" i="34"/>
  <c r="S81" i="34" s="1"/>
  <c r="M75" i="34"/>
  <c r="L75" i="34"/>
  <c r="I75" i="34"/>
  <c r="H75" i="34"/>
  <c r="E75" i="34"/>
  <c r="D75" i="34"/>
  <c r="F75" i="34" s="1"/>
  <c r="C75" i="34"/>
  <c r="Z74" i="34"/>
  <c r="AA80" i="34" s="1"/>
  <c r="X74" i="34"/>
  <c r="Y80" i="34" s="1"/>
  <c r="T74" i="34"/>
  <c r="R74" i="34"/>
  <c r="V74" i="34" s="1"/>
  <c r="M74" i="34"/>
  <c r="P74" i="34" s="1"/>
  <c r="L74" i="34"/>
  <c r="I74" i="34"/>
  <c r="H74" i="34"/>
  <c r="E74" i="34"/>
  <c r="D74" i="34"/>
  <c r="C74" i="34"/>
  <c r="Z73" i="34"/>
  <c r="X73" i="34"/>
  <c r="Y73" i="34" s="1"/>
  <c r="T73" i="34"/>
  <c r="V73" i="34" s="1"/>
  <c r="R73" i="34"/>
  <c r="M73" i="34"/>
  <c r="L73" i="34"/>
  <c r="I73" i="34"/>
  <c r="H73" i="34"/>
  <c r="E73" i="34"/>
  <c r="D73" i="34"/>
  <c r="C73" i="34"/>
  <c r="Z72" i="34"/>
  <c r="X72" i="34"/>
  <c r="T72" i="34"/>
  <c r="R72" i="34"/>
  <c r="M72" i="34"/>
  <c r="L72" i="34"/>
  <c r="I72" i="34"/>
  <c r="H72" i="34"/>
  <c r="E72" i="34"/>
  <c r="D72" i="34"/>
  <c r="C72" i="34"/>
  <c r="Z71" i="34"/>
  <c r="X71" i="34"/>
  <c r="T71" i="34"/>
  <c r="R71" i="34"/>
  <c r="M71" i="34"/>
  <c r="P71" i="34" s="1"/>
  <c r="L71" i="34"/>
  <c r="I71" i="34"/>
  <c r="H71" i="34"/>
  <c r="E71" i="34"/>
  <c r="D71" i="34"/>
  <c r="C71" i="34"/>
  <c r="Z70" i="34"/>
  <c r="X70" i="34"/>
  <c r="T70" i="34"/>
  <c r="R70" i="34"/>
  <c r="M70" i="34"/>
  <c r="L70" i="34"/>
  <c r="I70" i="34"/>
  <c r="H70" i="34"/>
  <c r="E70" i="34"/>
  <c r="F70" i="34" s="1"/>
  <c r="D70" i="34"/>
  <c r="C70" i="34"/>
  <c r="Z69" i="34"/>
  <c r="X69" i="34"/>
  <c r="T69" i="34"/>
  <c r="R69" i="34"/>
  <c r="M69" i="34"/>
  <c r="L69" i="34"/>
  <c r="I69" i="34"/>
  <c r="J69" i="34" s="1"/>
  <c r="H69" i="34"/>
  <c r="E69" i="34"/>
  <c r="D69" i="34"/>
  <c r="C69" i="34"/>
  <c r="Z68" i="34"/>
  <c r="X68" i="34"/>
  <c r="Y68" i="34" s="1"/>
  <c r="T68" i="34"/>
  <c r="U68" i="34" s="1"/>
  <c r="R68" i="34"/>
  <c r="M68" i="34"/>
  <c r="L68" i="34"/>
  <c r="I68" i="34"/>
  <c r="H68" i="34"/>
  <c r="E68" i="34"/>
  <c r="D68" i="34"/>
  <c r="F68" i="34" s="1"/>
  <c r="C68" i="34"/>
  <c r="Z67" i="34"/>
  <c r="X67" i="34"/>
  <c r="T67" i="34"/>
  <c r="R67" i="34"/>
  <c r="M67" i="34"/>
  <c r="L67" i="34"/>
  <c r="I67" i="34"/>
  <c r="H67" i="34"/>
  <c r="E67" i="34"/>
  <c r="F67" i="34" s="1"/>
  <c r="D67" i="34"/>
  <c r="C67" i="34"/>
  <c r="Z66" i="34"/>
  <c r="X66" i="34"/>
  <c r="Y72" i="34" s="1"/>
  <c r="T66" i="34"/>
  <c r="R66" i="34"/>
  <c r="M66" i="34"/>
  <c r="L66" i="34"/>
  <c r="I66" i="34"/>
  <c r="H66" i="34"/>
  <c r="E66" i="34"/>
  <c r="D66" i="34"/>
  <c r="F66" i="34" s="1"/>
  <c r="C66" i="34"/>
  <c r="Z65" i="34"/>
  <c r="X65" i="34"/>
  <c r="T65" i="34"/>
  <c r="V65" i="34" s="1"/>
  <c r="R65" i="34"/>
  <c r="M65" i="34"/>
  <c r="L65" i="34"/>
  <c r="I65" i="34"/>
  <c r="H65" i="34"/>
  <c r="E65" i="34"/>
  <c r="D65" i="34"/>
  <c r="C65" i="34"/>
  <c r="Z64" i="34"/>
  <c r="X64" i="34"/>
  <c r="T64" i="34"/>
  <c r="R64" i="34"/>
  <c r="S70" i="34" s="1"/>
  <c r="M64" i="34"/>
  <c r="L64" i="34"/>
  <c r="I64" i="34"/>
  <c r="H64" i="34"/>
  <c r="E64" i="34"/>
  <c r="D64" i="34"/>
  <c r="C64" i="34"/>
  <c r="Z63" i="34"/>
  <c r="X63" i="34"/>
  <c r="T63" i="34"/>
  <c r="V63" i="34" s="1"/>
  <c r="R63" i="34"/>
  <c r="M63" i="34"/>
  <c r="L63" i="34"/>
  <c r="I63" i="34"/>
  <c r="H63" i="34"/>
  <c r="E63" i="34"/>
  <c r="D63" i="34"/>
  <c r="C63" i="34"/>
  <c r="Z62" i="34"/>
  <c r="X62" i="34"/>
  <c r="T62" i="34"/>
  <c r="R62" i="34"/>
  <c r="M62" i="34"/>
  <c r="L62" i="34"/>
  <c r="P62" i="34" s="1"/>
  <c r="I62" i="34"/>
  <c r="H62" i="34"/>
  <c r="E62" i="34"/>
  <c r="D62" i="34"/>
  <c r="C62" i="34"/>
  <c r="Z61" i="34"/>
  <c r="X61" i="34"/>
  <c r="T61" i="34"/>
  <c r="R61" i="34"/>
  <c r="M61" i="34"/>
  <c r="L61" i="34"/>
  <c r="I61" i="34"/>
  <c r="H61" i="34"/>
  <c r="E61" i="34"/>
  <c r="D61" i="34"/>
  <c r="C61" i="34"/>
  <c r="Z60" i="34"/>
  <c r="X60" i="34"/>
  <c r="T60" i="34"/>
  <c r="U60" i="34" s="1"/>
  <c r="R60" i="34"/>
  <c r="M60" i="34"/>
  <c r="L60" i="34"/>
  <c r="I60" i="34"/>
  <c r="H60" i="34"/>
  <c r="E60" i="34"/>
  <c r="D60" i="34"/>
  <c r="C60" i="34"/>
  <c r="Z59" i="34"/>
  <c r="X59" i="34"/>
  <c r="T59" i="34"/>
  <c r="R59" i="34"/>
  <c r="M59" i="34"/>
  <c r="L59" i="34"/>
  <c r="I59" i="34"/>
  <c r="H59" i="34"/>
  <c r="E59" i="34"/>
  <c r="D59" i="34"/>
  <c r="C59" i="34"/>
  <c r="Z58" i="34"/>
  <c r="X58" i="34"/>
  <c r="T58" i="34"/>
  <c r="R58" i="34"/>
  <c r="S58" i="34" s="1"/>
  <c r="M58" i="34"/>
  <c r="N58" i="34" s="1"/>
  <c r="L58" i="34"/>
  <c r="I58" i="34"/>
  <c r="H58" i="34"/>
  <c r="E58" i="34"/>
  <c r="D58" i="34"/>
  <c r="C58" i="34"/>
  <c r="Z57" i="34"/>
  <c r="AA57" i="34" s="1"/>
  <c r="X57" i="34"/>
  <c r="Y57" i="34" s="1"/>
  <c r="T57" i="34"/>
  <c r="R57" i="34"/>
  <c r="M57" i="34"/>
  <c r="L57" i="34"/>
  <c r="I57" i="34"/>
  <c r="H57" i="34"/>
  <c r="E57" i="34"/>
  <c r="D57" i="34"/>
  <c r="C57" i="34"/>
  <c r="Z56" i="34"/>
  <c r="X56" i="34"/>
  <c r="T56" i="34"/>
  <c r="R56" i="34"/>
  <c r="M56" i="34"/>
  <c r="L56" i="34"/>
  <c r="I56" i="34"/>
  <c r="J56" i="34" s="1"/>
  <c r="H56" i="34"/>
  <c r="E56" i="34"/>
  <c r="D56" i="34"/>
  <c r="C56" i="34"/>
  <c r="Z55" i="34"/>
  <c r="AA61" i="34" s="1"/>
  <c r="X55" i="34"/>
  <c r="T55" i="34"/>
  <c r="R55" i="34"/>
  <c r="V55" i="34" s="1"/>
  <c r="M55" i="34"/>
  <c r="L55" i="34"/>
  <c r="I55" i="34"/>
  <c r="H55" i="34"/>
  <c r="E55" i="34"/>
  <c r="D55" i="34"/>
  <c r="C55" i="34"/>
  <c r="Z54" i="34"/>
  <c r="X54" i="34"/>
  <c r="T54" i="34"/>
  <c r="R54" i="34"/>
  <c r="M54" i="34"/>
  <c r="L54" i="34"/>
  <c r="I54" i="34"/>
  <c r="H54" i="34"/>
  <c r="E54" i="34"/>
  <c r="F54" i="34" s="1"/>
  <c r="D54" i="34"/>
  <c r="C54" i="34"/>
  <c r="Z53" i="34"/>
  <c r="X53" i="34"/>
  <c r="Y59" i="34" s="1"/>
  <c r="T53" i="34"/>
  <c r="U59" i="34" s="1"/>
  <c r="R53" i="34"/>
  <c r="S59" i="34" s="1"/>
  <c r="M53" i="34"/>
  <c r="L53" i="34"/>
  <c r="I53" i="34"/>
  <c r="H53" i="34"/>
  <c r="E53" i="34"/>
  <c r="D53" i="34"/>
  <c r="C53" i="34"/>
  <c r="Z52" i="34"/>
  <c r="X52" i="34"/>
  <c r="T52" i="34"/>
  <c r="V52" i="34" s="1"/>
  <c r="R52" i="34"/>
  <c r="M52" i="34"/>
  <c r="L52" i="34"/>
  <c r="I52" i="34"/>
  <c r="H52" i="34"/>
  <c r="E52" i="34"/>
  <c r="D52" i="34"/>
  <c r="F52" i="34" s="1"/>
  <c r="C52" i="34"/>
  <c r="Z51" i="34"/>
  <c r="X51" i="34"/>
  <c r="T51" i="34"/>
  <c r="R51" i="34"/>
  <c r="M51" i="34"/>
  <c r="L51" i="34"/>
  <c r="I51" i="34"/>
  <c r="H51" i="34"/>
  <c r="E51" i="34"/>
  <c r="D51" i="34"/>
  <c r="C51" i="34"/>
  <c r="Z50" i="34"/>
  <c r="AA56" i="34" s="1"/>
  <c r="X50" i="34"/>
  <c r="Y56" i="34" s="1"/>
  <c r="T50" i="34"/>
  <c r="R50" i="34"/>
  <c r="M50" i="34"/>
  <c r="L50" i="34"/>
  <c r="I50" i="34"/>
  <c r="H50" i="34"/>
  <c r="E50" i="34"/>
  <c r="D50" i="34"/>
  <c r="C50" i="34"/>
  <c r="Z49" i="34"/>
  <c r="AA49" i="34" s="1"/>
  <c r="X49" i="34"/>
  <c r="T49" i="34"/>
  <c r="R49" i="34"/>
  <c r="M49" i="34"/>
  <c r="N49" i="34" s="1"/>
  <c r="L49" i="34"/>
  <c r="I49" i="34"/>
  <c r="H49" i="34"/>
  <c r="E49" i="34"/>
  <c r="D49" i="34"/>
  <c r="C49" i="34"/>
  <c r="Z48" i="34"/>
  <c r="X48" i="34"/>
  <c r="T48" i="34"/>
  <c r="R48" i="34"/>
  <c r="M48" i="34"/>
  <c r="L48" i="34"/>
  <c r="I48" i="34"/>
  <c r="J48" i="34" s="1"/>
  <c r="H48" i="34"/>
  <c r="E48" i="34"/>
  <c r="D48" i="34"/>
  <c r="C48" i="34"/>
  <c r="Z47" i="34"/>
  <c r="X47" i="34"/>
  <c r="T47" i="34"/>
  <c r="R47" i="34"/>
  <c r="M47" i="34"/>
  <c r="L47" i="34"/>
  <c r="P47" i="34" s="1"/>
  <c r="I47" i="34"/>
  <c r="H47" i="34"/>
  <c r="E47" i="34"/>
  <c r="D47" i="34"/>
  <c r="C47" i="34"/>
  <c r="Z46" i="34"/>
  <c r="X46" i="34"/>
  <c r="T46" i="34"/>
  <c r="R46" i="34"/>
  <c r="M46" i="34"/>
  <c r="L46" i="34"/>
  <c r="P46" i="34" s="1"/>
  <c r="I46" i="34"/>
  <c r="H46" i="34"/>
  <c r="E46" i="34"/>
  <c r="F46" i="34" s="1"/>
  <c r="D46" i="34"/>
  <c r="C46" i="34"/>
  <c r="Z45" i="34"/>
  <c r="X45" i="34"/>
  <c r="T45" i="34"/>
  <c r="R45" i="34"/>
  <c r="M45" i="34"/>
  <c r="L45" i="34"/>
  <c r="I45" i="34"/>
  <c r="H45" i="34"/>
  <c r="J45" i="34" s="1"/>
  <c r="E45" i="34"/>
  <c r="F45" i="34" s="1"/>
  <c r="D45" i="34"/>
  <c r="C45" i="34"/>
  <c r="Z44" i="34"/>
  <c r="X44" i="34"/>
  <c r="Y44" i="34" s="1"/>
  <c r="T44" i="34"/>
  <c r="R44" i="34"/>
  <c r="M44" i="34"/>
  <c r="L44" i="34"/>
  <c r="I44" i="34"/>
  <c r="H44" i="34"/>
  <c r="E44" i="34"/>
  <c r="D44" i="34"/>
  <c r="C44" i="34"/>
  <c r="Z43" i="34"/>
  <c r="X43" i="34"/>
  <c r="T43" i="34"/>
  <c r="V43" i="34" s="1"/>
  <c r="R43" i="34"/>
  <c r="M43" i="34"/>
  <c r="L43" i="34"/>
  <c r="I43" i="34"/>
  <c r="H43" i="34"/>
  <c r="E43" i="34"/>
  <c r="D43" i="34"/>
  <c r="C43" i="34"/>
  <c r="Z42" i="34"/>
  <c r="X42" i="34"/>
  <c r="T42" i="34"/>
  <c r="R42" i="34"/>
  <c r="S48" i="34" s="1"/>
  <c r="M42" i="34"/>
  <c r="N42" i="34" s="1"/>
  <c r="L42" i="34"/>
  <c r="I42" i="34"/>
  <c r="H42" i="34"/>
  <c r="E42" i="34"/>
  <c r="D42" i="34"/>
  <c r="F42" i="34" s="1"/>
  <c r="C42" i="34"/>
  <c r="Z41" i="34"/>
  <c r="X41" i="34"/>
  <c r="T41" i="34"/>
  <c r="R41" i="34"/>
  <c r="M41" i="34"/>
  <c r="P41" i="34" s="1"/>
  <c r="L41" i="34"/>
  <c r="I41" i="34"/>
  <c r="H41" i="34"/>
  <c r="E41" i="34"/>
  <c r="D41" i="34"/>
  <c r="C41" i="34"/>
  <c r="Z40" i="34"/>
  <c r="X40" i="34"/>
  <c r="Y46" i="34" s="1"/>
  <c r="T40" i="34"/>
  <c r="R40" i="34"/>
  <c r="M40" i="34"/>
  <c r="L40" i="34"/>
  <c r="I40" i="34"/>
  <c r="J40" i="34" s="1"/>
  <c r="H40" i="34"/>
  <c r="E40" i="34"/>
  <c r="D40" i="34"/>
  <c r="C40" i="34"/>
  <c r="Z39" i="34"/>
  <c r="X39" i="34"/>
  <c r="Y45" i="34" s="1"/>
  <c r="T39" i="34"/>
  <c r="V39" i="34" s="1"/>
  <c r="R39" i="34"/>
  <c r="M39" i="34"/>
  <c r="L39" i="34"/>
  <c r="P39" i="34" s="1"/>
  <c r="I39" i="34"/>
  <c r="J39" i="34" s="1"/>
  <c r="H39" i="34"/>
  <c r="E39" i="34"/>
  <c r="D39" i="34"/>
  <c r="C39" i="34"/>
  <c r="Z38" i="34"/>
  <c r="X38" i="34"/>
  <c r="T38" i="34"/>
  <c r="R38" i="34"/>
  <c r="M38" i="34"/>
  <c r="L38" i="34"/>
  <c r="N38" i="34" s="1"/>
  <c r="I38" i="34"/>
  <c r="H38" i="34"/>
  <c r="E38" i="34"/>
  <c r="D38" i="34"/>
  <c r="C38" i="34"/>
  <c r="Z37" i="34"/>
  <c r="X37" i="34"/>
  <c r="T37" i="34"/>
  <c r="R37" i="34"/>
  <c r="M37" i="34"/>
  <c r="L37" i="34"/>
  <c r="I37" i="34"/>
  <c r="H37" i="34"/>
  <c r="E37" i="34"/>
  <c r="D37" i="34"/>
  <c r="C37" i="34"/>
  <c r="Z36" i="34"/>
  <c r="X36" i="34"/>
  <c r="T36" i="34"/>
  <c r="U36" i="34" s="1"/>
  <c r="R36" i="34"/>
  <c r="M36" i="34"/>
  <c r="L36" i="34"/>
  <c r="I36" i="34"/>
  <c r="H36" i="34"/>
  <c r="J36" i="34" s="1"/>
  <c r="E36" i="34"/>
  <c r="F36" i="34" s="1"/>
  <c r="D36" i="34"/>
  <c r="C36" i="34"/>
  <c r="Z35" i="34"/>
  <c r="X35" i="34"/>
  <c r="T35" i="34"/>
  <c r="R35" i="34"/>
  <c r="M35" i="34"/>
  <c r="L35" i="34"/>
  <c r="I35" i="34"/>
  <c r="H35" i="34"/>
  <c r="J35" i="34" s="1"/>
  <c r="E35" i="34"/>
  <c r="D35" i="34"/>
  <c r="C35" i="34"/>
  <c r="Z34" i="34"/>
  <c r="X34" i="34"/>
  <c r="T34" i="34"/>
  <c r="R34" i="34"/>
  <c r="M34" i="34"/>
  <c r="L34" i="34"/>
  <c r="I34" i="34"/>
  <c r="H34" i="34"/>
  <c r="E34" i="34"/>
  <c r="D34" i="34"/>
  <c r="C34" i="34"/>
  <c r="Z33" i="34"/>
  <c r="AA33" i="34" s="1"/>
  <c r="X33" i="34"/>
  <c r="Y33" i="34" s="1"/>
  <c r="T33" i="34"/>
  <c r="R33" i="34"/>
  <c r="M33" i="34"/>
  <c r="L33" i="34"/>
  <c r="I33" i="34"/>
  <c r="H33" i="34"/>
  <c r="E33" i="34"/>
  <c r="D33" i="34"/>
  <c r="C33" i="34"/>
  <c r="Z32" i="34"/>
  <c r="X32" i="34"/>
  <c r="T32" i="34"/>
  <c r="R32" i="34"/>
  <c r="M32" i="34"/>
  <c r="L32" i="34"/>
  <c r="I32" i="34"/>
  <c r="H32" i="34"/>
  <c r="E32" i="34"/>
  <c r="D32" i="34"/>
  <c r="C32" i="34"/>
  <c r="Z31" i="34"/>
  <c r="AA37" i="34" s="1"/>
  <c r="X31" i="34"/>
  <c r="T31" i="34"/>
  <c r="R31" i="34"/>
  <c r="S37" i="34" s="1"/>
  <c r="M31" i="34"/>
  <c r="P31" i="34" s="1"/>
  <c r="L31" i="34"/>
  <c r="I31" i="34"/>
  <c r="H31" i="34"/>
  <c r="E31" i="34"/>
  <c r="D31" i="34"/>
  <c r="C31" i="34"/>
  <c r="Z30" i="34"/>
  <c r="AA36" i="34" s="1"/>
  <c r="X30" i="34"/>
  <c r="T30" i="34"/>
  <c r="R30" i="34"/>
  <c r="M30" i="34"/>
  <c r="L30" i="34"/>
  <c r="I30" i="34"/>
  <c r="H30" i="34"/>
  <c r="E30" i="34"/>
  <c r="D30" i="34"/>
  <c r="C30" i="34"/>
  <c r="Z29" i="34"/>
  <c r="X29" i="34"/>
  <c r="T29" i="34"/>
  <c r="R29" i="34"/>
  <c r="M29" i="34"/>
  <c r="L29" i="34"/>
  <c r="N29" i="34" s="1"/>
  <c r="I29" i="34"/>
  <c r="H29" i="34"/>
  <c r="E29" i="34"/>
  <c r="D29" i="34"/>
  <c r="C29" i="34"/>
  <c r="Z28" i="34"/>
  <c r="X28" i="34"/>
  <c r="T28" i="34"/>
  <c r="U34" i="34" s="1"/>
  <c r="R28" i="34"/>
  <c r="M28" i="34"/>
  <c r="L28" i="34"/>
  <c r="I28" i="34"/>
  <c r="H28" i="34"/>
  <c r="E28" i="34"/>
  <c r="F28" i="34" s="1"/>
  <c r="D28" i="34"/>
  <c r="C28" i="34"/>
  <c r="Z27" i="34"/>
  <c r="X27" i="34"/>
  <c r="T27" i="34"/>
  <c r="R27" i="34"/>
  <c r="M27" i="34"/>
  <c r="L27" i="34"/>
  <c r="I27" i="34"/>
  <c r="H27" i="34"/>
  <c r="J27" i="34" s="1"/>
  <c r="E27" i="34"/>
  <c r="D27" i="34"/>
  <c r="C27" i="34"/>
  <c r="Z26" i="34"/>
  <c r="X26" i="34"/>
  <c r="Y32" i="34" s="1"/>
  <c r="T26" i="34"/>
  <c r="V26" i="34" s="1"/>
  <c r="R26" i="34"/>
  <c r="M26" i="34"/>
  <c r="L26" i="34"/>
  <c r="I26" i="34"/>
  <c r="H26" i="34"/>
  <c r="E26" i="34"/>
  <c r="D26" i="34"/>
  <c r="F26" i="34" s="1"/>
  <c r="C26" i="34"/>
  <c r="Z25" i="34"/>
  <c r="AA25" i="34" s="1"/>
  <c r="X25" i="34"/>
  <c r="Y25" i="34" s="1"/>
  <c r="T25" i="34"/>
  <c r="R25" i="34"/>
  <c r="M25" i="34"/>
  <c r="L25" i="34"/>
  <c r="I25" i="34"/>
  <c r="H25" i="34"/>
  <c r="E25" i="34"/>
  <c r="D25" i="34"/>
  <c r="C25" i="34"/>
  <c r="Z24" i="34"/>
  <c r="X24" i="34"/>
  <c r="T24" i="34"/>
  <c r="R24" i="34"/>
  <c r="M24" i="34"/>
  <c r="L24" i="34"/>
  <c r="I24" i="34"/>
  <c r="J24" i="34" s="1"/>
  <c r="H24" i="34"/>
  <c r="E24" i="34"/>
  <c r="D24" i="34"/>
  <c r="C24" i="34"/>
  <c r="Z23" i="34"/>
  <c r="X23" i="34"/>
  <c r="T23" i="34"/>
  <c r="R23" i="34"/>
  <c r="S23" i="34" s="1"/>
  <c r="M23" i="34"/>
  <c r="L23" i="34"/>
  <c r="I23" i="34"/>
  <c r="J23" i="34" s="1"/>
  <c r="H23" i="34"/>
  <c r="E23" i="34"/>
  <c r="D23" i="34"/>
  <c r="F23" i="34" s="1"/>
  <c r="C23" i="34"/>
  <c r="Z22" i="34"/>
  <c r="AA22" i="34" s="1"/>
  <c r="X22" i="34"/>
  <c r="T22" i="34"/>
  <c r="R22" i="34"/>
  <c r="M22" i="34"/>
  <c r="L22" i="34"/>
  <c r="I22" i="34"/>
  <c r="H22" i="34"/>
  <c r="J22" i="34" s="1"/>
  <c r="E22" i="34"/>
  <c r="F22" i="34" s="1"/>
  <c r="D22" i="34"/>
  <c r="C22" i="34"/>
  <c r="Z21" i="34"/>
  <c r="X21" i="34"/>
  <c r="T21" i="34"/>
  <c r="R21" i="34"/>
  <c r="M21" i="34"/>
  <c r="L21" i="34"/>
  <c r="I21" i="34"/>
  <c r="H21" i="34"/>
  <c r="E21" i="34"/>
  <c r="F21" i="34" s="1"/>
  <c r="D21" i="34"/>
  <c r="C21" i="34"/>
  <c r="Z20" i="34"/>
  <c r="X20" i="34"/>
  <c r="T20" i="34"/>
  <c r="R20" i="34"/>
  <c r="M20" i="34"/>
  <c r="L20" i="34"/>
  <c r="I20" i="34"/>
  <c r="H20" i="34"/>
  <c r="E20" i="34"/>
  <c r="F20" i="34" s="1"/>
  <c r="D20" i="34"/>
  <c r="C20" i="34"/>
  <c r="Z19" i="34"/>
  <c r="X19" i="34"/>
  <c r="T19" i="34"/>
  <c r="R19" i="34"/>
  <c r="M19" i="34"/>
  <c r="L19" i="34"/>
  <c r="I19" i="34"/>
  <c r="H19" i="34"/>
  <c r="E19" i="34"/>
  <c r="D19" i="34"/>
  <c r="C19" i="34"/>
  <c r="Z18" i="34"/>
  <c r="X18" i="34"/>
  <c r="T18" i="34"/>
  <c r="V18" i="34" s="1"/>
  <c r="R18" i="34"/>
  <c r="M18" i="34"/>
  <c r="N18" i="34" s="1"/>
  <c r="L18" i="34"/>
  <c r="I18" i="34"/>
  <c r="H18" i="34"/>
  <c r="E18" i="34"/>
  <c r="D18" i="34"/>
  <c r="C18" i="34"/>
  <c r="Z17" i="34"/>
  <c r="X17" i="34"/>
  <c r="Y23" i="34" s="1"/>
  <c r="T17" i="34"/>
  <c r="R17" i="34"/>
  <c r="M17" i="34"/>
  <c r="L17" i="34"/>
  <c r="I17" i="34"/>
  <c r="H17" i="34"/>
  <c r="E17" i="34"/>
  <c r="D17" i="34"/>
  <c r="C17" i="34"/>
  <c r="Z16" i="34"/>
  <c r="X16" i="34"/>
  <c r="T16" i="34"/>
  <c r="R16" i="34"/>
  <c r="M16" i="34"/>
  <c r="L16" i="34"/>
  <c r="I16" i="34"/>
  <c r="J16" i="34" s="1"/>
  <c r="H16" i="34"/>
  <c r="E16" i="34"/>
  <c r="D16" i="34"/>
  <c r="C16" i="34"/>
  <c r="Z15" i="34"/>
  <c r="X15" i="34"/>
  <c r="T15" i="34"/>
  <c r="R15" i="34"/>
  <c r="S21" i="34" s="1"/>
  <c r="M15" i="34"/>
  <c r="L15" i="34"/>
  <c r="I15" i="34"/>
  <c r="H15" i="34"/>
  <c r="E15" i="34"/>
  <c r="D15" i="34"/>
  <c r="C15" i="34"/>
  <c r="Z14" i="34"/>
  <c r="AA20" i="34" s="1"/>
  <c r="X14" i="34"/>
  <c r="T14" i="34"/>
  <c r="R14" i="34"/>
  <c r="S20" i="34" s="1"/>
  <c r="M14" i="34"/>
  <c r="L14" i="34"/>
  <c r="I14" i="34"/>
  <c r="H14" i="34"/>
  <c r="J14" i="34" s="1"/>
  <c r="E14" i="34"/>
  <c r="F14" i="34" s="1"/>
  <c r="D14" i="34"/>
  <c r="C14" i="34"/>
  <c r="Z13" i="34"/>
  <c r="X13" i="34"/>
  <c r="T13" i="34"/>
  <c r="R13" i="34"/>
  <c r="M13" i="34"/>
  <c r="L13" i="34"/>
  <c r="I13" i="34"/>
  <c r="H13" i="34"/>
  <c r="E13" i="34"/>
  <c r="F13" i="34" s="1"/>
  <c r="D13" i="34"/>
  <c r="C13" i="34"/>
  <c r="Z12" i="34"/>
  <c r="X12" i="34"/>
  <c r="T12" i="34"/>
  <c r="R12" i="34"/>
  <c r="M12" i="34"/>
  <c r="L12" i="34"/>
  <c r="I12" i="34"/>
  <c r="H12" i="34"/>
  <c r="E12" i="34"/>
  <c r="D12" i="34"/>
  <c r="F12" i="34" s="1"/>
  <c r="C12" i="34"/>
  <c r="Z11" i="34"/>
  <c r="X11" i="34"/>
  <c r="T11" i="34"/>
  <c r="V11" i="34" s="1"/>
  <c r="R11" i="34"/>
  <c r="M11" i="34"/>
  <c r="L11" i="34"/>
  <c r="I11" i="34"/>
  <c r="H11" i="34"/>
  <c r="E11" i="34"/>
  <c r="D11" i="34"/>
  <c r="F11" i="34" s="1"/>
  <c r="C11" i="34"/>
  <c r="Z10" i="34"/>
  <c r="X10" i="34"/>
  <c r="T10" i="34"/>
  <c r="R10" i="34"/>
  <c r="M10" i="34"/>
  <c r="P10" i="34" s="1"/>
  <c r="L10" i="34"/>
  <c r="I10" i="34"/>
  <c r="H10" i="34"/>
  <c r="J10" i="34" s="1"/>
  <c r="E10" i="34"/>
  <c r="D10" i="34"/>
  <c r="C10" i="34"/>
  <c r="Z9" i="34"/>
  <c r="X9" i="34"/>
  <c r="Y9" i="34" s="1"/>
  <c r="T9" i="34"/>
  <c r="R9" i="34"/>
  <c r="M9" i="34"/>
  <c r="P9" i="34" s="1"/>
  <c r="L9" i="34"/>
  <c r="I9" i="34"/>
  <c r="H9" i="34"/>
  <c r="E9" i="34"/>
  <c r="D9" i="34"/>
  <c r="C9" i="34"/>
  <c r="Z8" i="34"/>
  <c r="X8" i="34"/>
  <c r="T8" i="34"/>
  <c r="R8" i="34"/>
  <c r="M8" i="34"/>
  <c r="L8" i="34"/>
  <c r="P8" i="34" s="1"/>
  <c r="I8" i="34"/>
  <c r="J8" i="34" s="1"/>
  <c r="H8" i="34"/>
  <c r="E8" i="34"/>
  <c r="D8" i="34"/>
  <c r="C8" i="34"/>
  <c r="Z7" i="34"/>
  <c r="X7" i="34"/>
  <c r="T7" i="34"/>
  <c r="R7" i="34"/>
  <c r="S13" i="34" s="1"/>
  <c r="M7" i="34"/>
  <c r="L7" i="34"/>
  <c r="P7" i="34" s="1"/>
  <c r="I7" i="34"/>
  <c r="J7" i="34" s="1"/>
  <c r="H7" i="34"/>
  <c r="E7" i="34"/>
  <c r="D7" i="34"/>
  <c r="C7" i="34"/>
  <c r="Z6" i="34"/>
  <c r="AA12" i="34" s="1"/>
  <c r="X6" i="34"/>
  <c r="T6" i="34"/>
  <c r="R6" i="34"/>
  <c r="S12" i="34" s="1"/>
  <c r="M6" i="34"/>
  <c r="L6" i="34"/>
  <c r="I6" i="34"/>
  <c r="H6" i="34"/>
  <c r="J6" i="34" s="1"/>
  <c r="E6" i="34"/>
  <c r="F6" i="34" s="1"/>
  <c r="D6" i="34"/>
  <c r="C6" i="34"/>
  <c r="Z5" i="34"/>
  <c r="AA11" i="34" s="1"/>
  <c r="X5" i="34"/>
  <c r="T5" i="34"/>
  <c r="R5" i="34"/>
  <c r="M5" i="34"/>
  <c r="L5" i="34"/>
  <c r="I5" i="34"/>
  <c r="H5" i="34"/>
  <c r="J5" i="34" s="1"/>
  <c r="E5" i="34"/>
  <c r="F5" i="34" s="1"/>
  <c r="D5" i="34"/>
  <c r="C5" i="34"/>
  <c r="Z4" i="34"/>
  <c r="AA10" i="34" s="1"/>
  <c r="X4" i="34"/>
  <c r="T4" i="34"/>
  <c r="V4" i="34" s="1"/>
  <c r="R4" i="34"/>
  <c r="M4" i="34"/>
  <c r="L4" i="34"/>
  <c r="N4" i="34" s="1"/>
  <c r="I4" i="34"/>
  <c r="H4" i="34"/>
  <c r="E4" i="34"/>
  <c r="D4" i="34"/>
  <c r="F4" i="34" s="1"/>
  <c r="C4" i="34"/>
  <c r="Z3" i="34"/>
  <c r="X3" i="34"/>
  <c r="T3" i="34"/>
  <c r="U9" i="34" s="1"/>
  <c r="R3" i="34"/>
  <c r="M3" i="34"/>
  <c r="L3" i="34"/>
  <c r="I3" i="34"/>
  <c r="H3" i="34"/>
  <c r="E3" i="34"/>
  <c r="D3" i="34"/>
  <c r="F3" i="34" s="1"/>
  <c r="C3" i="34"/>
  <c r="Z2" i="34"/>
  <c r="X2" i="34"/>
  <c r="T2" i="34"/>
  <c r="R2" i="34"/>
  <c r="V2" i="34" s="1"/>
  <c r="M2" i="34"/>
  <c r="P2" i="34" s="1"/>
  <c r="L2" i="34"/>
  <c r="I2" i="34"/>
  <c r="H2" i="34"/>
  <c r="E2" i="34"/>
  <c r="D2" i="34"/>
  <c r="C2" i="34"/>
  <c r="Y106" i="34"/>
  <c r="V106" i="34"/>
  <c r="N86" i="34"/>
  <c r="Y69" i="34"/>
  <c r="S61" i="34"/>
  <c r="J44" i="34"/>
  <c r="S49" i="34"/>
  <c r="V40" i="34"/>
  <c r="J30" i="34"/>
  <c r="J28" i="34"/>
  <c r="Y21" i="34"/>
  <c r="Y13" i="34"/>
  <c r="S11" i="34"/>
  <c r="Y109" i="35"/>
  <c r="F108" i="35"/>
  <c r="Y107" i="35"/>
  <c r="V107" i="35"/>
  <c r="V106" i="35"/>
  <c r="J106" i="35"/>
  <c r="F105" i="35"/>
  <c r="U104" i="35"/>
  <c r="F104" i="35"/>
  <c r="A104" i="35"/>
  <c r="J103" i="35"/>
  <c r="F103" i="35"/>
  <c r="AA108" i="35"/>
  <c r="S108" i="35"/>
  <c r="J102" i="35"/>
  <c r="N100" i="35"/>
  <c r="F100" i="35"/>
  <c r="S105" i="35"/>
  <c r="J98" i="35"/>
  <c r="N97" i="35"/>
  <c r="P97" i="35"/>
  <c r="F97" i="35"/>
  <c r="F96" i="35"/>
  <c r="Y95" i="35"/>
  <c r="AA92" i="35"/>
  <c r="F92" i="35"/>
  <c r="A92" i="35"/>
  <c r="J90" i="35"/>
  <c r="P89" i="35"/>
  <c r="J89" i="35"/>
  <c r="F88" i="35"/>
  <c r="S93" i="35"/>
  <c r="V86" i="35"/>
  <c r="Y85" i="35"/>
  <c r="P84" i="35"/>
  <c r="N84" i="35"/>
  <c r="J84" i="35"/>
  <c r="F84" i="35"/>
  <c r="J83" i="35"/>
  <c r="V82" i="35"/>
  <c r="J82" i="35"/>
  <c r="AA80" i="35"/>
  <c r="V80" i="35"/>
  <c r="P80" i="35"/>
  <c r="N80" i="35"/>
  <c r="F80" i="35"/>
  <c r="A80" i="35"/>
  <c r="AA84" i="35"/>
  <c r="V78" i="35"/>
  <c r="J78" i="35"/>
  <c r="F77" i="35"/>
  <c r="AA82" i="35"/>
  <c r="U82" i="35"/>
  <c r="P76" i="35"/>
  <c r="N76" i="35"/>
  <c r="F76" i="35"/>
  <c r="V75" i="35"/>
  <c r="V74" i="35"/>
  <c r="J74" i="35"/>
  <c r="F73" i="35"/>
  <c r="U72" i="35"/>
  <c r="N72" i="35"/>
  <c r="F72" i="35"/>
  <c r="V71" i="35"/>
  <c r="V70" i="35"/>
  <c r="J70" i="35"/>
  <c r="N69" i="35"/>
  <c r="U68" i="35"/>
  <c r="N68" i="35"/>
  <c r="F68" i="35"/>
  <c r="A68" i="35"/>
  <c r="Y73" i="35"/>
  <c r="S73" i="35"/>
  <c r="P67" i="35"/>
  <c r="J67" i="35"/>
  <c r="J66" i="35"/>
  <c r="Y71" i="35"/>
  <c r="S71" i="35"/>
  <c r="AA70" i="35"/>
  <c r="P64" i="35"/>
  <c r="F64" i="35"/>
  <c r="AA68" i="35"/>
  <c r="N62" i="35"/>
  <c r="J62" i="35"/>
  <c r="P61" i="35"/>
  <c r="U58" i="35"/>
  <c r="A56" i="35"/>
  <c r="N53" i="35"/>
  <c r="P53" i="35"/>
  <c r="P52" i="35"/>
  <c r="V50" i="35"/>
  <c r="N48" i="35"/>
  <c r="F48" i="35"/>
  <c r="V46" i="35"/>
  <c r="N44" i="35"/>
  <c r="F44" i="35"/>
  <c r="A44" i="35"/>
  <c r="S49" i="35"/>
  <c r="J42" i="35"/>
  <c r="U46" i="35"/>
  <c r="F40" i="35"/>
  <c r="N38" i="35"/>
  <c r="P37" i="35"/>
  <c r="Y36" i="35"/>
  <c r="P36" i="35"/>
  <c r="U34" i="35"/>
  <c r="U33" i="35"/>
  <c r="A32" i="35"/>
  <c r="V31" i="35"/>
  <c r="V26" i="35"/>
  <c r="P25" i="35"/>
  <c r="P24" i="35"/>
  <c r="Y23" i="35"/>
  <c r="F20" i="35"/>
  <c r="A20" i="35"/>
  <c r="N16" i="35"/>
  <c r="AA20" i="35"/>
  <c r="AA12" i="35"/>
  <c r="F12" i="35"/>
  <c r="U10" i="35"/>
  <c r="V10" i="35"/>
  <c r="A8" i="35"/>
  <c r="S13" i="35"/>
  <c r="J6" i="35"/>
  <c r="N5" i="35"/>
  <c r="AA10" i="35"/>
  <c r="V2" i="35"/>
  <c r="F109" i="12"/>
  <c r="Y108" i="12"/>
  <c r="V108" i="12"/>
  <c r="U108" i="12"/>
  <c r="J107" i="12"/>
  <c r="F105" i="12"/>
  <c r="J104" i="12"/>
  <c r="A104" i="12"/>
  <c r="V103" i="12"/>
  <c r="S108" i="12"/>
  <c r="F102" i="12"/>
  <c r="AA107" i="12"/>
  <c r="N101" i="12"/>
  <c r="V100" i="12"/>
  <c r="S106" i="12"/>
  <c r="AA105" i="12"/>
  <c r="S105" i="12"/>
  <c r="J99" i="12"/>
  <c r="N98" i="12"/>
  <c r="Y97" i="12"/>
  <c r="U97" i="12"/>
  <c r="J96" i="12"/>
  <c r="S95" i="12"/>
  <c r="N95" i="12"/>
  <c r="P95" i="12"/>
  <c r="AA94" i="12"/>
  <c r="F94" i="12"/>
  <c r="P93" i="12"/>
  <c r="J93" i="12"/>
  <c r="A92" i="12"/>
  <c r="F91" i="12"/>
  <c r="N90" i="12"/>
  <c r="P90" i="12"/>
  <c r="V89" i="12"/>
  <c r="J88" i="12"/>
  <c r="P87" i="12"/>
  <c r="F86" i="12"/>
  <c r="P85" i="12"/>
  <c r="J85" i="12"/>
  <c r="Y84" i="12"/>
  <c r="V84" i="12"/>
  <c r="N84" i="12"/>
  <c r="J83" i="12"/>
  <c r="N82" i="12"/>
  <c r="P82" i="12"/>
  <c r="AA81" i="12"/>
  <c r="Y81" i="12"/>
  <c r="V81" i="12"/>
  <c r="F81" i="12"/>
  <c r="J80" i="12"/>
  <c r="A80" i="12"/>
  <c r="V79" i="12"/>
  <c r="P79" i="12"/>
  <c r="N79" i="12"/>
  <c r="J78" i="12"/>
  <c r="P77" i="12"/>
  <c r="N77" i="12"/>
  <c r="J77" i="12"/>
  <c r="S82" i="12"/>
  <c r="J75" i="12"/>
  <c r="P74" i="12"/>
  <c r="N74" i="12"/>
  <c r="AA73" i="12"/>
  <c r="V73" i="12"/>
  <c r="F73" i="12"/>
  <c r="J72" i="12"/>
  <c r="S71" i="12"/>
  <c r="J69" i="12"/>
  <c r="Y68" i="12"/>
  <c r="A68" i="12"/>
  <c r="Y73" i="12"/>
  <c r="J67" i="12"/>
  <c r="F67" i="12"/>
  <c r="J66" i="12"/>
  <c r="V65" i="12"/>
  <c r="Y70" i="12"/>
  <c r="P63" i="12"/>
  <c r="N63" i="12"/>
  <c r="J61" i="12"/>
  <c r="V60" i="12"/>
  <c r="U60" i="12"/>
  <c r="AA59" i="12"/>
  <c r="F59" i="12"/>
  <c r="P58" i="12"/>
  <c r="V57" i="12"/>
  <c r="S57" i="12"/>
  <c r="J56" i="12"/>
  <c r="A56" i="12"/>
  <c r="P55" i="12"/>
  <c r="N55" i="12"/>
  <c r="F54" i="12"/>
  <c r="J53" i="12"/>
  <c r="V52" i="12"/>
  <c r="F51" i="12"/>
  <c r="P50" i="12"/>
  <c r="N50" i="12"/>
  <c r="U49" i="12"/>
  <c r="F49" i="12"/>
  <c r="J48" i="12"/>
  <c r="U47" i="12"/>
  <c r="AA46" i="12"/>
  <c r="F46" i="12"/>
  <c r="J45" i="12"/>
  <c r="U44" i="12"/>
  <c r="A44" i="12"/>
  <c r="Y49" i="12"/>
  <c r="J43" i="12"/>
  <c r="F43" i="12"/>
  <c r="N42" i="12"/>
  <c r="P42" i="12"/>
  <c r="V41" i="12"/>
  <c r="F41" i="12"/>
  <c r="Y46" i="12"/>
  <c r="J40" i="12"/>
  <c r="V39" i="12"/>
  <c r="N39" i="12"/>
  <c r="P39" i="12"/>
  <c r="Y44" i="12"/>
  <c r="V38" i="12"/>
  <c r="F38" i="12"/>
  <c r="N37" i="12"/>
  <c r="J37" i="12"/>
  <c r="Y36" i="12"/>
  <c r="V36" i="12"/>
  <c r="V35" i="12"/>
  <c r="J35" i="12"/>
  <c r="F35" i="12"/>
  <c r="N34" i="12"/>
  <c r="Y33" i="12"/>
  <c r="V33" i="12"/>
  <c r="F33" i="12"/>
  <c r="AA32" i="12"/>
  <c r="J32" i="12"/>
  <c r="A32" i="12"/>
  <c r="P31" i="12"/>
  <c r="N31" i="12"/>
  <c r="S36" i="12"/>
  <c r="F30" i="12"/>
  <c r="AA35" i="12"/>
  <c r="N29" i="12"/>
  <c r="P29" i="12"/>
  <c r="J29" i="12"/>
  <c r="V28" i="12"/>
  <c r="S34" i="12"/>
  <c r="N28" i="12"/>
  <c r="AA33" i="12"/>
  <c r="J27" i="12"/>
  <c r="F27" i="12"/>
  <c r="P26" i="12"/>
  <c r="AA25" i="12"/>
  <c r="Y25" i="12"/>
  <c r="V25" i="12"/>
  <c r="F25" i="12"/>
  <c r="J24" i="12"/>
  <c r="V23" i="12"/>
  <c r="U23" i="12"/>
  <c r="S23" i="12"/>
  <c r="P23" i="12"/>
  <c r="F22" i="12"/>
  <c r="N21" i="12"/>
  <c r="P21" i="12"/>
  <c r="J21" i="12"/>
  <c r="V20" i="12"/>
  <c r="P20" i="12"/>
  <c r="A20" i="12"/>
  <c r="J19" i="12"/>
  <c r="F19" i="12"/>
  <c r="N18" i="12"/>
  <c r="P18" i="12"/>
  <c r="V17" i="12"/>
  <c r="F17" i="12"/>
  <c r="AA22" i="12"/>
  <c r="J16" i="12"/>
  <c r="V15" i="12"/>
  <c r="N15" i="12"/>
  <c r="P15" i="12"/>
  <c r="Y20" i="12"/>
  <c r="F14" i="12"/>
  <c r="J13" i="12"/>
  <c r="V12" i="12"/>
  <c r="U12" i="12"/>
  <c r="F11" i="12"/>
  <c r="P10" i="12"/>
  <c r="V9" i="12"/>
  <c r="S9" i="12"/>
  <c r="J8" i="12"/>
  <c r="A8" i="12"/>
  <c r="P7" i="12"/>
  <c r="N7" i="12"/>
  <c r="V6" i="12"/>
  <c r="F6" i="12"/>
  <c r="J5" i="12"/>
  <c r="V4" i="12"/>
  <c r="Y9" i="12"/>
  <c r="F3" i="12"/>
  <c r="P2" i="12"/>
  <c r="N2" i="12"/>
  <c r="F109" i="34"/>
  <c r="V107" i="34"/>
  <c r="S105" i="34"/>
  <c r="N105" i="34"/>
  <c r="A104" i="34"/>
  <c r="J103" i="34"/>
  <c r="Y108" i="34"/>
  <c r="F101" i="34"/>
  <c r="V99" i="34"/>
  <c r="U97" i="34"/>
  <c r="J95" i="34"/>
  <c r="Y94" i="34"/>
  <c r="F94" i="34"/>
  <c r="J93" i="34"/>
  <c r="F93" i="34"/>
  <c r="A92" i="34"/>
  <c r="P90" i="34"/>
  <c r="N89" i="34"/>
  <c r="P89" i="34"/>
  <c r="F88" i="34"/>
  <c r="J87" i="34"/>
  <c r="P85" i="34"/>
  <c r="J85" i="34"/>
  <c r="N84" i="34"/>
  <c r="P84" i="34"/>
  <c r="F83" i="34"/>
  <c r="N82" i="34"/>
  <c r="J82" i="34"/>
  <c r="V81" i="34"/>
  <c r="F80" i="34"/>
  <c r="A80" i="34"/>
  <c r="P79" i="34"/>
  <c r="N79" i="34"/>
  <c r="Y84" i="34"/>
  <c r="S84" i="34"/>
  <c r="AA83" i="34"/>
  <c r="P76" i="34"/>
  <c r="AA81" i="34"/>
  <c r="J75" i="34"/>
  <c r="N73" i="34"/>
  <c r="AA72" i="34"/>
  <c r="V72" i="34"/>
  <c r="F72" i="34"/>
  <c r="J71" i="34"/>
  <c r="V70" i="34"/>
  <c r="U70" i="34"/>
  <c r="F69" i="34"/>
  <c r="P68" i="34"/>
  <c r="N68" i="34"/>
  <c r="A68" i="34"/>
  <c r="V67" i="34"/>
  <c r="J66" i="34"/>
  <c r="F64" i="34"/>
  <c r="J63" i="34"/>
  <c r="V62" i="34"/>
  <c r="J61" i="34"/>
  <c r="Y60" i="34"/>
  <c r="AA59" i="34"/>
  <c r="V59" i="34"/>
  <c r="F59" i="34"/>
  <c r="J58" i="34"/>
  <c r="V57" i="34"/>
  <c r="U57" i="34"/>
  <c r="F56" i="34"/>
  <c r="A56" i="34"/>
  <c r="J55" i="34"/>
  <c r="V54" i="34"/>
  <c r="S60" i="34"/>
  <c r="J53" i="34"/>
  <c r="F51" i="34"/>
  <c r="J50" i="34"/>
  <c r="N47" i="34"/>
  <c r="J47" i="34"/>
  <c r="N46" i="34"/>
  <c r="P45" i="34"/>
  <c r="S44" i="34"/>
  <c r="A44" i="34"/>
  <c r="N39" i="34"/>
  <c r="F38" i="34"/>
  <c r="V35" i="34"/>
  <c r="J34" i="34"/>
  <c r="P33" i="34"/>
  <c r="AA32" i="34"/>
  <c r="V32" i="34"/>
  <c r="F32" i="34"/>
  <c r="A32" i="34"/>
  <c r="J31" i="34"/>
  <c r="V30" i="34"/>
  <c r="Y35" i="34"/>
  <c r="F29" i="34"/>
  <c r="V27" i="34"/>
  <c r="S25" i="34"/>
  <c r="J21" i="34"/>
  <c r="V20" i="34"/>
  <c r="A20" i="34"/>
  <c r="F19" i="34"/>
  <c r="V17" i="34"/>
  <c r="F16" i="34"/>
  <c r="P15" i="34"/>
  <c r="N15" i="34"/>
  <c r="J13" i="34"/>
  <c r="V12" i="34"/>
  <c r="V9" i="34"/>
  <c r="A8" i="34"/>
  <c r="N7" i="34"/>
  <c r="V6" i="34"/>
  <c r="P5" i="34"/>
  <c r="Z121" i="19"/>
  <c r="X121" i="19"/>
  <c r="T121" i="19"/>
  <c r="R121" i="19"/>
  <c r="M121" i="19"/>
  <c r="L121" i="19"/>
  <c r="I121" i="19"/>
  <c r="H121" i="19"/>
  <c r="E121" i="19"/>
  <c r="D121" i="19"/>
  <c r="C121" i="19"/>
  <c r="Z120" i="19"/>
  <c r="X120" i="19"/>
  <c r="T120" i="19"/>
  <c r="R120" i="19"/>
  <c r="M120" i="19"/>
  <c r="L120" i="19"/>
  <c r="I120" i="19"/>
  <c r="H120" i="19"/>
  <c r="E120" i="19"/>
  <c r="D120" i="19"/>
  <c r="C120" i="19"/>
  <c r="Z119" i="19"/>
  <c r="X119" i="19"/>
  <c r="T119" i="19"/>
  <c r="R119" i="19"/>
  <c r="M119" i="19"/>
  <c r="L119" i="19"/>
  <c r="I119" i="19"/>
  <c r="H119" i="19"/>
  <c r="E119" i="19"/>
  <c r="D119" i="19"/>
  <c r="C119" i="19"/>
  <c r="Z118" i="19"/>
  <c r="X118" i="19"/>
  <c r="T118" i="19"/>
  <c r="R118" i="19"/>
  <c r="M118" i="19"/>
  <c r="L118" i="19"/>
  <c r="I118" i="19"/>
  <c r="H118" i="19"/>
  <c r="E118" i="19"/>
  <c r="D118" i="19"/>
  <c r="C118" i="19"/>
  <c r="Z117" i="19"/>
  <c r="X117" i="19"/>
  <c r="T117" i="19"/>
  <c r="R117" i="19"/>
  <c r="M117" i="19"/>
  <c r="L117" i="19"/>
  <c r="I117" i="19"/>
  <c r="H117" i="19"/>
  <c r="E117" i="19"/>
  <c r="D117" i="19"/>
  <c r="C117" i="19"/>
  <c r="Z116" i="19"/>
  <c r="X116" i="19"/>
  <c r="T116" i="19"/>
  <c r="R116" i="19"/>
  <c r="M116" i="19"/>
  <c r="L116" i="19"/>
  <c r="I116" i="19"/>
  <c r="H116" i="19"/>
  <c r="E116" i="19"/>
  <c r="D116" i="19"/>
  <c r="C116" i="19"/>
  <c r="Z115" i="19"/>
  <c r="AA127" i="19" s="1"/>
  <c r="X115" i="19"/>
  <c r="T115" i="19"/>
  <c r="R115" i="19"/>
  <c r="S127" i="19" s="1"/>
  <c r="M115" i="19"/>
  <c r="L115" i="19"/>
  <c r="I115" i="19"/>
  <c r="H115" i="19"/>
  <c r="E115" i="19"/>
  <c r="D115" i="19"/>
  <c r="C115" i="19"/>
  <c r="Z114" i="19"/>
  <c r="AA126" i="19" s="1"/>
  <c r="X114" i="19"/>
  <c r="T114" i="19"/>
  <c r="U132" i="19" s="1"/>
  <c r="R114" i="19"/>
  <c r="S126" i="19" s="1"/>
  <c r="M114" i="19"/>
  <c r="L114" i="19"/>
  <c r="I114" i="19"/>
  <c r="H114" i="19"/>
  <c r="E114" i="19"/>
  <c r="D114" i="19"/>
  <c r="C114" i="19"/>
  <c r="Z113" i="19"/>
  <c r="AA125" i="19" s="1"/>
  <c r="X113" i="19"/>
  <c r="T113" i="19"/>
  <c r="U131" i="19" s="1"/>
  <c r="R113" i="19"/>
  <c r="S131" i="19" s="1"/>
  <c r="M113" i="19"/>
  <c r="L113" i="19"/>
  <c r="I113" i="19"/>
  <c r="H113" i="19"/>
  <c r="E113" i="19"/>
  <c r="D113" i="19"/>
  <c r="C113" i="19"/>
  <c r="Z112" i="19"/>
  <c r="AA118" i="19" s="1"/>
  <c r="X112" i="19"/>
  <c r="T112" i="19"/>
  <c r="U124" i="19" s="1"/>
  <c r="R112" i="19"/>
  <c r="S130" i="19" s="1"/>
  <c r="M112" i="19"/>
  <c r="L112" i="19"/>
  <c r="I112" i="19"/>
  <c r="H112" i="19"/>
  <c r="E112" i="19"/>
  <c r="D112" i="19"/>
  <c r="C112" i="19"/>
  <c r="Z111" i="19"/>
  <c r="AA129" i="19" s="1"/>
  <c r="X111" i="19"/>
  <c r="T111" i="19"/>
  <c r="U123" i="19" s="1"/>
  <c r="R111" i="19"/>
  <c r="S123" i="19" s="1"/>
  <c r="M111" i="19"/>
  <c r="L111" i="19"/>
  <c r="I111" i="19"/>
  <c r="H111" i="19"/>
  <c r="E111" i="19"/>
  <c r="D111" i="19"/>
  <c r="C111" i="19"/>
  <c r="Z110" i="19"/>
  <c r="AA122" i="19" s="1"/>
  <c r="X110" i="19"/>
  <c r="T110" i="19"/>
  <c r="U128" i="19" s="1"/>
  <c r="R110" i="19"/>
  <c r="M110" i="19"/>
  <c r="L110" i="19"/>
  <c r="I110" i="19"/>
  <c r="H110" i="19"/>
  <c r="E110" i="19"/>
  <c r="D110" i="19"/>
  <c r="C110" i="19"/>
  <c r="Z109" i="19"/>
  <c r="X109" i="19"/>
  <c r="T109" i="19"/>
  <c r="R109" i="19"/>
  <c r="M109" i="19"/>
  <c r="L109" i="19"/>
  <c r="I109" i="19"/>
  <c r="J109" i="19" s="1"/>
  <c r="H109" i="19"/>
  <c r="E109" i="19"/>
  <c r="D109" i="19"/>
  <c r="C109" i="19"/>
  <c r="Z108" i="19"/>
  <c r="X108" i="19"/>
  <c r="T108" i="19"/>
  <c r="R108" i="19"/>
  <c r="M108" i="19"/>
  <c r="L108" i="19"/>
  <c r="P108" i="19" s="1"/>
  <c r="I108" i="19"/>
  <c r="H108" i="19"/>
  <c r="E108" i="19"/>
  <c r="D108" i="19"/>
  <c r="C108" i="19"/>
  <c r="Z107" i="19"/>
  <c r="X107" i="19"/>
  <c r="T107" i="19"/>
  <c r="R107" i="19"/>
  <c r="M107" i="19"/>
  <c r="L107" i="19"/>
  <c r="I107" i="19"/>
  <c r="H107" i="19"/>
  <c r="E107" i="19"/>
  <c r="D107" i="19"/>
  <c r="C107" i="19"/>
  <c r="Z106" i="19"/>
  <c r="X106" i="19"/>
  <c r="T106" i="19"/>
  <c r="R106" i="19"/>
  <c r="M106" i="19"/>
  <c r="L106" i="19"/>
  <c r="I106" i="19"/>
  <c r="H106" i="19"/>
  <c r="E106" i="19"/>
  <c r="D106" i="19"/>
  <c r="C106" i="19"/>
  <c r="Z105" i="19"/>
  <c r="X105" i="19"/>
  <c r="T105" i="19"/>
  <c r="R105" i="19"/>
  <c r="M105" i="19"/>
  <c r="L105" i="19"/>
  <c r="I105" i="19"/>
  <c r="H105" i="19"/>
  <c r="E105" i="19"/>
  <c r="D105" i="19"/>
  <c r="C105" i="19"/>
  <c r="Z104" i="19"/>
  <c r="X104" i="19"/>
  <c r="T104" i="19"/>
  <c r="R104" i="19"/>
  <c r="M104" i="19"/>
  <c r="P104" i="19" s="1"/>
  <c r="L104" i="19"/>
  <c r="I104" i="19"/>
  <c r="H104" i="19"/>
  <c r="E104" i="19"/>
  <c r="D104" i="19"/>
  <c r="F104" i="19" s="1"/>
  <c r="C104" i="19"/>
  <c r="Z103" i="19"/>
  <c r="AA109" i="19" s="1"/>
  <c r="X103" i="19"/>
  <c r="T103" i="19"/>
  <c r="R103" i="19"/>
  <c r="M103" i="19"/>
  <c r="L103" i="19"/>
  <c r="I103" i="19"/>
  <c r="J103" i="19" s="1"/>
  <c r="H103" i="19"/>
  <c r="E103" i="19"/>
  <c r="D103" i="19"/>
  <c r="C103" i="19"/>
  <c r="Z102" i="19"/>
  <c r="X102" i="19"/>
  <c r="T102" i="19"/>
  <c r="R102" i="19"/>
  <c r="V102" i="19" s="1"/>
  <c r="M102" i="19"/>
  <c r="L102" i="19"/>
  <c r="I102" i="19"/>
  <c r="H102" i="19"/>
  <c r="E102" i="19"/>
  <c r="D102" i="19"/>
  <c r="C102" i="19"/>
  <c r="Z101" i="19"/>
  <c r="X101" i="19"/>
  <c r="Y107" i="19" s="1"/>
  <c r="T101" i="19"/>
  <c r="U107" i="19" s="1"/>
  <c r="R101" i="19"/>
  <c r="M101" i="19"/>
  <c r="L101" i="19"/>
  <c r="I101" i="19"/>
  <c r="J101" i="19" s="1"/>
  <c r="H101" i="19"/>
  <c r="E101" i="19"/>
  <c r="D101" i="19"/>
  <c r="C101" i="19"/>
  <c r="Z100" i="19"/>
  <c r="X100" i="19"/>
  <c r="T100" i="19"/>
  <c r="R100" i="19"/>
  <c r="M100" i="19"/>
  <c r="L100" i="19"/>
  <c r="P100" i="19" s="1"/>
  <c r="I100" i="19"/>
  <c r="H100" i="19"/>
  <c r="E100" i="19"/>
  <c r="D100" i="19"/>
  <c r="C100" i="19"/>
  <c r="Z99" i="19"/>
  <c r="X99" i="19"/>
  <c r="T99" i="19"/>
  <c r="R99" i="19"/>
  <c r="S105" i="19" s="1"/>
  <c r="M99" i="19"/>
  <c r="L99" i="19"/>
  <c r="I99" i="19"/>
  <c r="H99" i="19"/>
  <c r="E99" i="19"/>
  <c r="D99" i="19"/>
  <c r="C99" i="19"/>
  <c r="Z98" i="19"/>
  <c r="AA104" i="19" s="1"/>
  <c r="X98" i="19"/>
  <c r="Y104" i="19" s="1"/>
  <c r="T98" i="19"/>
  <c r="V98" i="19" s="1"/>
  <c r="R98" i="19"/>
  <c r="M98" i="19"/>
  <c r="L98" i="19"/>
  <c r="I98" i="19"/>
  <c r="H98" i="19"/>
  <c r="E98" i="19"/>
  <c r="D98" i="19"/>
  <c r="C98" i="19"/>
  <c r="Z97" i="19"/>
  <c r="X97" i="19"/>
  <c r="T97" i="19"/>
  <c r="R97" i="19"/>
  <c r="M97" i="19"/>
  <c r="L97" i="19"/>
  <c r="I97" i="19"/>
  <c r="H97" i="19"/>
  <c r="E97" i="19"/>
  <c r="D97" i="19"/>
  <c r="C97" i="19"/>
  <c r="Z96" i="19"/>
  <c r="X96" i="19"/>
  <c r="T96" i="19"/>
  <c r="R96" i="19"/>
  <c r="M96" i="19"/>
  <c r="L96" i="19"/>
  <c r="I96" i="19"/>
  <c r="J96" i="19" s="1"/>
  <c r="H96" i="19"/>
  <c r="E96" i="19"/>
  <c r="D96" i="19"/>
  <c r="C96" i="19"/>
  <c r="Z95" i="19"/>
  <c r="X95" i="19"/>
  <c r="T95" i="19"/>
  <c r="R95" i="19"/>
  <c r="M95" i="19"/>
  <c r="L95" i="19"/>
  <c r="P95" i="19" s="1"/>
  <c r="I95" i="19"/>
  <c r="J95" i="19" s="1"/>
  <c r="H95" i="19"/>
  <c r="E95" i="19"/>
  <c r="D95" i="19"/>
  <c r="C95" i="19"/>
  <c r="Z94" i="19"/>
  <c r="X94" i="19"/>
  <c r="T94" i="19"/>
  <c r="R94" i="19"/>
  <c r="M94" i="19"/>
  <c r="L94" i="19"/>
  <c r="I94" i="19"/>
  <c r="J94" i="19" s="1"/>
  <c r="H94" i="19"/>
  <c r="E94" i="19"/>
  <c r="F94" i="19" s="1"/>
  <c r="D94" i="19"/>
  <c r="C94" i="19"/>
  <c r="Z93" i="19"/>
  <c r="X93" i="19"/>
  <c r="T93" i="19"/>
  <c r="R93" i="19"/>
  <c r="M93" i="19"/>
  <c r="L93" i="19"/>
  <c r="I93" i="19"/>
  <c r="H93" i="19"/>
  <c r="E93" i="19"/>
  <c r="F93" i="19" s="1"/>
  <c r="D93" i="19"/>
  <c r="C93" i="19"/>
  <c r="Z92" i="19"/>
  <c r="X92" i="19"/>
  <c r="T92" i="19"/>
  <c r="V92" i="19" s="1"/>
  <c r="R92" i="19"/>
  <c r="M92" i="19"/>
  <c r="L92" i="19"/>
  <c r="I92" i="19"/>
  <c r="H92" i="19"/>
  <c r="J92" i="19" s="1"/>
  <c r="E92" i="19"/>
  <c r="D92" i="19"/>
  <c r="C92" i="19"/>
  <c r="Z91" i="19"/>
  <c r="X91" i="19"/>
  <c r="T91" i="19"/>
  <c r="R91" i="19"/>
  <c r="M91" i="19"/>
  <c r="L91" i="19"/>
  <c r="I91" i="19"/>
  <c r="H91" i="19"/>
  <c r="E91" i="19"/>
  <c r="D91" i="19"/>
  <c r="C91" i="19"/>
  <c r="Z90" i="19"/>
  <c r="X90" i="19"/>
  <c r="Y96" i="19" s="1"/>
  <c r="T90" i="19"/>
  <c r="R90" i="19"/>
  <c r="M90" i="19"/>
  <c r="P90" i="19" s="1"/>
  <c r="L90" i="19"/>
  <c r="I90" i="19"/>
  <c r="H90" i="19"/>
  <c r="E90" i="19"/>
  <c r="D90" i="19"/>
  <c r="F90" i="19" s="1"/>
  <c r="C90" i="19"/>
  <c r="Z89" i="19"/>
  <c r="X89" i="19"/>
  <c r="T89" i="19"/>
  <c r="R89" i="19"/>
  <c r="V89" i="19" s="1"/>
  <c r="M89" i="19"/>
  <c r="L89" i="19"/>
  <c r="I89" i="19"/>
  <c r="H89" i="19"/>
  <c r="E89" i="19"/>
  <c r="D89" i="19"/>
  <c r="C89" i="19"/>
  <c r="Z88" i="19"/>
  <c r="X88" i="19"/>
  <c r="Y94" i="19" s="1"/>
  <c r="T88" i="19"/>
  <c r="R88" i="19"/>
  <c r="M88" i="19"/>
  <c r="P88" i="19" s="1"/>
  <c r="L88" i="19"/>
  <c r="I88" i="19"/>
  <c r="J88" i="19" s="1"/>
  <c r="H88" i="19"/>
  <c r="E88" i="19"/>
  <c r="D88" i="19"/>
  <c r="C88" i="19"/>
  <c r="Z87" i="19"/>
  <c r="X87" i="19"/>
  <c r="T87" i="19"/>
  <c r="R87" i="19"/>
  <c r="M87" i="19"/>
  <c r="L87" i="19"/>
  <c r="I87" i="19"/>
  <c r="H87" i="19"/>
  <c r="E87" i="19"/>
  <c r="D87" i="19"/>
  <c r="C87" i="19"/>
  <c r="Z86" i="19"/>
  <c r="X86" i="19"/>
  <c r="T86" i="19"/>
  <c r="R86" i="19"/>
  <c r="M86" i="19"/>
  <c r="L86" i="19"/>
  <c r="I86" i="19"/>
  <c r="J86" i="19" s="1"/>
  <c r="H86" i="19"/>
  <c r="E86" i="19"/>
  <c r="F86" i="19" s="1"/>
  <c r="D86" i="19"/>
  <c r="C86" i="19"/>
  <c r="Z85" i="19"/>
  <c r="AA85" i="19" s="1"/>
  <c r="X85" i="19"/>
  <c r="T85" i="19"/>
  <c r="R85" i="19"/>
  <c r="S85" i="19" s="1"/>
  <c r="M85" i="19"/>
  <c r="N85" i="19" s="1"/>
  <c r="L85" i="19"/>
  <c r="I85" i="19"/>
  <c r="H85" i="19"/>
  <c r="E85" i="19"/>
  <c r="F85" i="19" s="1"/>
  <c r="D85" i="19"/>
  <c r="C85" i="19"/>
  <c r="Z84" i="19"/>
  <c r="AA84" i="19" s="1"/>
  <c r="X84" i="19"/>
  <c r="T84" i="19"/>
  <c r="V84" i="19" s="1"/>
  <c r="R84" i="19"/>
  <c r="M84" i="19"/>
  <c r="L84" i="19"/>
  <c r="P84" i="19" s="1"/>
  <c r="I84" i="19"/>
  <c r="H84" i="19"/>
  <c r="E84" i="19"/>
  <c r="F84" i="19" s="1"/>
  <c r="D84" i="19"/>
  <c r="C84" i="19"/>
  <c r="Z83" i="19"/>
  <c r="X83" i="19"/>
  <c r="T83" i="19"/>
  <c r="R83" i="19"/>
  <c r="M83" i="19"/>
  <c r="L83" i="19"/>
  <c r="I83" i="19"/>
  <c r="H83" i="19"/>
  <c r="E83" i="19"/>
  <c r="D83" i="19"/>
  <c r="C83" i="19"/>
  <c r="Z82" i="19"/>
  <c r="X82" i="19"/>
  <c r="T82" i="19"/>
  <c r="U82" i="19" s="1"/>
  <c r="R82" i="19"/>
  <c r="M82" i="19"/>
  <c r="L82" i="19"/>
  <c r="I82" i="19"/>
  <c r="H82" i="19"/>
  <c r="E82" i="19"/>
  <c r="D82" i="19"/>
  <c r="C82" i="19"/>
  <c r="Z81" i="19"/>
  <c r="X81" i="19"/>
  <c r="T81" i="19"/>
  <c r="R81" i="19"/>
  <c r="M81" i="19"/>
  <c r="L81" i="19"/>
  <c r="I81" i="19"/>
  <c r="H81" i="19"/>
  <c r="E81" i="19"/>
  <c r="F81" i="19" s="1"/>
  <c r="D81" i="19"/>
  <c r="C81" i="19"/>
  <c r="Z80" i="19"/>
  <c r="X80" i="19"/>
  <c r="T80" i="19"/>
  <c r="R80" i="19"/>
  <c r="M80" i="19"/>
  <c r="L80" i="19"/>
  <c r="I80" i="19"/>
  <c r="H80" i="19"/>
  <c r="E80" i="19"/>
  <c r="D80" i="19"/>
  <c r="C80" i="19"/>
  <c r="Z79" i="19"/>
  <c r="X79" i="19"/>
  <c r="T79" i="19"/>
  <c r="V79" i="19" s="1"/>
  <c r="R79" i="19"/>
  <c r="M79" i="19"/>
  <c r="L79" i="19"/>
  <c r="P79" i="19" s="1"/>
  <c r="I79" i="19"/>
  <c r="H79" i="19"/>
  <c r="E79" i="19"/>
  <c r="D79" i="19"/>
  <c r="C79" i="19"/>
  <c r="Z78" i="19"/>
  <c r="X78" i="19"/>
  <c r="T78" i="19"/>
  <c r="R78" i="19"/>
  <c r="V78" i="19" s="1"/>
  <c r="M78" i="19"/>
  <c r="L78" i="19"/>
  <c r="I78" i="19"/>
  <c r="H78" i="19"/>
  <c r="E78" i="19"/>
  <c r="D78" i="19"/>
  <c r="C78" i="19"/>
  <c r="Z77" i="19"/>
  <c r="X77" i="19"/>
  <c r="T77" i="19"/>
  <c r="U83" i="19" s="1"/>
  <c r="R77" i="19"/>
  <c r="M77" i="19"/>
  <c r="N77" i="19" s="1"/>
  <c r="L77" i="19"/>
  <c r="I77" i="19"/>
  <c r="H77" i="19"/>
  <c r="E77" i="19"/>
  <c r="D77" i="19"/>
  <c r="C77" i="19"/>
  <c r="Z76" i="19"/>
  <c r="X76" i="19"/>
  <c r="T76" i="19"/>
  <c r="R76" i="19"/>
  <c r="M76" i="19"/>
  <c r="L76" i="19"/>
  <c r="P76" i="19" s="1"/>
  <c r="I76" i="19"/>
  <c r="H76" i="19"/>
  <c r="E76" i="19"/>
  <c r="D76" i="19"/>
  <c r="C76" i="19"/>
  <c r="Z75" i="19"/>
  <c r="X75" i="19"/>
  <c r="T75" i="19"/>
  <c r="R75" i="19"/>
  <c r="S81" i="19" s="1"/>
  <c r="M75" i="19"/>
  <c r="L75" i="19"/>
  <c r="I75" i="19"/>
  <c r="J75" i="19" s="1"/>
  <c r="H75" i="19"/>
  <c r="E75" i="19"/>
  <c r="D75" i="19"/>
  <c r="C75" i="19"/>
  <c r="Z74" i="19"/>
  <c r="AA80" i="19" s="1"/>
  <c r="X74" i="19"/>
  <c r="Y80" i="19" s="1"/>
  <c r="T74" i="19"/>
  <c r="R74" i="19"/>
  <c r="M74" i="19"/>
  <c r="L74" i="19"/>
  <c r="I74" i="19"/>
  <c r="H74" i="19"/>
  <c r="E74" i="19"/>
  <c r="D74" i="19"/>
  <c r="C74" i="19"/>
  <c r="Z73" i="19"/>
  <c r="X73" i="19"/>
  <c r="T73" i="19"/>
  <c r="R73" i="19"/>
  <c r="M73" i="19"/>
  <c r="P73" i="19" s="1"/>
  <c r="L73" i="19"/>
  <c r="I73" i="19"/>
  <c r="H73" i="19"/>
  <c r="E73" i="19"/>
  <c r="D73" i="19"/>
  <c r="C73" i="19"/>
  <c r="Z72" i="19"/>
  <c r="X72" i="19"/>
  <c r="T72" i="19"/>
  <c r="R72" i="19"/>
  <c r="M72" i="19"/>
  <c r="N72" i="19" s="1"/>
  <c r="L72" i="19"/>
  <c r="I72" i="19"/>
  <c r="J72" i="19" s="1"/>
  <c r="H72" i="19"/>
  <c r="E72" i="19"/>
  <c r="D72" i="19"/>
  <c r="C72" i="19"/>
  <c r="Z71" i="19"/>
  <c r="X71" i="19"/>
  <c r="T71" i="19"/>
  <c r="R71" i="19"/>
  <c r="M71" i="19"/>
  <c r="L71" i="19"/>
  <c r="I71" i="19"/>
  <c r="H71" i="19"/>
  <c r="E71" i="19"/>
  <c r="D71" i="19"/>
  <c r="C71" i="19"/>
  <c r="Z70" i="19"/>
  <c r="X70" i="19"/>
  <c r="T70" i="19"/>
  <c r="R70" i="19"/>
  <c r="M70" i="19"/>
  <c r="L70" i="19"/>
  <c r="N70" i="19" s="1"/>
  <c r="I70" i="19"/>
  <c r="H70" i="19"/>
  <c r="E70" i="19"/>
  <c r="F70" i="19" s="1"/>
  <c r="D70" i="19"/>
  <c r="C70" i="19"/>
  <c r="Z69" i="19"/>
  <c r="X69" i="19"/>
  <c r="T69" i="19"/>
  <c r="R69" i="19"/>
  <c r="S69" i="19" s="1"/>
  <c r="M69" i="19"/>
  <c r="L69" i="19"/>
  <c r="I69" i="19"/>
  <c r="H69" i="19"/>
  <c r="E69" i="19"/>
  <c r="D69" i="19"/>
  <c r="C69" i="19"/>
  <c r="Z68" i="19"/>
  <c r="AA68" i="19" s="1"/>
  <c r="X68" i="19"/>
  <c r="T68" i="19"/>
  <c r="V68" i="19" s="1"/>
  <c r="R68" i="19"/>
  <c r="M68" i="19"/>
  <c r="L68" i="19"/>
  <c r="I68" i="19"/>
  <c r="H68" i="19"/>
  <c r="J68" i="19" s="1"/>
  <c r="E68" i="19"/>
  <c r="D68" i="19"/>
  <c r="C68" i="19"/>
  <c r="Z67" i="19"/>
  <c r="X67" i="19"/>
  <c r="T67" i="19"/>
  <c r="V67" i="19" s="1"/>
  <c r="R67" i="19"/>
  <c r="M67" i="19"/>
  <c r="L67" i="19"/>
  <c r="I67" i="19"/>
  <c r="H67" i="19"/>
  <c r="E67" i="19"/>
  <c r="D67" i="19"/>
  <c r="C67" i="19"/>
  <c r="Z66" i="19"/>
  <c r="X66" i="19"/>
  <c r="Y72" i="19" s="1"/>
  <c r="T66" i="19"/>
  <c r="R66" i="19"/>
  <c r="M66" i="19"/>
  <c r="N66" i="19" s="1"/>
  <c r="L66" i="19"/>
  <c r="I66" i="19"/>
  <c r="H66" i="19"/>
  <c r="E66" i="19"/>
  <c r="D66" i="19"/>
  <c r="F66" i="19" s="1"/>
  <c r="C66" i="19"/>
  <c r="Z65" i="19"/>
  <c r="X65" i="19"/>
  <c r="T65" i="19"/>
  <c r="R65" i="19"/>
  <c r="M65" i="19"/>
  <c r="L65" i="19"/>
  <c r="I65" i="19"/>
  <c r="H65" i="19"/>
  <c r="E65" i="19"/>
  <c r="D65" i="19"/>
  <c r="C65" i="19"/>
  <c r="Z64" i="19"/>
  <c r="X64" i="19"/>
  <c r="Y70" i="19" s="1"/>
  <c r="T64" i="19"/>
  <c r="R64" i="19"/>
  <c r="V64" i="19" s="1"/>
  <c r="M64" i="19"/>
  <c r="L64" i="19"/>
  <c r="I64" i="19"/>
  <c r="J64" i="19" s="1"/>
  <c r="H64" i="19"/>
  <c r="E64" i="19"/>
  <c r="D64" i="19"/>
  <c r="C64" i="19"/>
  <c r="Z63" i="19"/>
  <c r="AA69" i="19" s="1"/>
  <c r="X63" i="19"/>
  <c r="T63" i="19"/>
  <c r="R63" i="19"/>
  <c r="M63" i="19"/>
  <c r="L63" i="19"/>
  <c r="P63" i="19" s="1"/>
  <c r="I63" i="19"/>
  <c r="H63" i="19"/>
  <c r="E63" i="19"/>
  <c r="D63" i="19"/>
  <c r="C63" i="19"/>
  <c r="Z62" i="19"/>
  <c r="X62" i="19"/>
  <c r="T62" i="19"/>
  <c r="R62" i="19"/>
  <c r="M62" i="19"/>
  <c r="L62" i="19"/>
  <c r="P62" i="19" s="1"/>
  <c r="I62" i="19"/>
  <c r="H62" i="19"/>
  <c r="E62" i="19"/>
  <c r="F62" i="19" s="1"/>
  <c r="D62" i="19"/>
  <c r="C62" i="19"/>
  <c r="Z61" i="19"/>
  <c r="X61" i="19"/>
  <c r="T61" i="19"/>
  <c r="R61" i="19"/>
  <c r="M61" i="19"/>
  <c r="P61" i="19" s="1"/>
  <c r="L61" i="19"/>
  <c r="I61" i="19"/>
  <c r="H61" i="19"/>
  <c r="E61" i="19"/>
  <c r="D61" i="19"/>
  <c r="C61" i="19"/>
  <c r="Z60" i="19"/>
  <c r="X60" i="19"/>
  <c r="T60" i="19"/>
  <c r="R60" i="19"/>
  <c r="M60" i="19"/>
  <c r="L60" i="19"/>
  <c r="I60" i="19"/>
  <c r="H60" i="19"/>
  <c r="E60" i="19"/>
  <c r="D60" i="19"/>
  <c r="C60" i="19"/>
  <c r="Z59" i="19"/>
  <c r="X59" i="19"/>
  <c r="T59" i="19"/>
  <c r="R59" i="19"/>
  <c r="M59" i="19"/>
  <c r="P59" i="19" s="1"/>
  <c r="L59" i="19"/>
  <c r="I59" i="19"/>
  <c r="J59" i="19" s="1"/>
  <c r="H59" i="19"/>
  <c r="E59" i="19"/>
  <c r="D59" i="19"/>
  <c r="C59" i="19"/>
  <c r="Z58" i="19"/>
  <c r="X58" i="19"/>
  <c r="T58" i="19"/>
  <c r="U58" i="19" s="1"/>
  <c r="R58" i="19"/>
  <c r="M58" i="19"/>
  <c r="L58" i="19"/>
  <c r="I58" i="19"/>
  <c r="H58" i="19"/>
  <c r="E58" i="19"/>
  <c r="D58" i="19"/>
  <c r="C58" i="19"/>
  <c r="Z57" i="19"/>
  <c r="X57" i="19"/>
  <c r="T57" i="19"/>
  <c r="R57" i="19"/>
  <c r="M57" i="19"/>
  <c r="L57" i="19"/>
  <c r="I57" i="19"/>
  <c r="J57" i="19" s="1"/>
  <c r="H57" i="19"/>
  <c r="E57" i="19"/>
  <c r="F57" i="19" s="1"/>
  <c r="D57" i="19"/>
  <c r="C57" i="19"/>
  <c r="Z56" i="19"/>
  <c r="X56" i="19"/>
  <c r="T56" i="19"/>
  <c r="R56" i="19"/>
  <c r="M56" i="19"/>
  <c r="P56" i="19" s="1"/>
  <c r="L56" i="19"/>
  <c r="I56" i="19"/>
  <c r="H56" i="19"/>
  <c r="E56" i="19"/>
  <c r="D56" i="19"/>
  <c r="F56" i="19" s="1"/>
  <c r="C56" i="19"/>
  <c r="Z55" i="19"/>
  <c r="AA61" i="19" s="1"/>
  <c r="X55" i="19"/>
  <c r="T55" i="19"/>
  <c r="R55" i="19"/>
  <c r="M55" i="19"/>
  <c r="L55" i="19"/>
  <c r="I55" i="19"/>
  <c r="H55" i="19"/>
  <c r="E55" i="19"/>
  <c r="F55" i="19" s="1"/>
  <c r="D55" i="19"/>
  <c r="C55" i="19"/>
  <c r="Z54" i="19"/>
  <c r="X54" i="19"/>
  <c r="T54" i="19"/>
  <c r="R54" i="19"/>
  <c r="M54" i="19"/>
  <c r="L54" i="19"/>
  <c r="I54" i="19"/>
  <c r="H54" i="19"/>
  <c r="E54" i="19"/>
  <c r="D54" i="19"/>
  <c r="C54" i="19"/>
  <c r="Z53" i="19"/>
  <c r="X53" i="19"/>
  <c r="Y59" i="19" s="1"/>
  <c r="T53" i="19"/>
  <c r="V53" i="19" s="1"/>
  <c r="R53" i="19"/>
  <c r="M53" i="19"/>
  <c r="P53" i="19" s="1"/>
  <c r="L53" i="19"/>
  <c r="I53" i="19"/>
  <c r="H53" i="19"/>
  <c r="E53" i="19"/>
  <c r="D53" i="19"/>
  <c r="C53" i="19"/>
  <c r="Z52" i="19"/>
  <c r="X52" i="19"/>
  <c r="T52" i="19"/>
  <c r="R52" i="19"/>
  <c r="V52" i="19" s="1"/>
  <c r="M52" i="19"/>
  <c r="L52" i="19"/>
  <c r="P52" i="19" s="1"/>
  <c r="I52" i="19"/>
  <c r="H52" i="19"/>
  <c r="E52" i="19"/>
  <c r="D52" i="19"/>
  <c r="C52" i="19"/>
  <c r="Z51" i="19"/>
  <c r="X51" i="19"/>
  <c r="Y57" i="19" s="1"/>
  <c r="T51" i="19"/>
  <c r="R51" i="19"/>
  <c r="M51" i="19"/>
  <c r="P51" i="19" s="1"/>
  <c r="L51" i="19"/>
  <c r="I51" i="19"/>
  <c r="J51" i="19" s="1"/>
  <c r="H51" i="19"/>
  <c r="E51" i="19"/>
  <c r="D51" i="19"/>
  <c r="C51" i="19"/>
  <c r="Z50" i="19"/>
  <c r="AA56" i="19" s="1"/>
  <c r="X50" i="19"/>
  <c r="Y56" i="19" s="1"/>
  <c r="T50" i="19"/>
  <c r="R50" i="19"/>
  <c r="M50" i="19"/>
  <c r="L50" i="19"/>
  <c r="N50" i="19" s="1"/>
  <c r="I50" i="19"/>
  <c r="H50" i="19"/>
  <c r="J50" i="19" s="1"/>
  <c r="E50" i="19"/>
  <c r="D50" i="19"/>
  <c r="C50" i="19"/>
  <c r="Z49" i="19"/>
  <c r="X49" i="19"/>
  <c r="T49" i="19"/>
  <c r="R49" i="19"/>
  <c r="M49" i="19"/>
  <c r="P49" i="19" s="1"/>
  <c r="L49" i="19"/>
  <c r="I49" i="19"/>
  <c r="H49" i="19"/>
  <c r="E49" i="19"/>
  <c r="D49" i="19"/>
  <c r="C49" i="19"/>
  <c r="Z48" i="19"/>
  <c r="X48" i="19"/>
  <c r="T48" i="19"/>
  <c r="R48" i="19"/>
  <c r="M48" i="19"/>
  <c r="L48" i="19"/>
  <c r="I48" i="19"/>
  <c r="H48" i="19"/>
  <c r="E48" i="19"/>
  <c r="D48" i="19"/>
  <c r="C48" i="19"/>
  <c r="Z47" i="19"/>
  <c r="X47" i="19"/>
  <c r="T47" i="19"/>
  <c r="R47" i="19"/>
  <c r="M47" i="19"/>
  <c r="P47" i="19" s="1"/>
  <c r="L47" i="19"/>
  <c r="I47" i="19"/>
  <c r="J47" i="19" s="1"/>
  <c r="H47" i="19"/>
  <c r="E47" i="19"/>
  <c r="D47" i="19"/>
  <c r="C47" i="19"/>
  <c r="Z46" i="19"/>
  <c r="X46" i="19"/>
  <c r="T46" i="19"/>
  <c r="R46" i="19"/>
  <c r="M46" i="19"/>
  <c r="L46" i="19"/>
  <c r="I46" i="19"/>
  <c r="J46" i="19" s="1"/>
  <c r="H46" i="19"/>
  <c r="E46" i="19"/>
  <c r="D46" i="19"/>
  <c r="C46" i="19"/>
  <c r="Z45" i="19"/>
  <c r="X45" i="19"/>
  <c r="T45" i="19"/>
  <c r="R45" i="19"/>
  <c r="M45" i="19"/>
  <c r="P45" i="19" s="1"/>
  <c r="L45" i="19"/>
  <c r="I45" i="19"/>
  <c r="J45" i="19" s="1"/>
  <c r="H45" i="19"/>
  <c r="E45" i="19"/>
  <c r="F45" i="19" s="1"/>
  <c r="D45" i="19"/>
  <c r="C45" i="19"/>
  <c r="Z44" i="19"/>
  <c r="X44" i="19"/>
  <c r="T44" i="19"/>
  <c r="R44" i="19"/>
  <c r="M44" i="19"/>
  <c r="L44" i="19"/>
  <c r="P44" i="19" s="1"/>
  <c r="I44" i="19"/>
  <c r="H44" i="19"/>
  <c r="E44" i="19"/>
  <c r="F44" i="19" s="1"/>
  <c r="D44" i="19"/>
  <c r="C44" i="19"/>
  <c r="Z43" i="19"/>
  <c r="X43" i="19"/>
  <c r="T43" i="19"/>
  <c r="R43" i="19"/>
  <c r="M43" i="19"/>
  <c r="L43" i="19"/>
  <c r="I43" i="19"/>
  <c r="H43" i="19"/>
  <c r="E43" i="19"/>
  <c r="F43" i="19" s="1"/>
  <c r="D43" i="19"/>
  <c r="C43" i="19"/>
  <c r="Z42" i="19"/>
  <c r="AA48" i="19" s="1"/>
  <c r="X42" i="19"/>
  <c r="Y48" i="19" s="1"/>
  <c r="T42" i="19"/>
  <c r="R42" i="19"/>
  <c r="M42" i="19"/>
  <c r="L42" i="19"/>
  <c r="P42" i="19" s="1"/>
  <c r="I42" i="19"/>
  <c r="H42" i="19"/>
  <c r="J42" i="19" s="1"/>
  <c r="E42" i="19"/>
  <c r="D42" i="19"/>
  <c r="C42" i="19"/>
  <c r="Z41" i="19"/>
  <c r="X41" i="19"/>
  <c r="T41" i="19"/>
  <c r="R41" i="19"/>
  <c r="M41" i="19"/>
  <c r="N41" i="19" s="1"/>
  <c r="L41" i="19"/>
  <c r="I41" i="19"/>
  <c r="H41" i="19"/>
  <c r="E41" i="19"/>
  <c r="F41" i="19" s="1"/>
  <c r="D41" i="19"/>
  <c r="C41" i="19"/>
  <c r="Z40" i="19"/>
  <c r="X40" i="19"/>
  <c r="T40" i="19"/>
  <c r="U46" i="19" s="1"/>
  <c r="R40" i="19"/>
  <c r="S46" i="19" s="1"/>
  <c r="M40" i="19"/>
  <c r="L40" i="19"/>
  <c r="I40" i="19"/>
  <c r="H40" i="19"/>
  <c r="E40" i="19"/>
  <c r="D40" i="19"/>
  <c r="F40" i="19" s="1"/>
  <c r="C40" i="19"/>
  <c r="Z39" i="19"/>
  <c r="AA45" i="19" s="1"/>
  <c r="X39" i="19"/>
  <c r="T39" i="19"/>
  <c r="V39" i="19" s="1"/>
  <c r="R39" i="19"/>
  <c r="M39" i="19"/>
  <c r="L39" i="19"/>
  <c r="I39" i="19"/>
  <c r="J39" i="19" s="1"/>
  <c r="H39" i="19"/>
  <c r="E39" i="19"/>
  <c r="D39" i="19"/>
  <c r="C39" i="19"/>
  <c r="Z38" i="19"/>
  <c r="X38" i="19"/>
  <c r="T38" i="19"/>
  <c r="R38" i="19"/>
  <c r="V38" i="19" s="1"/>
  <c r="M38" i="19"/>
  <c r="L38" i="19"/>
  <c r="I38" i="19"/>
  <c r="H38" i="19"/>
  <c r="E38" i="19"/>
  <c r="D38" i="19"/>
  <c r="C38" i="19"/>
  <c r="Y119" i="19"/>
  <c r="F113" i="19"/>
  <c r="A104" i="19"/>
  <c r="A92" i="19"/>
  <c r="A80" i="19"/>
  <c r="A68" i="19"/>
  <c r="A56" i="19"/>
  <c r="A44" i="19"/>
  <c r="N108" i="19"/>
  <c r="J106" i="19"/>
  <c r="N101" i="19"/>
  <c r="N100" i="19"/>
  <c r="V97" i="19"/>
  <c r="F96" i="19"/>
  <c r="J93" i="19"/>
  <c r="Y92" i="19"/>
  <c r="U92" i="19"/>
  <c r="F91" i="19"/>
  <c r="J90" i="19"/>
  <c r="P87" i="19"/>
  <c r="U84" i="19"/>
  <c r="J83" i="19"/>
  <c r="J82" i="19"/>
  <c r="F78" i="19"/>
  <c r="AA73" i="19"/>
  <c r="J71" i="19"/>
  <c r="N69" i="19"/>
  <c r="S68" i="19"/>
  <c r="V65" i="19"/>
  <c r="V63" i="19"/>
  <c r="Y68" i="19"/>
  <c r="V62" i="19"/>
  <c r="S61" i="19"/>
  <c r="AA60" i="19"/>
  <c r="F60" i="19"/>
  <c r="F59" i="19"/>
  <c r="AA57" i="19"/>
  <c r="J56" i="19"/>
  <c r="V55" i="19"/>
  <c r="N53" i="19"/>
  <c r="P50" i="19"/>
  <c r="F48" i="19"/>
  <c r="V46" i="19"/>
  <c r="Y49" i="19"/>
  <c r="S49" i="19"/>
  <c r="P41" i="19"/>
  <c r="Z37" i="19"/>
  <c r="X37" i="19"/>
  <c r="T37" i="19"/>
  <c r="U37" i="19" s="1"/>
  <c r="R37" i="19"/>
  <c r="S37" i="19" s="1"/>
  <c r="M37" i="19"/>
  <c r="L37" i="19"/>
  <c r="I37" i="19"/>
  <c r="H37" i="19"/>
  <c r="E37" i="19"/>
  <c r="D37" i="19"/>
  <c r="F37" i="19" s="1"/>
  <c r="C37" i="19"/>
  <c r="Z36" i="19"/>
  <c r="AA36" i="19" s="1"/>
  <c r="X36" i="19"/>
  <c r="T36" i="19"/>
  <c r="R36" i="19"/>
  <c r="M36" i="19"/>
  <c r="L36" i="19"/>
  <c r="P36" i="19" s="1"/>
  <c r="I36" i="19"/>
  <c r="H36" i="19"/>
  <c r="E36" i="19"/>
  <c r="D36" i="19"/>
  <c r="C36" i="19"/>
  <c r="Z35" i="19"/>
  <c r="X35" i="19"/>
  <c r="T35" i="19"/>
  <c r="R35" i="19"/>
  <c r="M35" i="19"/>
  <c r="L35" i="19"/>
  <c r="I35" i="19"/>
  <c r="H35" i="19"/>
  <c r="E35" i="19"/>
  <c r="D35" i="19"/>
  <c r="C35" i="19"/>
  <c r="Z34" i="19"/>
  <c r="X34" i="19"/>
  <c r="Y34" i="19" s="1"/>
  <c r="T34" i="19"/>
  <c r="U34" i="19" s="1"/>
  <c r="R34" i="19"/>
  <c r="M34" i="19"/>
  <c r="L34" i="19"/>
  <c r="I34" i="19"/>
  <c r="H34" i="19"/>
  <c r="J34" i="19" s="1"/>
  <c r="E34" i="19"/>
  <c r="D34" i="19"/>
  <c r="C34" i="19"/>
  <c r="Z33" i="19"/>
  <c r="X33" i="19"/>
  <c r="T33" i="19"/>
  <c r="V33" i="19" s="1"/>
  <c r="R33" i="19"/>
  <c r="M33" i="19"/>
  <c r="L33" i="19"/>
  <c r="P33" i="19" s="1"/>
  <c r="I33" i="19"/>
  <c r="H33" i="19"/>
  <c r="E33" i="19"/>
  <c r="F33" i="19" s="1"/>
  <c r="D33" i="19"/>
  <c r="C33" i="19"/>
  <c r="Z32" i="19"/>
  <c r="X32" i="19"/>
  <c r="T32" i="19"/>
  <c r="R32" i="19"/>
  <c r="M32" i="19"/>
  <c r="L32" i="19"/>
  <c r="I32" i="19"/>
  <c r="J32" i="19" s="1"/>
  <c r="H32" i="19"/>
  <c r="E32" i="19"/>
  <c r="D32" i="19"/>
  <c r="F32" i="19" s="1"/>
  <c r="C32" i="19"/>
  <c r="Z31" i="19"/>
  <c r="AA37" i="19" s="1"/>
  <c r="X31" i="19"/>
  <c r="Y37" i="19" s="1"/>
  <c r="T31" i="19"/>
  <c r="V31" i="19" s="1"/>
  <c r="R31" i="19"/>
  <c r="M31" i="19"/>
  <c r="N31" i="19" s="1"/>
  <c r="L31" i="19"/>
  <c r="I31" i="19"/>
  <c r="H31" i="19"/>
  <c r="E31" i="19"/>
  <c r="D31" i="19"/>
  <c r="C31" i="19"/>
  <c r="Z30" i="19"/>
  <c r="X30" i="19"/>
  <c r="T30" i="19"/>
  <c r="R30" i="19"/>
  <c r="V30" i="19" s="1"/>
  <c r="M30" i="19"/>
  <c r="L30" i="19"/>
  <c r="I30" i="19"/>
  <c r="J30" i="19" s="1"/>
  <c r="H30" i="19"/>
  <c r="E30" i="19"/>
  <c r="D30" i="19"/>
  <c r="C30" i="19"/>
  <c r="Z29" i="19"/>
  <c r="X29" i="19"/>
  <c r="Y35" i="19" s="1"/>
  <c r="T29" i="19"/>
  <c r="U35" i="19" s="1"/>
  <c r="R29" i="19"/>
  <c r="S35" i="19" s="1"/>
  <c r="M29" i="19"/>
  <c r="L29" i="19"/>
  <c r="I29" i="19"/>
  <c r="J29" i="19" s="1"/>
  <c r="H29" i="19"/>
  <c r="E29" i="19"/>
  <c r="D29" i="19"/>
  <c r="F29" i="19" s="1"/>
  <c r="C29" i="19"/>
  <c r="Z28" i="19"/>
  <c r="AA34" i="19" s="1"/>
  <c r="X28" i="19"/>
  <c r="T28" i="19"/>
  <c r="R28" i="19"/>
  <c r="M28" i="19"/>
  <c r="L28" i="19"/>
  <c r="P28" i="19" s="1"/>
  <c r="I28" i="19"/>
  <c r="H28" i="19"/>
  <c r="E28" i="19"/>
  <c r="F28" i="19" s="1"/>
  <c r="D28" i="19"/>
  <c r="C28" i="19"/>
  <c r="Z27" i="19"/>
  <c r="X27" i="19"/>
  <c r="T27" i="19"/>
  <c r="R27" i="19"/>
  <c r="S33" i="19" s="1"/>
  <c r="M27" i="19"/>
  <c r="L27" i="19"/>
  <c r="I27" i="19"/>
  <c r="H27" i="19"/>
  <c r="E27" i="19"/>
  <c r="F27" i="19" s="1"/>
  <c r="D27" i="19"/>
  <c r="C27" i="19"/>
  <c r="Z26" i="19"/>
  <c r="AA32" i="19" s="1"/>
  <c r="X26" i="19"/>
  <c r="T26" i="19"/>
  <c r="U32" i="19" s="1"/>
  <c r="R26" i="19"/>
  <c r="M26" i="19"/>
  <c r="L26" i="19"/>
  <c r="I26" i="19"/>
  <c r="H26" i="19"/>
  <c r="J26" i="19" s="1"/>
  <c r="E26" i="19"/>
  <c r="D26" i="19"/>
  <c r="C26" i="19"/>
  <c r="Z25" i="19"/>
  <c r="AA25" i="19" s="1"/>
  <c r="X25" i="19"/>
  <c r="T25" i="19"/>
  <c r="R25" i="19"/>
  <c r="M25" i="19"/>
  <c r="L25" i="19"/>
  <c r="I25" i="19"/>
  <c r="H25" i="19"/>
  <c r="E25" i="19"/>
  <c r="F25" i="19" s="1"/>
  <c r="D25" i="19"/>
  <c r="C25" i="19"/>
  <c r="Z24" i="19"/>
  <c r="X24" i="19"/>
  <c r="T24" i="19"/>
  <c r="R24" i="19"/>
  <c r="M24" i="19"/>
  <c r="L24" i="19"/>
  <c r="I24" i="19"/>
  <c r="J24" i="19" s="1"/>
  <c r="H24" i="19"/>
  <c r="E24" i="19"/>
  <c r="D24" i="19"/>
  <c r="C24" i="19"/>
  <c r="Z23" i="19"/>
  <c r="X23" i="19"/>
  <c r="T23" i="19"/>
  <c r="U23" i="19" s="1"/>
  <c r="R23" i="19"/>
  <c r="M23" i="19"/>
  <c r="L23" i="19"/>
  <c r="P23" i="19" s="1"/>
  <c r="I23" i="19"/>
  <c r="H23" i="19"/>
  <c r="E23" i="19"/>
  <c r="D23" i="19"/>
  <c r="C23" i="19"/>
  <c r="Z22" i="19"/>
  <c r="X22" i="19"/>
  <c r="T22" i="19"/>
  <c r="R22" i="19"/>
  <c r="V22" i="19" s="1"/>
  <c r="M22" i="19"/>
  <c r="L22" i="19"/>
  <c r="I22" i="19"/>
  <c r="H22" i="19"/>
  <c r="E22" i="19"/>
  <c r="D22" i="19"/>
  <c r="C22" i="19"/>
  <c r="Z21" i="19"/>
  <c r="X21" i="19"/>
  <c r="T21" i="19"/>
  <c r="R21" i="19"/>
  <c r="M21" i="19"/>
  <c r="L21" i="19"/>
  <c r="I21" i="19"/>
  <c r="H21" i="19"/>
  <c r="E21" i="19"/>
  <c r="D21" i="19"/>
  <c r="C21" i="19"/>
  <c r="Z20" i="19"/>
  <c r="X20" i="19"/>
  <c r="T20" i="19"/>
  <c r="R20" i="19"/>
  <c r="M20" i="19"/>
  <c r="L20" i="19"/>
  <c r="I20" i="19"/>
  <c r="H20" i="19"/>
  <c r="E20" i="19"/>
  <c r="D20" i="19"/>
  <c r="C20" i="19"/>
  <c r="Z19" i="19"/>
  <c r="X19" i="19"/>
  <c r="Y25" i="19" s="1"/>
  <c r="T19" i="19"/>
  <c r="R19" i="19"/>
  <c r="M19" i="19"/>
  <c r="L19" i="19"/>
  <c r="I19" i="19"/>
  <c r="H19" i="19"/>
  <c r="E19" i="19"/>
  <c r="D19" i="19"/>
  <c r="F19" i="19" s="1"/>
  <c r="C19" i="19"/>
  <c r="Z18" i="19"/>
  <c r="X18" i="19"/>
  <c r="T18" i="19"/>
  <c r="R18" i="19"/>
  <c r="M18" i="19"/>
  <c r="L18" i="19"/>
  <c r="I18" i="19"/>
  <c r="H18" i="19"/>
  <c r="E18" i="19"/>
  <c r="D18" i="19"/>
  <c r="C18" i="19"/>
  <c r="Z17" i="19"/>
  <c r="X17" i="19"/>
  <c r="T17" i="19"/>
  <c r="R17" i="19"/>
  <c r="S23" i="19" s="1"/>
  <c r="M17" i="19"/>
  <c r="L17" i="19"/>
  <c r="N17" i="19" s="1"/>
  <c r="I17" i="19"/>
  <c r="H17" i="19"/>
  <c r="E17" i="19"/>
  <c r="F17" i="19" s="1"/>
  <c r="D17" i="19"/>
  <c r="C17" i="19"/>
  <c r="Z16" i="19"/>
  <c r="X16" i="19"/>
  <c r="T16" i="19"/>
  <c r="R16" i="19"/>
  <c r="M16" i="19"/>
  <c r="L16" i="19"/>
  <c r="I16" i="19"/>
  <c r="J16" i="19" s="1"/>
  <c r="H16" i="19"/>
  <c r="E16" i="19"/>
  <c r="D16" i="19"/>
  <c r="C16" i="19"/>
  <c r="Z15" i="19"/>
  <c r="X15" i="19"/>
  <c r="T15" i="19"/>
  <c r="V15" i="19" s="1"/>
  <c r="R15" i="19"/>
  <c r="M15" i="19"/>
  <c r="L15" i="19"/>
  <c r="N15" i="19" s="1"/>
  <c r="I15" i="19"/>
  <c r="H15" i="19"/>
  <c r="E15" i="19"/>
  <c r="D15" i="19"/>
  <c r="C15" i="19"/>
  <c r="Z14" i="19"/>
  <c r="X14" i="19"/>
  <c r="T14" i="19"/>
  <c r="R14" i="19"/>
  <c r="M14" i="19"/>
  <c r="P14" i="19" s="1"/>
  <c r="L14" i="19"/>
  <c r="I14" i="19"/>
  <c r="H14" i="19"/>
  <c r="E14" i="19"/>
  <c r="D14" i="19"/>
  <c r="C14" i="19"/>
  <c r="J37" i="19"/>
  <c r="J36" i="19"/>
  <c r="AA24" i="19"/>
  <c r="S24" i="19"/>
  <c r="F22" i="19"/>
  <c r="N18" i="19"/>
  <c r="P18" i="19"/>
  <c r="V17" i="19"/>
  <c r="A32" i="19"/>
  <c r="A20" i="19"/>
  <c r="A8" i="19"/>
  <c r="G118" i="12" l="1"/>
  <c r="K116" i="34"/>
  <c r="O130" i="19"/>
  <c r="O125" i="19"/>
  <c r="O132" i="34"/>
  <c r="O129" i="19"/>
  <c r="O127" i="34"/>
  <c r="K123" i="34"/>
  <c r="O129" i="12"/>
  <c r="O121" i="12"/>
  <c r="K133" i="35"/>
  <c r="Q122" i="35"/>
  <c r="K129" i="12"/>
  <c r="Q130" i="34"/>
  <c r="O130" i="35"/>
  <c r="O126" i="34"/>
  <c r="G129" i="34"/>
  <c r="W133" i="34"/>
  <c r="O128" i="12"/>
  <c r="G121" i="12"/>
  <c r="G118" i="34"/>
  <c r="K128" i="34"/>
  <c r="O120" i="35"/>
  <c r="O118" i="35"/>
  <c r="O127" i="12"/>
  <c r="O119" i="12"/>
  <c r="K126" i="35"/>
  <c r="G117" i="34"/>
  <c r="K125" i="35"/>
  <c r="O132" i="35"/>
  <c r="O126" i="35"/>
  <c r="O122" i="35"/>
  <c r="Q124" i="34"/>
  <c r="O131" i="35"/>
  <c r="N112" i="19"/>
  <c r="O112" i="19" s="1"/>
  <c r="P120" i="19"/>
  <c r="O123" i="34"/>
  <c r="O125" i="12"/>
  <c r="O117" i="12"/>
  <c r="O124" i="35"/>
  <c r="K127" i="35"/>
  <c r="O125" i="35"/>
  <c r="O128" i="35"/>
  <c r="K122" i="34"/>
  <c r="O116" i="12"/>
  <c r="O116" i="35"/>
  <c r="O133" i="12"/>
  <c r="J28" i="19"/>
  <c r="P30" i="19"/>
  <c r="F34" i="19"/>
  <c r="V51" i="19"/>
  <c r="F53" i="19"/>
  <c r="J55" i="19"/>
  <c r="P57" i="19"/>
  <c r="Q57" i="19" s="1"/>
  <c r="V59" i="19"/>
  <c r="W59" i="19" s="1"/>
  <c r="F61" i="19"/>
  <c r="F69" i="19"/>
  <c r="N73" i="19"/>
  <c r="F77" i="19"/>
  <c r="P78" i="19"/>
  <c r="J79" i="19"/>
  <c r="P81" i="19"/>
  <c r="F82" i="19"/>
  <c r="G82" i="19" s="1"/>
  <c r="J84" i="19"/>
  <c r="F101" i="19"/>
  <c r="P105" i="19"/>
  <c r="V107" i="19"/>
  <c r="F109" i="19"/>
  <c r="Y126" i="19"/>
  <c r="Y114" i="19"/>
  <c r="F21" i="19"/>
  <c r="J23" i="19"/>
  <c r="J31" i="19"/>
  <c r="V35" i="19"/>
  <c r="N52" i="19"/>
  <c r="J53" i="19"/>
  <c r="V54" i="19"/>
  <c r="N55" i="19"/>
  <c r="J58" i="19"/>
  <c r="K58" i="19" s="1"/>
  <c r="P60" i="19"/>
  <c r="F64" i="19"/>
  <c r="P68" i="19"/>
  <c r="V70" i="19"/>
  <c r="F72" i="19"/>
  <c r="J74" i="19"/>
  <c r="N76" i="19"/>
  <c r="F80" i="19"/>
  <c r="Y83" i="19"/>
  <c r="N84" i="19"/>
  <c r="F88" i="19"/>
  <c r="P92" i="19"/>
  <c r="F115" i="19"/>
  <c r="G127" i="19" s="1"/>
  <c r="Y121" i="19"/>
  <c r="Y115" i="19"/>
  <c r="P39" i="19"/>
  <c r="Q45" i="19" s="1"/>
  <c r="S44" i="19"/>
  <c r="Y46" i="19"/>
  <c r="U49" i="19"/>
  <c r="F54" i="19"/>
  <c r="P58" i="19"/>
  <c r="V60" i="19"/>
  <c r="P103" i="19"/>
  <c r="Q109" i="19" s="1"/>
  <c r="V105" i="19"/>
  <c r="W105" i="19" s="1"/>
  <c r="F107" i="19"/>
  <c r="S108" i="19"/>
  <c r="Y122" i="19"/>
  <c r="Y110" i="19"/>
  <c r="Y124" i="19"/>
  <c r="Y112" i="19"/>
  <c r="F35" i="19"/>
  <c r="G35" i="19" s="1"/>
  <c r="F65" i="19"/>
  <c r="G71" i="19" s="1"/>
  <c r="J67" i="19"/>
  <c r="V71" i="19"/>
  <c r="Y81" i="19"/>
  <c r="F97" i="19"/>
  <c r="Y97" i="19"/>
  <c r="U106" i="19"/>
  <c r="AA108" i="19"/>
  <c r="S109" i="19"/>
  <c r="Y125" i="19"/>
  <c r="Y113" i="19"/>
  <c r="J27" i="19"/>
  <c r="P29" i="19"/>
  <c r="Y33" i="19"/>
  <c r="J35" i="19"/>
  <c r="U36" i="19"/>
  <c r="P37" i="19"/>
  <c r="V50" i="19"/>
  <c r="F52" i="19"/>
  <c r="J54" i="19"/>
  <c r="Y45" i="19"/>
  <c r="U48" i="19"/>
  <c r="Y129" i="19"/>
  <c r="Y111" i="19"/>
  <c r="K9" i="35"/>
  <c r="N40" i="35"/>
  <c r="N2" i="35"/>
  <c r="AA9" i="35"/>
  <c r="S10" i="35"/>
  <c r="F6" i="35"/>
  <c r="J8" i="35"/>
  <c r="P10" i="35"/>
  <c r="Q10" i="35" s="1"/>
  <c r="AA11" i="35"/>
  <c r="V12" i="35"/>
  <c r="J13" i="35"/>
  <c r="F14" i="35"/>
  <c r="N15" i="35"/>
  <c r="J16" i="35"/>
  <c r="K22" i="35" s="1"/>
  <c r="V17" i="35"/>
  <c r="F19" i="35"/>
  <c r="AA25" i="35"/>
  <c r="V20" i="35"/>
  <c r="J21" i="35"/>
  <c r="F22" i="35"/>
  <c r="Y22" i="35"/>
  <c r="F17" i="35"/>
  <c r="J19" i="35"/>
  <c r="N21" i="35"/>
  <c r="F25" i="35"/>
  <c r="G25" i="35" s="1"/>
  <c r="F41" i="35"/>
  <c r="J43" i="35"/>
  <c r="N45" i="35"/>
  <c r="F49" i="35"/>
  <c r="J75" i="35"/>
  <c r="K81" i="35" s="1"/>
  <c r="P77" i="35"/>
  <c r="V79" i="35"/>
  <c r="F81" i="35"/>
  <c r="G81" i="35" s="1"/>
  <c r="N85" i="35"/>
  <c r="J99" i="35"/>
  <c r="N101" i="35"/>
  <c r="V103" i="35"/>
  <c r="J107" i="35"/>
  <c r="K107" i="35" s="1"/>
  <c r="P62" i="35"/>
  <c r="P78" i="35"/>
  <c r="Q84" i="35" s="1"/>
  <c r="Y106" i="35"/>
  <c r="W119" i="35"/>
  <c r="W113" i="35"/>
  <c r="K119" i="35"/>
  <c r="Y33" i="35"/>
  <c r="Y57" i="35"/>
  <c r="AA94" i="35"/>
  <c r="S95" i="35"/>
  <c r="Y97" i="35"/>
  <c r="AA96" i="35"/>
  <c r="W128" i="35"/>
  <c r="W110" i="35"/>
  <c r="P23" i="35"/>
  <c r="Q23" i="35" s="1"/>
  <c r="J24" i="35"/>
  <c r="K24" i="35" s="1"/>
  <c r="V25" i="35"/>
  <c r="F27" i="35"/>
  <c r="G33" i="35" s="1"/>
  <c r="AA33" i="35"/>
  <c r="V28" i="35"/>
  <c r="F30" i="35"/>
  <c r="J32" i="35"/>
  <c r="P34" i="35"/>
  <c r="AA35" i="35"/>
  <c r="F38" i="35"/>
  <c r="Y44" i="35"/>
  <c r="P39" i="35"/>
  <c r="U47" i="35"/>
  <c r="P42" i="35"/>
  <c r="F43" i="35"/>
  <c r="AA49" i="35"/>
  <c r="S44" i="35"/>
  <c r="F46" i="35"/>
  <c r="Y46" i="35"/>
  <c r="N47" i="35"/>
  <c r="J48" i="35"/>
  <c r="U49" i="35"/>
  <c r="N50" i="35"/>
  <c r="AA57" i="35"/>
  <c r="V52" i="35"/>
  <c r="W58" i="35" s="1"/>
  <c r="F54" i="35"/>
  <c r="Y60" i="35"/>
  <c r="J56" i="35"/>
  <c r="U57" i="35"/>
  <c r="N58" i="35"/>
  <c r="AA59" i="35"/>
  <c r="V60" i="35"/>
  <c r="F62" i="35"/>
  <c r="Y68" i="35"/>
  <c r="P63" i="35"/>
  <c r="J64" i="35"/>
  <c r="U71" i="35"/>
  <c r="N66" i="35"/>
  <c r="F67" i="35"/>
  <c r="AA73" i="35"/>
  <c r="V68" i="35"/>
  <c r="J69" i="35"/>
  <c r="F70" i="35"/>
  <c r="G70" i="35" s="1"/>
  <c r="Y70" i="35"/>
  <c r="N71" i="35"/>
  <c r="J72" i="35"/>
  <c r="V73" i="35"/>
  <c r="N74" i="35"/>
  <c r="F75" i="35"/>
  <c r="AA81" i="35"/>
  <c r="V76" i="35"/>
  <c r="W82" i="35" s="1"/>
  <c r="J77" i="35"/>
  <c r="K83" i="35" s="1"/>
  <c r="F78" i="35"/>
  <c r="Y84" i="35"/>
  <c r="P79" i="35"/>
  <c r="J80" i="35"/>
  <c r="V81" i="35"/>
  <c r="W81" i="35" s="1"/>
  <c r="N82" i="35"/>
  <c r="F83" i="35"/>
  <c r="G83" i="35" s="1"/>
  <c r="AA83" i="35"/>
  <c r="S84" i="35"/>
  <c r="J85" i="35"/>
  <c r="F86" i="35"/>
  <c r="J88" i="35"/>
  <c r="K94" i="35" s="1"/>
  <c r="N90" i="35"/>
  <c r="S92" i="35"/>
  <c r="F94" i="35"/>
  <c r="G94" i="35" s="1"/>
  <c r="Y94" i="35"/>
  <c r="J96" i="35"/>
  <c r="N98" i="35"/>
  <c r="F99" i="35"/>
  <c r="AA105" i="35"/>
  <c r="S106" i="35"/>
  <c r="J101" i="35"/>
  <c r="F102" i="35"/>
  <c r="G108" i="35" s="1"/>
  <c r="Y108" i="35"/>
  <c r="N103" i="35"/>
  <c r="J104" i="35"/>
  <c r="V105" i="35"/>
  <c r="F107" i="35"/>
  <c r="AA107" i="35"/>
  <c r="V108" i="35"/>
  <c r="J109" i="35"/>
  <c r="K109" i="35" s="1"/>
  <c r="P62" i="12"/>
  <c r="V3" i="12"/>
  <c r="P9" i="12"/>
  <c r="V11" i="12"/>
  <c r="F13" i="12"/>
  <c r="J15" i="12"/>
  <c r="P17" i="12"/>
  <c r="Q23" i="12" s="1"/>
  <c r="V19" i="12"/>
  <c r="W25" i="12" s="1"/>
  <c r="F21" i="12"/>
  <c r="J23" i="12"/>
  <c r="N25" i="12"/>
  <c r="F29" i="12"/>
  <c r="J31" i="12"/>
  <c r="N33" i="12"/>
  <c r="F37" i="12"/>
  <c r="G37" i="12" s="1"/>
  <c r="Q129" i="12"/>
  <c r="J92" i="12"/>
  <c r="W120" i="12"/>
  <c r="W114" i="12"/>
  <c r="V72" i="12"/>
  <c r="F90" i="12"/>
  <c r="V76" i="12"/>
  <c r="G130" i="12"/>
  <c r="G124" i="12"/>
  <c r="J3" i="12"/>
  <c r="P5" i="12"/>
  <c r="V7" i="12"/>
  <c r="F9" i="12"/>
  <c r="AA9" i="12"/>
  <c r="S10" i="12"/>
  <c r="J11" i="12"/>
  <c r="K11" i="12" s="1"/>
  <c r="Y12" i="12"/>
  <c r="P13" i="12"/>
  <c r="J51" i="12"/>
  <c r="P53" i="12"/>
  <c r="V55" i="12"/>
  <c r="F57" i="12"/>
  <c r="G57" i="12" s="1"/>
  <c r="AA57" i="12"/>
  <c r="S58" i="12"/>
  <c r="J59" i="12"/>
  <c r="K59" i="12" s="1"/>
  <c r="P61" i="12"/>
  <c r="AA95" i="12"/>
  <c r="S96" i="12"/>
  <c r="Y92" i="12"/>
  <c r="U95" i="12"/>
  <c r="F97" i="12"/>
  <c r="AA97" i="12"/>
  <c r="F66" i="12"/>
  <c r="P86" i="12"/>
  <c r="N94" i="12"/>
  <c r="AA10" i="12"/>
  <c r="S11" i="12"/>
  <c r="Y13" i="12"/>
  <c r="P11" i="12"/>
  <c r="Q11" i="12" s="1"/>
  <c r="F15" i="12"/>
  <c r="G21" i="12" s="1"/>
  <c r="Y21" i="12"/>
  <c r="J17" i="12"/>
  <c r="K23" i="12" s="1"/>
  <c r="U24" i="12"/>
  <c r="N19" i="12"/>
  <c r="AA20" i="12"/>
  <c r="V21" i="12"/>
  <c r="W21" i="12" s="1"/>
  <c r="F23" i="12"/>
  <c r="N27" i="12"/>
  <c r="AA34" i="12"/>
  <c r="V29" i="12"/>
  <c r="W35" i="12" s="1"/>
  <c r="F31" i="12"/>
  <c r="Y37" i="12"/>
  <c r="J33" i="12"/>
  <c r="K33" i="12" s="1"/>
  <c r="N35" i="12"/>
  <c r="AA36" i="12"/>
  <c r="V37" i="12"/>
  <c r="AA44" i="12"/>
  <c r="Y47" i="12"/>
  <c r="AA58" i="12"/>
  <c r="S59" i="12"/>
  <c r="Y61" i="12"/>
  <c r="V58" i="12"/>
  <c r="F63" i="12"/>
  <c r="J65" i="12"/>
  <c r="P67" i="12"/>
  <c r="V69" i="12"/>
  <c r="Y71" i="12"/>
  <c r="P75" i="12"/>
  <c r="J81" i="12"/>
  <c r="AA84" i="12"/>
  <c r="J89" i="12"/>
  <c r="P91" i="12"/>
  <c r="Q97" i="12" s="1"/>
  <c r="AA92" i="12"/>
  <c r="S93" i="12"/>
  <c r="F95" i="12"/>
  <c r="J97" i="12"/>
  <c r="U104" i="12"/>
  <c r="N99" i="12"/>
  <c r="AA106" i="12"/>
  <c r="S107" i="12"/>
  <c r="F103" i="12"/>
  <c r="G109" i="12" s="1"/>
  <c r="Y109" i="12"/>
  <c r="AA108" i="12"/>
  <c r="V109" i="12"/>
  <c r="J11" i="34"/>
  <c r="F17" i="34"/>
  <c r="F57" i="34"/>
  <c r="N69" i="34"/>
  <c r="F73" i="34"/>
  <c r="F44" i="34"/>
  <c r="G44" i="34" s="1"/>
  <c r="J54" i="34"/>
  <c r="S109" i="34"/>
  <c r="P3" i="34"/>
  <c r="J25" i="34"/>
  <c r="J57" i="34"/>
  <c r="J68" i="34"/>
  <c r="P70" i="34"/>
  <c r="N102" i="34"/>
  <c r="F106" i="34"/>
  <c r="G106" i="34" s="1"/>
  <c r="J108" i="34"/>
  <c r="K108" i="34" s="1"/>
  <c r="Q120" i="34"/>
  <c r="J3" i="34"/>
  <c r="P21" i="34"/>
  <c r="J59" i="34"/>
  <c r="J67" i="34"/>
  <c r="V87" i="34"/>
  <c r="F97" i="34"/>
  <c r="G97" i="34" s="1"/>
  <c r="N56" i="34"/>
  <c r="F60" i="34"/>
  <c r="J102" i="34"/>
  <c r="F108" i="34"/>
  <c r="N2" i="34"/>
  <c r="P42" i="34"/>
  <c r="U92" i="34"/>
  <c r="V51" i="34"/>
  <c r="W57" i="34" s="1"/>
  <c r="F53" i="34"/>
  <c r="G59" i="34" s="1"/>
  <c r="N57" i="34"/>
  <c r="F61" i="34"/>
  <c r="F77" i="34"/>
  <c r="J79" i="34"/>
  <c r="P81" i="34"/>
  <c r="AA82" i="34"/>
  <c r="V83" i="34"/>
  <c r="F85" i="34"/>
  <c r="G85" i="34" s="1"/>
  <c r="Y85" i="34"/>
  <c r="V15" i="34"/>
  <c r="J51" i="34"/>
  <c r="J46" i="34"/>
  <c r="P98" i="34"/>
  <c r="AA13" i="34"/>
  <c r="N5" i="34"/>
  <c r="F9" i="34"/>
  <c r="G9" i="34" s="1"/>
  <c r="F25" i="34"/>
  <c r="J43" i="34"/>
  <c r="N61" i="34"/>
  <c r="J38" i="34"/>
  <c r="N74" i="34"/>
  <c r="J2" i="34"/>
  <c r="K8" i="34" s="1"/>
  <c r="P4" i="34"/>
  <c r="U12" i="34"/>
  <c r="F8" i="34"/>
  <c r="AA8" i="34"/>
  <c r="S9" i="34"/>
  <c r="Y11" i="34"/>
  <c r="P12" i="34"/>
  <c r="J26" i="34"/>
  <c r="N28" i="34"/>
  <c r="V38" i="34"/>
  <c r="F40" i="34"/>
  <c r="AA46" i="34"/>
  <c r="S47" i="34"/>
  <c r="J42" i="34"/>
  <c r="Y49" i="34"/>
  <c r="P44" i="34"/>
  <c r="F48" i="34"/>
  <c r="G48" i="34" s="1"/>
  <c r="J74" i="34"/>
  <c r="K80" i="34" s="1"/>
  <c r="N76" i="34"/>
  <c r="J77" i="34"/>
  <c r="V86" i="34"/>
  <c r="AA94" i="34"/>
  <c r="J90" i="34"/>
  <c r="Y97" i="34"/>
  <c r="V94" i="34"/>
  <c r="F96" i="34"/>
  <c r="G96" i="34" s="1"/>
  <c r="AA96" i="34"/>
  <c r="V97" i="34"/>
  <c r="J98" i="34"/>
  <c r="P100" i="34"/>
  <c r="F104" i="34"/>
  <c r="J106" i="34"/>
  <c r="K106" i="34" s="1"/>
  <c r="N108" i="34"/>
  <c r="W118" i="34"/>
  <c r="W112" i="34"/>
  <c r="V7" i="34"/>
  <c r="P13" i="34"/>
  <c r="N45" i="34"/>
  <c r="F49" i="34"/>
  <c r="F65" i="34"/>
  <c r="V71" i="34"/>
  <c r="W71" i="34" s="1"/>
  <c r="V95" i="34"/>
  <c r="AA60" i="34"/>
  <c r="V98" i="34"/>
  <c r="F100" i="34"/>
  <c r="V60" i="34"/>
  <c r="Y36" i="34"/>
  <c r="J37" i="34"/>
  <c r="K37" i="34" s="1"/>
  <c r="F62" i="34"/>
  <c r="G68" i="34" s="1"/>
  <c r="J64" i="34"/>
  <c r="Y70" i="34"/>
  <c r="J72" i="34"/>
  <c r="AA105" i="34"/>
  <c r="S106" i="34"/>
  <c r="U105" i="34"/>
  <c r="AA107" i="34"/>
  <c r="S108" i="34"/>
  <c r="W122" i="34"/>
  <c r="W110" i="34"/>
  <c r="G125" i="19"/>
  <c r="G131" i="19"/>
  <c r="Q132" i="19"/>
  <c r="G124" i="34"/>
  <c r="W126" i="12"/>
  <c r="Y133" i="19"/>
  <c r="U126" i="19"/>
  <c r="AA133" i="19"/>
  <c r="AA130" i="19"/>
  <c r="G133" i="19"/>
  <c r="S132" i="19"/>
  <c r="Y123" i="19"/>
  <c r="AA123" i="19"/>
  <c r="S124" i="19"/>
  <c r="AA131" i="19"/>
  <c r="Y128" i="19"/>
  <c r="Q126" i="19"/>
  <c r="Y127" i="19"/>
  <c r="U129" i="19"/>
  <c r="W132" i="12"/>
  <c r="G130" i="35"/>
  <c r="AA128" i="19"/>
  <c r="Y132" i="19"/>
  <c r="AA132" i="19"/>
  <c r="S133" i="19"/>
  <c r="S116" i="19"/>
  <c r="S122" i="19"/>
  <c r="J111" i="19"/>
  <c r="K123" i="19" s="1"/>
  <c r="U121" i="19"/>
  <c r="U127" i="19"/>
  <c r="G124" i="35"/>
  <c r="AA124" i="19"/>
  <c r="U130" i="19"/>
  <c r="Y131" i="19"/>
  <c r="Y130" i="19"/>
  <c r="S119" i="19"/>
  <c r="S125" i="19"/>
  <c r="S128" i="19"/>
  <c r="S117" i="19"/>
  <c r="S129" i="19"/>
  <c r="U133" i="19"/>
  <c r="U122" i="19"/>
  <c r="U125" i="19"/>
  <c r="W131" i="35"/>
  <c r="W125" i="35"/>
  <c r="Q117" i="12"/>
  <c r="W128" i="34"/>
  <c r="W130" i="34"/>
  <c r="W124" i="34"/>
  <c r="W116" i="34"/>
  <c r="Q128" i="12"/>
  <c r="Q116" i="12"/>
  <c r="Q131" i="34"/>
  <c r="Q119" i="34"/>
  <c r="J114" i="19"/>
  <c r="K126" i="19" s="1"/>
  <c r="P116" i="19"/>
  <c r="F110" i="19"/>
  <c r="J112" i="19"/>
  <c r="K124" i="19" s="1"/>
  <c r="P114" i="19"/>
  <c r="F118" i="19"/>
  <c r="J120" i="19"/>
  <c r="V110" i="19"/>
  <c r="J115" i="19"/>
  <c r="K127" i="19" s="1"/>
  <c r="P117" i="19"/>
  <c r="F121" i="19"/>
  <c r="G121" i="19" s="1"/>
  <c r="AA117" i="19"/>
  <c r="S118" i="19"/>
  <c r="Y120" i="19"/>
  <c r="F112" i="19"/>
  <c r="V111" i="19"/>
  <c r="N113" i="19"/>
  <c r="O113" i="19" s="1"/>
  <c r="V115" i="19"/>
  <c r="F117" i="19"/>
  <c r="J119" i="19"/>
  <c r="P121" i="19"/>
  <c r="J5" i="35"/>
  <c r="K11" i="35" s="1"/>
  <c r="P7" i="35"/>
  <c r="V9" i="35"/>
  <c r="F11" i="35"/>
  <c r="F3" i="35"/>
  <c r="G9" i="35" s="1"/>
  <c r="P2" i="35"/>
  <c r="Q8" i="35" s="1"/>
  <c r="N12" i="35"/>
  <c r="Y10" i="12"/>
  <c r="U13" i="12"/>
  <c r="K13" i="34"/>
  <c r="N5" i="12"/>
  <c r="U9" i="35"/>
  <c r="AA9" i="34"/>
  <c r="S10" i="34"/>
  <c r="Y12" i="34"/>
  <c r="S8" i="35"/>
  <c r="Y10" i="35"/>
  <c r="N4" i="35"/>
  <c r="N7" i="35"/>
  <c r="Y8" i="34"/>
  <c r="U11" i="34"/>
  <c r="AA8" i="35"/>
  <c r="V3" i="34"/>
  <c r="W9" i="34" s="1"/>
  <c r="Y8" i="35"/>
  <c r="V23" i="19"/>
  <c r="N23" i="35"/>
  <c r="U20" i="35"/>
  <c r="F16" i="35"/>
  <c r="G22" i="35" s="1"/>
  <c r="AA22" i="35"/>
  <c r="S23" i="35"/>
  <c r="J18" i="35"/>
  <c r="Y25" i="35"/>
  <c r="P20" i="35"/>
  <c r="V22" i="35"/>
  <c r="AA24" i="35"/>
  <c r="V18" i="19"/>
  <c r="F18" i="19"/>
  <c r="P21" i="35"/>
  <c r="Q21" i="35" s="1"/>
  <c r="V19" i="19"/>
  <c r="N25" i="19"/>
  <c r="U22" i="34"/>
  <c r="AA24" i="34"/>
  <c r="V19" i="34"/>
  <c r="AA21" i="35"/>
  <c r="S22" i="35"/>
  <c r="F18" i="35"/>
  <c r="N16" i="19"/>
  <c r="F20" i="19"/>
  <c r="P20" i="19"/>
  <c r="U22" i="19"/>
  <c r="F24" i="19"/>
  <c r="S25" i="19"/>
  <c r="J15" i="34"/>
  <c r="K21" i="34" s="1"/>
  <c r="P17" i="34"/>
  <c r="P20" i="34"/>
  <c r="F24" i="34"/>
  <c r="J15" i="35"/>
  <c r="P17" i="35"/>
  <c r="V19" i="35"/>
  <c r="F21" i="35"/>
  <c r="G21" i="35" s="1"/>
  <c r="J25" i="12"/>
  <c r="K25" i="12" s="1"/>
  <c r="Y20" i="19"/>
  <c r="N29" i="19"/>
  <c r="P26" i="34"/>
  <c r="F27" i="34"/>
  <c r="V28" i="34"/>
  <c r="J29" i="34"/>
  <c r="F30" i="34"/>
  <c r="G36" i="34" s="1"/>
  <c r="J32" i="34"/>
  <c r="U33" i="34"/>
  <c r="AA35" i="34"/>
  <c r="S36" i="34"/>
  <c r="J29" i="35"/>
  <c r="AA32" i="35"/>
  <c r="F35" i="35"/>
  <c r="J37" i="35"/>
  <c r="K37" i="35" s="1"/>
  <c r="V31" i="34"/>
  <c r="Y34" i="34"/>
  <c r="U37" i="34"/>
  <c r="N26" i="19"/>
  <c r="F30" i="19"/>
  <c r="P34" i="19"/>
  <c r="V36" i="19"/>
  <c r="AA44" i="34"/>
  <c r="S45" i="34"/>
  <c r="Y47" i="34"/>
  <c r="S48" i="12"/>
  <c r="N42" i="35"/>
  <c r="V42" i="34"/>
  <c r="J41" i="12"/>
  <c r="F47" i="12"/>
  <c r="G47" i="12" s="1"/>
  <c r="J40" i="35"/>
  <c r="V44" i="35"/>
  <c r="V49" i="19"/>
  <c r="U47" i="19"/>
  <c r="U48" i="12"/>
  <c r="J41" i="34"/>
  <c r="K47" i="34" s="1"/>
  <c r="AA47" i="34"/>
  <c r="P38" i="12"/>
  <c r="F42" i="12"/>
  <c r="J44" i="12"/>
  <c r="J38" i="19"/>
  <c r="N40" i="19"/>
  <c r="Y47" i="19"/>
  <c r="P48" i="19"/>
  <c r="AA48" i="34"/>
  <c r="P58" i="34"/>
  <c r="F60" i="12"/>
  <c r="N55" i="35"/>
  <c r="K56" i="35"/>
  <c r="F59" i="35"/>
  <c r="G59" i="35" s="1"/>
  <c r="J61" i="35"/>
  <c r="F50" i="12"/>
  <c r="J52" i="12"/>
  <c r="K58" i="12" s="1"/>
  <c r="P54" i="12"/>
  <c r="F55" i="12"/>
  <c r="V56" i="12"/>
  <c r="W56" i="12" s="1"/>
  <c r="F58" i="12"/>
  <c r="G58" i="12" s="1"/>
  <c r="U61" i="12"/>
  <c r="F51" i="19"/>
  <c r="P55" i="19"/>
  <c r="J61" i="19"/>
  <c r="K61" i="19" s="1"/>
  <c r="N61" i="12"/>
  <c r="V56" i="34"/>
  <c r="AA58" i="34"/>
  <c r="Y61" i="34"/>
  <c r="J55" i="12"/>
  <c r="K61" i="12" s="1"/>
  <c r="P57" i="12"/>
  <c r="V59" i="12"/>
  <c r="F61" i="12"/>
  <c r="G61" i="12" s="1"/>
  <c r="V50" i="12"/>
  <c r="J53" i="35"/>
  <c r="K59" i="35" s="1"/>
  <c r="Y56" i="35"/>
  <c r="U59" i="35"/>
  <c r="F55" i="35"/>
  <c r="G61" i="35" s="1"/>
  <c r="AA61" i="35"/>
  <c r="J57" i="35"/>
  <c r="J54" i="12"/>
  <c r="K60" i="12" s="1"/>
  <c r="F51" i="35"/>
  <c r="S58" i="19"/>
  <c r="Y60" i="19"/>
  <c r="N53" i="12"/>
  <c r="S57" i="35"/>
  <c r="F53" i="35"/>
  <c r="Y59" i="35"/>
  <c r="J55" i="35"/>
  <c r="K61" i="35" s="1"/>
  <c r="P57" i="35"/>
  <c r="V59" i="35"/>
  <c r="F61" i="35"/>
  <c r="F52" i="12"/>
  <c r="Y71" i="19"/>
  <c r="J62" i="19"/>
  <c r="P64" i="19"/>
  <c r="V66" i="19"/>
  <c r="F68" i="19"/>
  <c r="J70" i="19"/>
  <c r="P72" i="19"/>
  <c r="F73" i="19"/>
  <c r="G73" i="19" s="1"/>
  <c r="F63" i="19"/>
  <c r="G69" i="19" s="1"/>
  <c r="J65" i="19"/>
  <c r="N67" i="19"/>
  <c r="V69" i="19"/>
  <c r="F71" i="19"/>
  <c r="J73" i="19"/>
  <c r="U68" i="12"/>
  <c r="J62" i="34"/>
  <c r="J70" i="34"/>
  <c r="K70" i="34" s="1"/>
  <c r="Y71" i="34"/>
  <c r="J63" i="19"/>
  <c r="N65" i="19"/>
  <c r="J63" i="12"/>
  <c r="N71" i="34"/>
  <c r="U73" i="34"/>
  <c r="AA69" i="12"/>
  <c r="Y72" i="12"/>
  <c r="P66" i="19"/>
  <c r="J66" i="19"/>
  <c r="Y73" i="19"/>
  <c r="S73" i="19"/>
  <c r="AA71" i="35"/>
  <c r="U71" i="34"/>
  <c r="Y69" i="35"/>
  <c r="N70" i="35"/>
  <c r="P77" i="19"/>
  <c r="U84" i="35"/>
  <c r="P85" i="35"/>
  <c r="V74" i="19"/>
  <c r="F74" i="34"/>
  <c r="P85" i="19"/>
  <c r="Q85" i="19" s="1"/>
  <c r="N79" i="35"/>
  <c r="J76" i="12"/>
  <c r="V80" i="12"/>
  <c r="J84" i="12"/>
  <c r="F76" i="19"/>
  <c r="J78" i="19"/>
  <c r="P80" i="19"/>
  <c r="S85" i="35"/>
  <c r="N77" i="35"/>
  <c r="F74" i="35"/>
  <c r="G80" i="35" s="1"/>
  <c r="J76" i="35"/>
  <c r="J79" i="35"/>
  <c r="P81" i="35"/>
  <c r="Q81" i="35" s="1"/>
  <c r="V83" i="35"/>
  <c r="F85" i="35"/>
  <c r="G85" i="35" s="1"/>
  <c r="N74" i="19"/>
  <c r="F75" i="19"/>
  <c r="G81" i="19" s="1"/>
  <c r="AA81" i="19"/>
  <c r="S82" i="19"/>
  <c r="J77" i="19"/>
  <c r="Y84" i="19"/>
  <c r="N79" i="19"/>
  <c r="J80" i="19"/>
  <c r="K80" i="19" s="1"/>
  <c r="V81" i="19"/>
  <c r="P82" i="19"/>
  <c r="Q82" i="19" s="1"/>
  <c r="F83" i="19"/>
  <c r="G83" i="19" s="1"/>
  <c r="J85" i="19"/>
  <c r="P87" i="34"/>
  <c r="P92" i="35"/>
  <c r="P96" i="35"/>
  <c r="Q96" i="35" s="1"/>
  <c r="J86" i="12"/>
  <c r="P88" i="12"/>
  <c r="Y95" i="12"/>
  <c r="Y92" i="35"/>
  <c r="N87" i="35"/>
  <c r="V89" i="35"/>
  <c r="F91" i="35"/>
  <c r="G97" i="35" s="1"/>
  <c r="AA97" i="35"/>
  <c r="J93" i="35"/>
  <c r="K93" i="35" s="1"/>
  <c r="N95" i="35"/>
  <c r="U97" i="35"/>
  <c r="F95" i="19"/>
  <c r="Y95" i="19"/>
  <c r="U94" i="19"/>
  <c r="P89" i="19"/>
  <c r="AA96" i="19"/>
  <c r="S97" i="19"/>
  <c r="P97" i="19"/>
  <c r="P88" i="35"/>
  <c r="P93" i="35"/>
  <c r="S92" i="12"/>
  <c r="F88" i="12"/>
  <c r="G94" i="12" s="1"/>
  <c r="J90" i="12"/>
  <c r="N92" i="12"/>
  <c r="AA93" i="12"/>
  <c r="F96" i="12"/>
  <c r="G96" i="12" s="1"/>
  <c r="Y96" i="12"/>
  <c r="V94" i="19"/>
  <c r="U94" i="34"/>
  <c r="P86" i="35"/>
  <c r="V88" i="35"/>
  <c r="Y93" i="35"/>
  <c r="N94" i="35"/>
  <c r="J86" i="34"/>
  <c r="K92" i="34" s="1"/>
  <c r="F92" i="34"/>
  <c r="AA92" i="34"/>
  <c r="Y95" i="34"/>
  <c r="J97" i="34"/>
  <c r="S109" i="12"/>
  <c r="F99" i="34"/>
  <c r="Y105" i="34"/>
  <c r="J101" i="34"/>
  <c r="U108" i="34"/>
  <c r="N103" i="34"/>
  <c r="AA104" i="34"/>
  <c r="V105" i="34"/>
  <c r="W105" i="34" s="1"/>
  <c r="Y107" i="34"/>
  <c r="J109" i="34"/>
  <c r="F100" i="19"/>
  <c r="J102" i="19"/>
  <c r="V103" i="19"/>
  <c r="V106" i="19"/>
  <c r="F108" i="19"/>
  <c r="V100" i="34"/>
  <c r="W106" i="34" s="1"/>
  <c r="P99" i="19"/>
  <c r="F103" i="19"/>
  <c r="J105" i="19"/>
  <c r="P107" i="19"/>
  <c r="V109" i="19"/>
  <c r="W109" i="19" s="1"/>
  <c r="V98" i="12"/>
  <c r="S109" i="35"/>
  <c r="S104" i="34"/>
  <c r="N100" i="12"/>
  <c r="AA104" i="12"/>
  <c r="Y107" i="12"/>
  <c r="N99" i="35"/>
  <c r="J105" i="35"/>
  <c r="U105" i="19"/>
  <c r="AA106" i="19"/>
  <c r="N101" i="34"/>
  <c r="F98" i="35"/>
  <c r="G104" i="35" s="1"/>
  <c r="J100" i="35"/>
  <c r="F101" i="35"/>
  <c r="AA106" i="35"/>
  <c r="S107" i="35"/>
  <c r="F109" i="35"/>
  <c r="G109" i="35" s="1"/>
  <c r="J98" i="19"/>
  <c r="V2" i="12"/>
  <c r="W8" i="12" s="1"/>
  <c r="P3" i="12"/>
  <c r="F4" i="12"/>
  <c r="G10" i="12" s="1"/>
  <c r="J6" i="12"/>
  <c r="K12" i="12" s="1"/>
  <c r="F7" i="12"/>
  <c r="G13" i="12" s="1"/>
  <c r="P8" i="12"/>
  <c r="Q8" i="12" s="1"/>
  <c r="J9" i="12"/>
  <c r="U10" i="12"/>
  <c r="AA12" i="12"/>
  <c r="S13" i="12"/>
  <c r="F2" i="34"/>
  <c r="J4" i="34"/>
  <c r="P6" i="34"/>
  <c r="Q12" i="34" s="1"/>
  <c r="S8" i="34"/>
  <c r="F10" i="34"/>
  <c r="G10" i="34" s="1"/>
  <c r="Y10" i="34"/>
  <c r="J12" i="34"/>
  <c r="J2" i="12"/>
  <c r="K8" i="12" s="1"/>
  <c r="P4" i="12"/>
  <c r="Q10" i="12" s="1"/>
  <c r="F8" i="12"/>
  <c r="G8" i="12" s="1"/>
  <c r="J10" i="12"/>
  <c r="P12" i="12"/>
  <c r="Q12" i="12" s="1"/>
  <c r="AA13" i="12"/>
  <c r="P11" i="35"/>
  <c r="V13" i="35"/>
  <c r="S12" i="35"/>
  <c r="F2" i="35"/>
  <c r="V3" i="35"/>
  <c r="W9" i="35" s="1"/>
  <c r="J4" i="35"/>
  <c r="F5" i="35"/>
  <c r="P6" i="35"/>
  <c r="J7" i="35"/>
  <c r="K13" i="35" s="1"/>
  <c r="V8" i="35"/>
  <c r="W8" i="35" s="1"/>
  <c r="P9" i="35"/>
  <c r="Q9" i="35" s="1"/>
  <c r="F10" i="35"/>
  <c r="V11" i="35"/>
  <c r="W11" i="35" s="1"/>
  <c r="J12" i="35"/>
  <c r="K12" i="35" s="1"/>
  <c r="F13" i="35"/>
  <c r="G13" i="35" s="1"/>
  <c r="J18" i="19"/>
  <c r="K24" i="19" s="1"/>
  <c r="P25" i="19"/>
  <c r="P15" i="35"/>
  <c r="V14" i="19"/>
  <c r="F14" i="19"/>
  <c r="J19" i="19"/>
  <c r="P21" i="19"/>
  <c r="V14" i="34"/>
  <c r="W20" i="34" s="1"/>
  <c r="N17" i="34"/>
  <c r="AA21" i="12"/>
  <c r="V22" i="12"/>
  <c r="Y24" i="12"/>
  <c r="V25" i="19"/>
  <c r="J14" i="19"/>
  <c r="AA20" i="19"/>
  <c r="S21" i="19"/>
  <c r="J22" i="19"/>
  <c r="K22" i="19" s="1"/>
  <c r="P24" i="19"/>
  <c r="S20" i="35"/>
  <c r="AA23" i="35"/>
  <c r="S24" i="35"/>
  <c r="K25" i="35"/>
  <c r="F16" i="19"/>
  <c r="N14" i="19"/>
  <c r="AA21" i="19"/>
  <c r="V16" i="19"/>
  <c r="J17" i="19"/>
  <c r="Y24" i="19"/>
  <c r="J20" i="19"/>
  <c r="U21" i="19"/>
  <c r="P22" i="19"/>
  <c r="AA23" i="19"/>
  <c r="V24" i="19"/>
  <c r="W24" i="19" s="1"/>
  <c r="P14" i="35"/>
  <c r="W25" i="35"/>
  <c r="J20" i="35"/>
  <c r="K20" i="35" s="1"/>
  <c r="N22" i="35"/>
  <c r="U24" i="35"/>
  <c r="J15" i="19"/>
  <c r="P17" i="19"/>
  <c r="Q23" i="19" s="1"/>
  <c r="N14" i="34"/>
  <c r="AA21" i="34"/>
  <c r="S22" i="34"/>
  <c r="F18" i="34"/>
  <c r="Y24" i="34"/>
  <c r="J20" i="34"/>
  <c r="K20" i="34" s="1"/>
  <c r="U21" i="34"/>
  <c r="P22" i="34"/>
  <c r="Q22" i="34" s="1"/>
  <c r="AA23" i="34"/>
  <c r="S24" i="34"/>
  <c r="P27" i="19"/>
  <c r="Q33" i="19" s="1"/>
  <c r="F31" i="19"/>
  <c r="G37" i="19" s="1"/>
  <c r="S32" i="19"/>
  <c r="J33" i="19"/>
  <c r="K33" i="19" s="1"/>
  <c r="P35" i="19"/>
  <c r="V37" i="19"/>
  <c r="W37" i="19" s="1"/>
  <c r="U36" i="35"/>
  <c r="Y32" i="19"/>
  <c r="J26" i="12"/>
  <c r="K32" i="12" s="1"/>
  <c r="P28" i="12"/>
  <c r="V30" i="12"/>
  <c r="W36" i="12" s="1"/>
  <c r="F32" i="12"/>
  <c r="G32" i="12" s="1"/>
  <c r="J34" i="12"/>
  <c r="N36" i="12"/>
  <c r="AA37" i="12"/>
  <c r="V36" i="34"/>
  <c r="W36" i="34" s="1"/>
  <c r="K36" i="34"/>
  <c r="W32" i="35"/>
  <c r="K36" i="19"/>
  <c r="Y32" i="35"/>
  <c r="V29" i="35"/>
  <c r="F31" i="35"/>
  <c r="AA37" i="35"/>
  <c r="J33" i="35"/>
  <c r="K33" i="35" s="1"/>
  <c r="Y34" i="35"/>
  <c r="P35" i="35"/>
  <c r="U37" i="35"/>
  <c r="V33" i="34"/>
  <c r="V27" i="35"/>
  <c r="F29" i="35"/>
  <c r="Y35" i="35"/>
  <c r="J31" i="35"/>
  <c r="U32" i="35"/>
  <c r="F37" i="35"/>
  <c r="G37" i="35" s="1"/>
  <c r="Y37" i="35"/>
  <c r="V26" i="19"/>
  <c r="P32" i="19"/>
  <c r="V34" i="19"/>
  <c r="F36" i="19"/>
  <c r="G36" i="19" s="1"/>
  <c r="P40" i="19"/>
  <c r="Y44" i="19"/>
  <c r="AA49" i="19"/>
  <c r="V41" i="34"/>
  <c r="N44" i="34"/>
  <c r="V47" i="35"/>
  <c r="AA45" i="34"/>
  <c r="AA44" i="19"/>
  <c r="S45" i="19"/>
  <c r="J40" i="19"/>
  <c r="K46" i="19" s="1"/>
  <c r="N42" i="19"/>
  <c r="J43" i="19"/>
  <c r="V44" i="19"/>
  <c r="F46" i="19"/>
  <c r="AA46" i="19"/>
  <c r="S47" i="19"/>
  <c r="J48" i="19"/>
  <c r="K48" i="19" s="1"/>
  <c r="F49" i="19"/>
  <c r="G49" i="19" s="1"/>
  <c r="N41" i="34"/>
  <c r="J38" i="12"/>
  <c r="K44" i="12" s="1"/>
  <c r="F39" i="12"/>
  <c r="Y45" i="12"/>
  <c r="P40" i="12"/>
  <c r="P43" i="12"/>
  <c r="J49" i="12"/>
  <c r="K49" i="12" s="1"/>
  <c r="V47" i="19"/>
  <c r="P38" i="19"/>
  <c r="F39" i="19"/>
  <c r="G45" i="19" s="1"/>
  <c r="J41" i="19"/>
  <c r="F42" i="19"/>
  <c r="N43" i="19"/>
  <c r="J44" i="19"/>
  <c r="K44" i="19" s="1"/>
  <c r="V45" i="19"/>
  <c r="W45" i="19" s="1"/>
  <c r="P46" i="19"/>
  <c r="Q46" i="19" s="1"/>
  <c r="F47" i="19"/>
  <c r="AA47" i="19"/>
  <c r="V48" i="19"/>
  <c r="J49" i="19"/>
  <c r="P49" i="34"/>
  <c r="J39" i="12"/>
  <c r="K45" i="12" s="1"/>
  <c r="F40" i="12"/>
  <c r="G46" i="12" s="1"/>
  <c r="P41" i="12"/>
  <c r="J42" i="12"/>
  <c r="K48" i="12" s="1"/>
  <c r="V43" i="12"/>
  <c r="S46" i="12"/>
  <c r="J47" i="12"/>
  <c r="F48" i="12"/>
  <c r="Y48" i="12"/>
  <c r="U44" i="35"/>
  <c r="V49" i="35"/>
  <c r="N39" i="35"/>
  <c r="N43" i="35"/>
  <c r="V45" i="35"/>
  <c r="F47" i="35"/>
  <c r="G47" i="35" s="1"/>
  <c r="S48" i="35"/>
  <c r="J49" i="35"/>
  <c r="K49" i="35" s="1"/>
  <c r="P38" i="35"/>
  <c r="F42" i="35"/>
  <c r="G48" i="35" s="1"/>
  <c r="Y45" i="35"/>
  <c r="N46" i="35"/>
  <c r="U48" i="35"/>
  <c r="Q47" i="19"/>
  <c r="S46" i="34"/>
  <c r="Y48" i="34"/>
  <c r="F50" i="19"/>
  <c r="G56" i="19" s="1"/>
  <c r="J52" i="19"/>
  <c r="P54" i="19"/>
  <c r="S56" i="19"/>
  <c r="K57" i="19"/>
  <c r="Y58" i="19"/>
  <c r="Q59" i="19"/>
  <c r="J60" i="19"/>
  <c r="K60" i="19" s="1"/>
  <c r="U61" i="19"/>
  <c r="F50" i="34"/>
  <c r="J52" i="34"/>
  <c r="F58" i="34"/>
  <c r="Y58" i="34"/>
  <c r="J60" i="34"/>
  <c r="K60" i="34" s="1"/>
  <c r="P51" i="12"/>
  <c r="Q57" i="12" s="1"/>
  <c r="J57" i="12"/>
  <c r="K57" i="12" s="1"/>
  <c r="U58" i="12"/>
  <c r="N59" i="12"/>
  <c r="AA60" i="12"/>
  <c r="S61" i="12"/>
  <c r="W58" i="12"/>
  <c r="S56" i="12"/>
  <c r="W60" i="12"/>
  <c r="AA61" i="12"/>
  <c r="S57" i="19"/>
  <c r="P50" i="35"/>
  <c r="S57" i="34"/>
  <c r="Y58" i="35"/>
  <c r="P55" i="35"/>
  <c r="Y61" i="35"/>
  <c r="N68" i="19"/>
  <c r="P66" i="35"/>
  <c r="N63" i="19"/>
  <c r="F67" i="19"/>
  <c r="J69" i="19"/>
  <c r="N71" i="19"/>
  <c r="V73" i="19"/>
  <c r="W73" i="19" s="1"/>
  <c r="N65" i="12"/>
  <c r="F69" i="12"/>
  <c r="G69" i="12" s="1"/>
  <c r="J71" i="12"/>
  <c r="AA70" i="19"/>
  <c r="S71" i="19"/>
  <c r="U73" i="35"/>
  <c r="V69" i="34"/>
  <c r="W69" i="34" s="1"/>
  <c r="P69" i="19"/>
  <c r="N63" i="35"/>
  <c r="AA69" i="35"/>
  <c r="S70" i="35"/>
  <c r="Y72" i="35"/>
  <c r="G71" i="35"/>
  <c r="AA71" i="19"/>
  <c r="S72" i="19"/>
  <c r="K73" i="19"/>
  <c r="J63" i="35"/>
  <c r="N65" i="35"/>
  <c r="F69" i="35"/>
  <c r="J71" i="35"/>
  <c r="K71" i="35" s="1"/>
  <c r="N73" i="35"/>
  <c r="AA72" i="19"/>
  <c r="Y69" i="19"/>
  <c r="P70" i="19"/>
  <c r="Q70" i="19" s="1"/>
  <c r="Y69" i="12"/>
  <c r="N81" i="34"/>
  <c r="P74" i="35"/>
  <c r="Q80" i="35" s="1"/>
  <c r="J76" i="34"/>
  <c r="K82" i="34" s="1"/>
  <c r="N78" i="34"/>
  <c r="S80" i="34"/>
  <c r="F82" i="34"/>
  <c r="G82" i="34" s="1"/>
  <c r="Y82" i="34"/>
  <c r="J84" i="34"/>
  <c r="K84" i="34" s="1"/>
  <c r="V85" i="34"/>
  <c r="F74" i="19"/>
  <c r="G80" i="19" s="1"/>
  <c r="P75" i="19"/>
  <c r="J76" i="19"/>
  <c r="V77" i="19"/>
  <c r="F79" i="19"/>
  <c r="S80" i="19"/>
  <c r="J81" i="19"/>
  <c r="K81" i="19" s="1"/>
  <c r="Y82" i="19"/>
  <c r="P83" i="19"/>
  <c r="Q83" i="19" s="1"/>
  <c r="U85" i="19"/>
  <c r="Q83" i="12"/>
  <c r="S82" i="35"/>
  <c r="S83" i="34"/>
  <c r="J74" i="12"/>
  <c r="K80" i="12" s="1"/>
  <c r="V75" i="12"/>
  <c r="P76" i="12"/>
  <c r="V78" i="12"/>
  <c r="W84" i="12" s="1"/>
  <c r="J79" i="12"/>
  <c r="K85" i="12" s="1"/>
  <c r="F80" i="12"/>
  <c r="Y80" i="12"/>
  <c r="J82" i="12"/>
  <c r="K82" i="12" s="1"/>
  <c r="U83" i="12"/>
  <c r="P84" i="12"/>
  <c r="Q84" i="12" s="1"/>
  <c r="AA85" i="12"/>
  <c r="Q83" i="35"/>
  <c r="U80" i="19"/>
  <c r="AA82" i="19"/>
  <c r="S83" i="19"/>
  <c r="K84" i="19"/>
  <c r="Y85" i="19"/>
  <c r="V82" i="19"/>
  <c r="U81" i="35"/>
  <c r="K83" i="12"/>
  <c r="S80" i="35"/>
  <c r="Y82" i="35"/>
  <c r="W85" i="35"/>
  <c r="K82" i="35"/>
  <c r="K85" i="35"/>
  <c r="U80" i="35"/>
  <c r="F82" i="35"/>
  <c r="G82" i="35" s="1"/>
  <c r="U80" i="12"/>
  <c r="AA82" i="12"/>
  <c r="S83" i="12"/>
  <c r="Y85" i="12"/>
  <c r="P80" i="12"/>
  <c r="Q80" i="12" s="1"/>
  <c r="U82" i="12"/>
  <c r="F84" i="12"/>
  <c r="S85" i="12"/>
  <c r="V90" i="19"/>
  <c r="F92" i="19"/>
  <c r="G92" i="19" s="1"/>
  <c r="P93" i="19"/>
  <c r="P96" i="19"/>
  <c r="F87" i="19"/>
  <c r="J89" i="19"/>
  <c r="P91" i="19"/>
  <c r="Q97" i="19" s="1"/>
  <c r="U93" i="19"/>
  <c r="AA95" i="19"/>
  <c r="S96" i="19"/>
  <c r="J97" i="19"/>
  <c r="P90" i="35"/>
  <c r="J87" i="12"/>
  <c r="K93" i="12" s="1"/>
  <c r="N89" i="12"/>
  <c r="K96" i="12"/>
  <c r="V91" i="12"/>
  <c r="F93" i="12"/>
  <c r="J95" i="12"/>
  <c r="N97" i="12"/>
  <c r="Y93" i="19"/>
  <c r="P87" i="35"/>
  <c r="V93" i="34"/>
  <c r="W93" i="34" s="1"/>
  <c r="F95" i="34"/>
  <c r="G95" i="34" s="1"/>
  <c r="AA95" i="34"/>
  <c r="K96" i="35"/>
  <c r="AA93" i="35"/>
  <c r="Y96" i="35"/>
  <c r="J92" i="35"/>
  <c r="AA95" i="35"/>
  <c r="S96" i="35"/>
  <c r="U95" i="34"/>
  <c r="P95" i="35"/>
  <c r="Q95" i="35" s="1"/>
  <c r="AA92" i="19"/>
  <c r="S93" i="19"/>
  <c r="AA94" i="19"/>
  <c r="S95" i="19"/>
  <c r="Y93" i="12"/>
  <c r="V90" i="12"/>
  <c r="F92" i="12"/>
  <c r="G92" i="12" s="1"/>
  <c r="J94" i="12"/>
  <c r="N96" i="12"/>
  <c r="P103" i="34"/>
  <c r="J98" i="12"/>
  <c r="K104" i="12" s="1"/>
  <c r="V99" i="12"/>
  <c r="W105" i="12" s="1"/>
  <c r="F101" i="12"/>
  <c r="V102" i="12"/>
  <c r="J103" i="12"/>
  <c r="F104" i="12"/>
  <c r="G104" i="12" s="1"/>
  <c r="Y104" i="12"/>
  <c r="J106" i="12"/>
  <c r="U107" i="12"/>
  <c r="AA109" i="12"/>
  <c r="N100" i="34"/>
  <c r="F99" i="19"/>
  <c r="V102" i="34"/>
  <c r="W108" i="34" s="1"/>
  <c r="J104" i="19"/>
  <c r="K104" i="19" s="1"/>
  <c r="P106" i="19"/>
  <c r="Q106" i="19" s="1"/>
  <c r="P99" i="34"/>
  <c r="F103" i="34"/>
  <c r="G109" i="34" s="1"/>
  <c r="J105" i="34"/>
  <c r="N107" i="34"/>
  <c r="V109" i="34"/>
  <c r="N102" i="35"/>
  <c r="V104" i="35"/>
  <c r="F106" i="35"/>
  <c r="G106" i="35" s="1"/>
  <c r="J108" i="35"/>
  <c r="K108" i="35" s="1"/>
  <c r="S107" i="19"/>
  <c r="N111" i="19"/>
  <c r="O111" i="19" s="1"/>
  <c r="F120" i="19"/>
  <c r="Y116" i="19"/>
  <c r="U119" i="19"/>
  <c r="K95" i="35"/>
  <c r="N11" i="35"/>
  <c r="W23" i="35"/>
  <c r="P43" i="35"/>
  <c r="P65" i="35"/>
  <c r="S9" i="35"/>
  <c r="U8" i="35"/>
  <c r="S25" i="35"/>
  <c r="U35" i="35"/>
  <c r="N41" i="35"/>
  <c r="U56" i="35"/>
  <c r="N81" i="35"/>
  <c r="U11" i="35"/>
  <c r="V51" i="35"/>
  <c r="U13" i="35"/>
  <c r="Q85" i="35"/>
  <c r="S83" i="35"/>
  <c r="S97" i="35"/>
  <c r="G34" i="35"/>
  <c r="U45" i="35"/>
  <c r="V48" i="35"/>
  <c r="N54" i="35"/>
  <c r="W60" i="35"/>
  <c r="G73" i="35"/>
  <c r="U85" i="35"/>
  <c r="G84" i="35"/>
  <c r="N86" i="35"/>
  <c r="N3" i="35"/>
  <c r="K10" i="35"/>
  <c r="P22" i="35"/>
  <c r="Q22" i="35" s="1"/>
  <c r="K47" i="35"/>
  <c r="S104" i="35"/>
  <c r="V16" i="35"/>
  <c r="W22" i="35" s="1"/>
  <c r="G46" i="35"/>
  <c r="K57" i="35"/>
  <c r="V53" i="35"/>
  <c r="W59" i="35" s="1"/>
  <c r="S72" i="35"/>
  <c r="G72" i="35"/>
  <c r="N6" i="35"/>
  <c r="G36" i="35"/>
  <c r="P51" i="35"/>
  <c r="Q57" i="35" s="1"/>
  <c r="K72" i="35"/>
  <c r="K84" i="35"/>
  <c r="N83" i="35"/>
  <c r="P94" i="35"/>
  <c r="N14" i="35"/>
  <c r="N75" i="35"/>
  <c r="N78" i="35"/>
  <c r="S94" i="35"/>
  <c r="K8" i="35"/>
  <c r="K48" i="35"/>
  <c r="U69" i="35"/>
  <c r="Q82" i="35"/>
  <c r="Q13" i="35"/>
  <c r="K97" i="35"/>
  <c r="Q93" i="35"/>
  <c r="K95" i="12"/>
  <c r="U9" i="12"/>
  <c r="V18" i="12"/>
  <c r="W24" i="12" s="1"/>
  <c r="S21" i="12"/>
  <c r="P25" i="12"/>
  <c r="N40" i="12"/>
  <c r="V46" i="12"/>
  <c r="W48" i="12"/>
  <c r="U56" i="12"/>
  <c r="S84" i="12"/>
  <c r="V86" i="12"/>
  <c r="P89" i="12"/>
  <c r="U105" i="12"/>
  <c r="G34" i="12"/>
  <c r="S20" i="12"/>
  <c r="S35" i="12"/>
  <c r="V74" i="12"/>
  <c r="V107" i="12"/>
  <c r="V5" i="12"/>
  <c r="W11" i="12" s="1"/>
  <c r="U8" i="12"/>
  <c r="W12" i="12"/>
  <c r="P24" i="12"/>
  <c r="Q24" i="12" s="1"/>
  <c r="U25" i="12"/>
  <c r="S37" i="12"/>
  <c r="V83" i="12"/>
  <c r="P96" i="12"/>
  <c r="Q96" i="12" s="1"/>
  <c r="N4" i="12"/>
  <c r="U11" i="12"/>
  <c r="N41" i="12"/>
  <c r="N52" i="12"/>
  <c r="P60" i="12"/>
  <c r="Q60" i="12" s="1"/>
  <c r="P92" i="12"/>
  <c r="Q92" i="12" s="1"/>
  <c r="U106" i="12"/>
  <c r="K84" i="12"/>
  <c r="K20" i="12"/>
  <c r="P16" i="12"/>
  <c r="S60" i="12"/>
  <c r="N76" i="12"/>
  <c r="K94" i="12"/>
  <c r="W32" i="12"/>
  <c r="K24" i="12"/>
  <c r="K81" i="12"/>
  <c r="W57" i="12"/>
  <c r="V13" i="12"/>
  <c r="W13" i="12" s="1"/>
  <c r="S22" i="12"/>
  <c r="G24" i="12"/>
  <c r="P27" i="12"/>
  <c r="U35" i="12"/>
  <c r="V40" i="12"/>
  <c r="K56" i="12"/>
  <c r="P59" i="12"/>
  <c r="Q59" i="12" s="1"/>
  <c r="N62" i="12"/>
  <c r="K92" i="12"/>
  <c r="N91" i="12"/>
  <c r="P19" i="12"/>
  <c r="K37" i="12"/>
  <c r="N38" i="12"/>
  <c r="V53" i="12"/>
  <c r="W59" i="12" s="1"/>
  <c r="V77" i="12"/>
  <c r="Q82" i="12"/>
  <c r="G107" i="12"/>
  <c r="N3" i="12"/>
  <c r="S8" i="12"/>
  <c r="W10" i="12"/>
  <c r="W20" i="12"/>
  <c r="G36" i="12"/>
  <c r="G73" i="12"/>
  <c r="V88" i="12"/>
  <c r="P94" i="12"/>
  <c r="Q9" i="12"/>
  <c r="W22" i="12"/>
  <c r="W9" i="12"/>
  <c r="K13" i="12"/>
  <c r="P14" i="12"/>
  <c r="Q20" i="12" s="1"/>
  <c r="S24" i="12"/>
  <c r="G35" i="12"/>
  <c r="K46" i="12"/>
  <c r="N75" i="12"/>
  <c r="Q81" i="12"/>
  <c r="V101" i="12"/>
  <c r="W107" i="12" s="1"/>
  <c r="N6" i="12"/>
  <c r="Q13" i="12"/>
  <c r="K22" i="12"/>
  <c r="K35" i="12"/>
  <c r="U37" i="12"/>
  <c r="G48" i="12"/>
  <c r="N54" i="12"/>
  <c r="N67" i="12"/>
  <c r="N78" i="12"/>
  <c r="S80" i="12"/>
  <c r="Q85" i="12"/>
  <c r="G20" i="12"/>
  <c r="K21" i="12"/>
  <c r="P22" i="12"/>
  <c r="W34" i="12"/>
  <c r="K36" i="12"/>
  <c r="N51" i="12"/>
  <c r="U69" i="12"/>
  <c r="K97" i="12"/>
  <c r="U109" i="12"/>
  <c r="K10" i="12"/>
  <c r="W23" i="12"/>
  <c r="G33" i="12"/>
  <c r="G56" i="12"/>
  <c r="G97" i="12"/>
  <c r="P14" i="34"/>
  <c r="K48" i="34"/>
  <c r="P78" i="34"/>
  <c r="Q84" i="34" s="1"/>
  <c r="Q82" i="34"/>
  <c r="N6" i="34"/>
  <c r="Q10" i="34"/>
  <c r="V80" i="34"/>
  <c r="W80" i="34" s="1"/>
  <c r="V101" i="34"/>
  <c r="W107" i="34" s="1"/>
  <c r="Q8" i="34"/>
  <c r="V8" i="34"/>
  <c r="W8" i="34" s="1"/>
  <c r="W92" i="34"/>
  <c r="G20" i="34"/>
  <c r="P38" i="34"/>
  <c r="Q44" i="34" s="1"/>
  <c r="G108" i="34"/>
  <c r="K46" i="34"/>
  <c r="K94" i="34"/>
  <c r="Q13" i="34"/>
  <c r="U69" i="34"/>
  <c r="G60" i="34"/>
  <c r="G57" i="34"/>
  <c r="K104" i="34"/>
  <c r="K34" i="34"/>
  <c r="G12" i="34"/>
  <c r="K22" i="34"/>
  <c r="K12" i="34"/>
  <c r="N40" i="34"/>
  <c r="P40" i="34"/>
  <c r="Q46" i="34" s="1"/>
  <c r="P48" i="34"/>
  <c r="Q48" i="34" s="1"/>
  <c r="N48" i="34"/>
  <c r="U56" i="34"/>
  <c r="V50" i="34"/>
  <c r="W56" i="34" s="1"/>
  <c r="U58" i="34"/>
  <c r="V58" i="34"/>
  <c r="W58" i="34" s="1"/>
  <c r="U72" i="34"/>
  <c r="V66" i="34"/>
  <c r="W72" i="34" s="1"/>
  <c r="P72" i="34"/>
  <c r="N72" i="34"/>
  <c r="N88" i="34"/>
  <c r="P88" i="34"/>
  <c r="U8" i="34"/>
  <c r="N3" i="34"/>
  <c r="F7" i="34"/>
  <c r="J9" i="34"/>
  <c r="K9" i="34" s="1"/>
  <c r="P11" i="34"/>
  <c r="Q11" i="34" s="1"/>
  <c r="V13" i="34"/>
  <c r="W13" i="34" s="1"/>
  <c r="F15" i="34"/>
  <c r="G21" i="34" s="1"/>
  <c r="J17" i="34"/>
  <c r="K23" i="34" s="1"/>
  <c r="P19" i="34"/>
  <c r="P27" i="34"/>
  <c r="Q33" i="34" s="1"/>
  <c r="V29" i="34"/>
  <c r="W35" i="34" s="1"/>
  <c r="F31" i="34"/>
  <c r="J33" i="34"/>
  <c r="K33" i="34" s="1"/>
  <c r="N43" i="34"/>
  <c r="K44" i="34"/>
  <c r="F47" i="34"/>
  <c r="J49" i="34"/>
  <c r="K49" i="34" s="1"/>
  <c r="V53" i="34"/>
  <c r="W59" i="34" s="1"/>
  <c r="F55" i="34"/>
  <c r="G58" i="34"/>
  <c r="N59" i="34"/>
  <c r="F63" i="34"/>
  <c r="G69" i="34" s="1"/>
  <c r="J65" i="34"/>
  <c r="K71" i="34" s="1"/>
  <c r="F71" i="34"/>
  <c r="J73" i="34"/>
  <c r="K73" i="34" s="1"/>
  <c r="P75" i="34"/>
  <c r="Q81" i="34" s="1"/>
  <c r="F79" i="34"/>
  <c r="J81" i="34"/>
  <c r="K81" i="34" s="1"/>
  <c r="N83" i="34"/>
  <c r="F87" i="34"/>
  <c r="G93" i="34" s="1"/>
  <c r="J89" i="34"/>
  <c r="K95" i="34" s="1"/>
  <c r="N91" i="34"/>
  <c r="Q9" i="34"/>
  <c r="G13" i="34"/>
  <c r="AA34" i="34"/>
  <c r="S35" i="34"/>
  <c r="Y37" i="34"/>
  <c r="P16" i="34"/>
  <c r="N16" i="34"/>
  <c r="V61" i="34"/>
  <c r="W61" i="34" s="1"/>
  <c r="K93" i="34"/>
  <c r="V10" i="34"/>
  <c r="W10" i="34" s="1"/>
  <c r="U10" i="34"/>
  <c r="V34" i="34"/>
  <c r="W34" i="34" s="1"/>
  <c r="U32" i="34"/>
  <c r="Q68" i="34"/>
  <c r="U93" i="34"/>
  <c r="N99" i="34"/>
  <c r="V104" i="34"/>
  <c r="W104" i="34" s="1"/>
  <c r="K10" i="34"/>
  <c r="U13" i="34"/>
  <c r="N19" i="34"/>
  <c r="K35" i="34"/>
  <c r="G70" i="34"/>
  <c r="G72" i="34"/>
  <c r="G73" i="34"/>
  <c r="N75" i="34"/>
  <c r="G83" i="34"/>
  <c r="K11" i="34"/>
  <c r="K45" i="34"/>
  <c r="W60" i="34"/>
  <c r="V64" i="34"/>
  <c r="W70" i="34" s="1"/>
  <c r="K72" i="34"/>
  <c r="P86" i="34"/>
  <c r="K97" i="34"/>
  <c r="W109" i="34"/>
  <c r="G107" i="34"/>
  <c r="V5" i="34"/>
  <c r="W12" i="34"/>
  <c r="V16" i="34"/>
  <c r="W33" i="34"/>
  <c r="V37" i="34"/>
  <c r="P43" i="34"/>
  <c r="Q49" i="34" s="1"/>
  <c r="K57" i="34"/>
  <c r="K59" i="34"/>
  <c r="N62" i="34"/>
  <c r="N70" i="34"/>
  <c r="G80" i="34"/>
  <c r="P83" i="34"/>
  <c r="Q83" i="34" s="1"/>
  <c r="P91" i="34"/>
  <c r="P102" i="34"/>
  <c r="Q47" i="34"/>
  <c r="S56" i="34"/>
  <c r="U104" i="34"/>
  <c r="G32" i="34"/>
  <c r="U35" i="34"/>
  <c r="K58" i="34"/>
  <c r="G94" i="34"/>
  <c r="G105" i="34"/>
  <c r="U109" i="34"/>
  <c r="Q45" i="34"/>
  <c r="Q85" i="34"/>
  <c r="K96" i="34"/>
  <c r="W10" i="35"/>
  <c r="G10" i="35"/>
  <c r="G12" i="35"/>
  <c r="W12" i="35"/>
  <c r="G20" i="35"/>
  <c r="G8" i="35"/>
  <c r="Y11" i="35"/>
  <c r="G24" i="35"/>
  <c r="G32" i="35"/>
  <c r="K35" i="35"/>
  <c r="G45" i="35"/>
  <c r="J46" i="35"/>
  <c r="G58" i="35"/>
  <c r="Q11" i="35"/>
  <c r="N10" i="35"/>
  <c r="V15" i="35"/>
  <c r="W21" i="35" s="1"/>
  <c r="U22" i="35"/>
  <c r="K32" i="35"/>
  <c r="S33" i="35"/>
  <c r="P59" i="35"/>
  <c r="Q59" i="35" s="1"/>
  <c r="N59" i="35"/>
  <c r="P109" i="35"/>
  <c r="N109" i="35"/>
  <c r="P18" i="35"/>
  <c r="Q24" i="35" s="1"/>
  <c r="N18" i="35"/>
  <c r="N8" i="35"/>
  <c r="N9" i="35"/>
  <c r="S11" i="35"/>
  <c r="U12" i="35"/>
  <c r="V14" i="35"/>
  <c r="W20" i="35" s="1"/>
  <c r="P26" i="35"/>
  <c r="N26" i="35"/>
  <c r="P28" i="35"/>
  <c r="Q34" i="35" s="1"/>
  <c r="N28" i="35"/>
  <c r="P30" i="35"/>
  <c r="Q36" i="35" s="1"/>
  <c r="N30" i="35"/>
  <c r="AA34" i="35"/>
  <c r="V35" i="35"/>
  <c r="W35" i="35" s="1"/>
  <c r="S35" i="35"/>
  <c r="AA36" i="35"/>
  <c r="V37" i="35"/>
  <c r="W37" i="35" s="1"/>
  <c r="S37" i="35"/>
  <c r="G44" i="35"/>
  <c r="J45" i="35"/>
  <c r="K45" i="35" s="1"/>
  <c r="K58" i="35"/>
  <c r="S69" i="35"/>
  <c r="V63" i="35"/>
  <c r="W69" i="35" s="1"/>
  <c r="V7" i="35"/>
  <c r="Y9" i="35"/>
  <c r="N13" i="35"/>
  <c r="Y13" i="35"/>
  <c r="N17" i="35"/>
  <c r="V18" i="35"/>
  <c r="W24" i="35" s="1"/>
  <c r="G23" i="35"/>
  <c r="P32" i="35"/>
  <c r="N32" i="35"/>
  <c r="K34" i="35"/>
  <c r="K36" i="35"/>
  <c r="G49" i="35"/>
  <c r="V57" i="35"/>
  <c r="W57" i="35" s="1"/>
  <c r="S32" i="35"/>
  <c r="V33" i="35"/>
  <c r="Y12" i="35"/>
  <c r="N20" i="35"/>
  <c r="U21" i="35"/>
  <c r="U23" i="35"/>
  <c r="U25" i="35"/>
  <c r="J44" i="35"/>
  <c r="K44" i="35" s="1"/>
  <c r="G57" i="35"/>
  <c r="P33" i="35"/>
  <c r="N33" i="35"/>
  <c r="Q12" i="35"/>
  <c r="P19" i="35"/>
  <c r="Q25" i="35" s="1"/>
  <c r="N19" i="35"/>
  <c r="K21" i="35"/>
  <c r="K23" i="35"/>
  <c r="P27" i="35"/>
  <c r="N27" i="35"/>
  <c r="P29" i="35"/>
  <c r="N29" i="35"/>
  <c r="P31" i="35"/>
  <c r="Q37" i="35" s="1"/>
  <c r="N31" i="35"/>
  <c r="V34" i="35"/>
  <c r="W34" i="35" s="1"/>
  <c r="S34" i="35"/>
  <c r="V36" i="35"/>
  <c r="W36" i="35" s="1"/>
  <c r="S36" i="35"/>
  <c r="G56" i="35"/>
  <c r="W56" i="35"/>
  <c r="P60" i="35"/>
  <c r="Q60" i="35" s="1"/>
  <c r="N60" i="35"/>
  <c r="V38" i="35"/>
  <c r="W44" i="35" s="1"/>
  <c r="V39" i="35"/>
  <c r="W45" i="35" s="1"/>
  <c r="V40" i="35"/>
  <c r="W46" i="35" s="1"/>
  <c r="V41" i="35"/>
  <c r="W47" i="35" s="1"/>
  <c r="V42" i="35"/>
  <c r="V43" i="35"/>
  <c r="P44" i="35"/>
  <c r="Q44" i="35" s="1"/>
  <c r="P45" i="35"/>
  <c r="Q45" i="35" s="1"/>
  <c r="P46" i="35"/>
  <c r="Q46" i="35" s="1"/>
  <c r="P47" i="35"/>
  <c r="Q47" i="35" s="1"/>
  <c r="P48" i="35"/>
  <c r="Q48" i="35" s="1"/>
  <c r="P49" i="35"/>
  <c r="V55" i="35"/>
  <c r="W61" i="35" s="1"/>
  <c r="N57" i="35"/>
  <c r="P58" i="35"/>
  <c r="Q58" i="35" s="1"/>
  <c r="AA58" i="35"/>
  <c r="AA60" i="35"/>
  <c r="Q61" i="35"/>
  <c r="K73" i="35"/>
  <c r="G92" i="35"/>
  <c r="V102" i="35"/>
  <c r="G105" i="35"/>
  <c r="K106" i="35"/>
  <c r="S58" i="35"/>
  <c r="S61" i="35"/>
  <c r="S68" i="35"/>
  <c r="V62" i="35"/>
  <c r="W68" i="35" s="1"/>
  <c r="K92" i="35"/>
  <c r="G96" i="35"/>
  <c r="U96" i="35"/>
  <c r="V99" i="35"/>
  <c r="W105" i="35" s="1"/>
  <c r="P106" i="35"/>
  <c r="N106" i="35"/>
  <c r="G107" i="35"/>
  <c r="S59" i="35"/>
  <c r="S60" i="35"/>
  <c r="U61" i="35"/>
  <c r="G69" i="35"/>
  <c r="K70" i="35"/>
  <c r="W80" i="35"/>
  <c r="W84" i="35"/>
  <c r="G95" i="35"/>
  <c r="U95" i="35"/>
  <c r="V101" i="35"/>
  <c r="W107" i="35" s="1"/>
  <c r="K105" i="35"/>
  <c r="P56" i="35"/>
  <c r="Q56" i="35" s="1"/>
  <c r="U60" i="35"/>
  <c r="G68" i="35"/>
  <c r="K69" i="35"/>
  <c r="U94" i="35"/>
  <c r="P108" i="35"/>
  <c r="N108" i="35"/>
  <c r="W109" i="35"/>
  <c r="G60" i="35"/>
  <c r="W83" i="35"/>
  <c r="U93" i="35"/>
  <c r="K104" i="35"/>
  <c r="P105" i="35"/>
  <c r="N105" i="35"/>
  <c r="N34" i="35"/>
  <c r="N35" i="35"/>
  <c r="N36" i="35"/>
  <c r="N37" i="35"/>
  <c r="AA56" i="35"/>
  <c r="J68" i="35"/>
  <c r="K68" i="35" s="1"/>
  <c r="K80" i="35"/>
  <c r="G93" i="35"/>
  <c r="Q97" i="35"/>
  <c r="V98" i="35"/>
  <c r="V100" i="35"/>
  <c r="W106" i="35" s="1"/>
  <c r="S56" i="35"/>
  <c r="K60" i="35"/>
  <c r="U92" i="35"/>
  <c r="P104" i="35"/>
  <c r="N104" i="35"/>
  <c r="P107" i="35"/>
  <c r="Q107" i="35" s="1"/>
  <c r="N107" i="35"/>
  <c r="W108" i="35"/>
  <c r="V64" i="35"/>
  <c r="W70" i="35" s="1"/>
  <c r="V65" i="35"/>
  <c r="W71" i="35" s="1"/>
  <c r="V66" i="35"/>
  <c r="W72" i="35" s="1"/>
  <c r="V67" i="35"/>
  <c r="W73" i="35" s="1"/>
  <c r="P68" i="35"/>
  <c r="Q68" i="35" s="1"/>
  <c r="P69" i="35"/>
  <c r="Q69" i="35" s="1"/>
  <c r="P70" i="35"/>
  <c r="Q70" i="35" s="1"/>
  <c r="P71" i="35"/>
  <c r="Q71" i="35" s="1"/>
  <c r="P72" i="35"/>
  <c r="Q72" i="35" s="1"/>
  <c r="P73" i="35"/>
  <c r="Q73" i="35" s="1"/>
  <c r="V92" i="35"/>
  <c r="W92" i="35" s="1"/>
  <c r="V93" i="35"/>
  <c r="W93" i="35" s="1"/>
  <c r="V94" i="35"/>
  <c r="V95" i="35"/>
  <c r="V96" i="35"/>
  <c r="W96" i="35" s="1"/>
  <c r="V97" i="35"/>
  <c r="W97" i="35" s="1"/>
  <c r="P98" i="35"/>
  <c r="P99" i="35"/>
  <c r="P100" i="35"/>
  <c r="P101" i="35"/>
  <c r="P102" i="35"/>
  <c r="P103" i="35"/>
  <c r="U105" i="35"/>
  <c r="U106" i="35"/>
  <c r="U107" i="35"/>
  <c r="U108" i="35"/>
  <c r="U109" i="35"/>
  <c r="G23" i="12"/>
  <c r="G9" i="12"/>
  <c r="G11" i="12"/>
  <c r="G12" i="12"/>
  <c r="Q25" i="12"/>
  <c r="Q21" i="12"/>
  <c r="G22" i="12"/>
  <c r="G25" i="12"/>
  <c r="P32" i="12"/>
  <c r="Q32" i="12" s="1"/>
  <c r="P34" i="12"/>
  <c r="P36" i="12"/>
  <c r="Q36" i="12" s="1"/>
  <c r="S45" i="12"/>
  <c r="AA49" i="12"/>
  <c r="Q58" i="12"/>
  <c r="V85" i="12"/>
  <c r="W85" i="12" s="1"/>
  <c r="U85" i="12"/>
  <c r="P56" i="12"/>
  <c r="Q56" i="12" s="1"/>
  <c r="N56" i="12"/>
  <c r="U20" i="12"/>
  <c r="U21" i="12"/>
  <c r="U22" i="12"/>
  <c r="N26" i="12"/>
  <c r="N30" i="12"/>
  <c r="S44" i="12"/>
  <c r="F45" i="12"/>
  <c r="G45" i="12" s="1"/>
  <c r="V45" i="12"/>
  <c r="W45" i="12" s="1"/>
  <c r="S47" i="12"/>
  <c r="N69" i="12"/>
  <c r="P69" i="12"/>
  <c r="Q69" i="12" s="1"/>
  <c r="N8" i="12"/>
  <c r="N9" i="12"/>
  <c r="N10" i="12"/>
  <c r="N11" i="12"/>
  <c r="N12" i="12"/>
  <c r="N13" i="12"/>
  <c r="N23" i="12"/>
  <c r="Y23" i="12"/>
  <c r="V27" i="12"/>
  <c r="W33" i="12" s="1"/>
  <c r="J28" i="12"/>
  <c r="K34" i="12" s="1"/>
  <c r="V31" i="12"/>
  <c r="S32" i="12"/>
  <c r="N43" i="12"/>
  <c r="AA48" i="12"/>
  <c r="P49" i="12"/>
  <c r="N49" i="12"/>
  <c r="G60" i="12"/>
  <c r="P44" i="12"/>
  <c r="N44" i="12"/>
  <c r="P33" i="12"/>
  <c r="P35" i="12"/>
  <c r="Q35" i="12" s="1"/>
  <c r="P37" i="12"/>
  <c r="Q37" i="12" s="1"/>
  <c r="F44" i="12"/>
  <c r="G44" i="12" s="1"/>
  <c r="AA45" i="12"/>
  <c r="P46" i="12"/>
  <c r="Q46" i="12" s="1"/>
  <c r="N46" i="12"/>
  <c r="V47" i="12"/>
  <c r="W47" i="12" s="1"/>
  <c r="S49" i="12"/>
  <c r="P47" i="12"/>
  <c r="N47" i="12"/>
  <c r="Y22" i="12"/>
  <c r="U32" i="12"/>
  <c r="U34" i="12"/>
  <c r="U36" i="12"/>
  <c r="V44" i="12"/>
  <c r="W44" i="12" s="1"/>
  <c r="AA47" i="12"/>
  <c r="P48" i="12"/>
  <c r="Q48" i="12" s="1"/>
  <c r="N48" i="12"/>
  <c r="G49" i="12"/>
  <c r="V49" i="12"/>
  <c r="P45" i="12"/>
  <c r="Q45" i="12" s="1"/>
  <c r="N45" i="12"/>
  <c r="Y56" i="12"/>
  <c r="V61" i="12"/>
  <c r="W61" i="12" s="1"/>
  <c r="V62" i="12"/>
  <c r="W68" i="12" s="1"/>
  <c r="P65" i="12"/>
  <c r="V66" i="12"/>
  <c r="W72" i="12" s="1"/>
  <c r="N68" i="12"/>
  <c r="P68" i="12"/>
  <c r="Q68" i="12" s="1"/>
  <c r="AA68" i="12"/>
  <c r="S70" i="12"/>
  <c r="F72" i="12"/>
  <c r="G72" i="12" s="1"/>
  <c r="U72" i="12"/>
  <c r="F77" i="12"/>
  <c r="N81" i="12"/>
  <c r="F83" i="12"/>
  <c r="U92" i="12"/>
  <c r="P107" i="12"/>
  <c r="N107" i="12"/>
  <c r="G108" i="12"/>
  <c r="W108" i="12"/>
  <c r="K109" i="12"/>
  <c r="Y59" i="12"/>
  <c r="N64" i="12"/>
  <c r="S69" i="12"/>
  <c r="F71" i="12"/>
  <c r="G71" i="12" s="1"/>
  <c r="U71" i="12"/>
  <c r="J73" i="12"/>
  <c r="K73" i="12" s="1"/>
  <c r="N80" i="12"/>
  <c r="F82" i="12"/>
  <c r="G82" i="12" s="1"/>
  <c r="U84" i="12"/>
  <c r="F87" i="12"/>
  <c r="G93" i="12" s="1"/>
  <c r="F89" i="12"/>
  <c r="G95" i="12" s="1"/>
  <c r="U93" i="12"/>
  <c r="P104" i="12"/>
  <c r="N104" i="12"/>
  <c r="G105" i="12"/>
  <c r="K106" i="12"/>
  <c r="S68" i="12"/>
  <c r="G70" i="12"/>
  <c r="W71" i="12"/>
  <c r="K72" i="12"/>
  <c r="W82" i="12"/>
  <c r="U94" i="12"/>
  <c r="S104" i="12"/>
  <c r="P109" i="12"/>
  <c r="N109" i="12"/>
  <c r="N73" i="12"/>
  <c r="P73" i="12"/>
  <c r="W81" i="12"/>
  <c r="P106" i="12"/>
  <c r="N106" i="12"/>
  <c r="K108" i="12"/>
  <c r="N58" i="12"/>
  <c r="Y58" i="12"/>
  <c r="Q61" i="12"/>
  <c r="V64" i="12"/>
  <c r="W70" i="12" s="1"/>
  <c r="F68" i="12"/>
  <c r="G68" i="12" s="1"/>
  <c r="J70" i="12"/>
  <c r="K70" i="12" s="1"/>
  <c r="N72" i="12"/>
  <c r="P72" i="12"/>
  <c r="F75" i="12"/>
  <c r="G81" i="12" s="1"/>
  <c r="F79" i="12"/>
  <c r="U81" i="12"/>
  <c r="N85" i="12"/>
  <c r="Q93" i="12"/>
  <c r="U96" i="12"/>
  <c r="W104" i="12"/>
  <c r="K105" i="12"/>
  <c r="K69" i="12"/>
  <c r="N71" i="12"/>
  <c r="P71" i="12"/>
  <c r="S73" i="12"/>
  <c r="P108" i="12"/>
  <c r="N108" i="12"/>
  <c r="W109" i="12"/>
  <c r="Y57" i="12"/>
  <c r="Y60" i="12"/>
  <c r="V63" i="12"/>
  <c r="W69" i="12" s="1"/>
  <c r="P66" i="12"/>
  <c r="V67" i="12"/>
  <c r="W73" i="12" s="1"/>
  <c r="J68" i="12"/>
  <c r="K68" i="12" s="1"/>
  <c r="N70" i="12"/>
  <c r="P70" i="12"/>
  <c r="Q70" i="12" s="1"/>
  <c r="AA70" i="12"/>
  <c r="S72" i="12"/>
  <c r="F74" i="12"/>
  <c r="G80" i="12" s="1"/>
  <c r="F78" i="12"/>
  <c r="G84" i="12" s="1"/>
  <c r="N83" i="12"/>
  <c r="F85" i="12"/>
  <c r="N87" i="12"/>
  <c r="Q95" i="12"/>
  <c r="P105" i="12"/>
  <c r="N105" i="12"/>
  <c r="G106" i="12"/>
  <c r="W106" i="12"/>
  <c r="K107" i="12"/>
  <c r="V92" i="12"/>
  <c r="V93" i="12"/>
  <c r="W93" i="12" s="1"/>
  <c r="V94" i="12"/>
  <c r="V95" i="12"/>
  <c r="W95" i="12" s="1"/>
  <c r="V96" i="12"/>
  <c r="W96" i="12" s="1"/>
  <c r="V97" i="12"/>
  <c r="P98" i="12"/>
  <c r="P99" i="12"/>
  <c r="P100" i="12"/>
  <c r="P101" i="12"/>
  <c r="P102" i="12"/>
  <c r="P103" i="12"/>
  <c r="G23" i="34"/>
  <c r="G11" i="34"/>
  <c r="W11" i="34"/>
  <c r="G22" i="34"/>
  <c r="G8" i="34"/>
  <c r="P18" i="34"/>
  <c r="P23" i="34"/>
  <c r="Q23" i="34" s="1"/>
  <c r="N23" i="34"/>
  <c r="P24" i="34"/>
  <c r="N24" i="34"/>
  <c r="P25" i="34"/>
  <c r="N25" i="34"/>
  <c r="N31" i="34"/>
  <c r="S32" i="34"/>
  <c r="F33" i="34"/>
  <c r="P37" i="34"/>
  <c r="Q37" i="34" s="1"/>
  <c r="G46" i="34"/>
  <c r="V46" i="34"/>
  <c r="W46" i="34" s="1"/>
  <c r="U46" i="34"/>
  <c r="P50" i="34"/>
  <c r="N50" i="34"/>
  <c r="P52" i="34"/>
  <c r="Q58" i="34" s="1"/>
  <c r="N52" i="34"/>
  <c r="P54" i="34"/>
  <c r="N54" i="34"/>
  <c r="Q21" i="34"/>
  <c r="V22" i="34"/>
  <c r="G24" i="34"/>
  <c r="G25" i="34"/>
  <c r="P28" i="34"/>
  <c r="P36" i="34"/>
  <c r="V48" i="34"/>
  <c r="U48" i="34"/>
  <c r="N8" i="34"/>
  <c r="N9" i="34"/>
  <c r="N10" i="34"/>
  <c r="N11" i="34"/>
  <c r="N12" i="34"/>
  <c r="N13" i="34"/>
  <c r="J19" i="34"/>
  <c r="K25" i="34" s="1"/>
  <c r="U20" i="34"/>
  <c r="N21" i="34"/>
  <c r="U23" i="34"/>
  <c r="U24" i="34"/>
  <c r="U25" i="34"/>
  <c r="N30" i="34"/>
  <c r="P35" i="34"/>
  <c r="F37" i="34"/>
  <c r="F41" i="34"/>
  <c r="V45" i="34"/>
  <c r="W45" i="34" s="1"/>
  <c r="U45" i="34"/>
  <c r="P67" i="34"/>
  <c r="N67" i="34"/>
  <c r="S94" i="34"/>
  <c r="V88" i="34"/>
  <c r="J18" i="34"/>
  <c r="K24" i="34" s="1"/>
  <c r="Y22" i="34"/>
  <c r="V23" i="34"/>
  <c r="W23" i="34" s="1"/>
  <c r="V24" i="34"/>
  <c r="W24" i="34" s="1"/>
  <c r="V25" i="34"/>
  <c r="W25" i="34" s="1"/>
  <c r="N27" i="34"/>
  <c r="P30" i="34"/>
  <c r="P34" i="34"/>
  <c r="P51" i="34"/>
  <c r="N51" i="34"/>
  <c r="P53" i="34"/>
  <c r="N53" i="34"/>
  <c r="P55" i="34"/>
  <c r="N55" i="34"/>
  <c r="G56" i="34"/>
  <c r="G61" i="34"/>
  <c r="V47" i="34"/>
  <c r="W47" i="34" s="1"/>
  <c r="U47" i="34"/>
  <c r="Q20" i="34"/>
  <c r="Y20" i="34"/>
  <c r="N22" i="34"/>
  <c r="P32" i="34"/>
  <c r="S34" i="34"/>
  <c r="F35" i="34"/>
  <c r="G35" i="34" s="1"/>
  <c r="V44" i="34"/>
  <c r="U44" i="34"/>
  <c r="K56" i="34"/>
  <c r="N20" i="34"/>
  <c r="V21" i="34"/>
  <c r="W21" i="34" s="1"/>
  <c r="N26" i="34"/>
  <c r="P29" i="34"/>
  <c r="W32" i="34"/>
  <c r="S33" i="34"/>
  <c r="F34" i="34"/>
  <c r="G34" i="34" s="1"/>
  <c r="F39" i="34"/>
  <c r="G45" i="34" s="1"/>
  <c r="F43" i="34"/>
  <c r="G49" i="34" s="1"/>
  <c r="V49" i="34"/>
  <c r="W49" i="34" s="1"/>
  <c r="U49" i="34"/>
  <c r="P56" i="34"/>
  <c r="P59" i="34"/>
  <c r="K61" i="34"/>
  <c r="U61" i="34"/>
  <c r="P64" i="34"/>
  <c r="Q70" i="34" s="1"/>
  <c r="N64" i="34"/>
  <c r="S68" i="34"/>
  <c r="AA70" i="34"/>
  <c r="S72" i="34"/>
  <c r="W73" i="34"/>
  <c r="U81" i="34"/>
  <c r="V75" i="34"/>
  <c r="W81" i="34" s="1"/>
  <c r="P97" i="34"/>
  <c r="Q97" i="34" s="1"/>
  <c r="N97" i="34"/>
  <c r="G104" i="34"/>
  <c r="N32" i="34"/>
  <c r="N33" i="34"/>
  <c r="N34" i="34"/>
  <c r="N35" i="34"/>
  <c r="N36" i="34"/>
  <c r="N37" i="34"/>
  <c r="U83" i="34"/>
  <c r="V77" i="34"/>
  <c r="G81" i="34"/>
  <c r="S96" i="34"/>
  <c r="V90" i="34"/>
  <c r="W96" i="34" s="1"/>
  <c r="P92" i="34"/>
  <c r="Q92" i="34" s="1"/>
  <c r="N92" i="34"/>
  <c r="P94" i="34"/>
  <c r="N94" i="34"/>
  <c r="P61" i="34"/>
  <c r="P66" i="34"/>
  <c r="N66" i="34"/>
  <c r="V68" i="34"/>
  <c r="W68" i="34" s="1"/>
  <c r="K69" i="34"/>
  <c r="AA69" i="34"/>
  <c r="S71" i="34"/>
  <c r="AA73" i="34"/>
  <c r="U80" i="34"/>
  <c r="K85" i="34"/>
  <c r="S92" i="34"/>
  <c r="P63" i="34"/>
  <c r="N63" i="34"/>
  <c r="U85" i="34"/>
  <c r="V79" i="34"/>
  <c r="W85" i="34" s="1"/>
  <c r="G84" i="34"/>
  <c r="P96" i="34"/>
  <c r="Q96" i="34" s="1"/>
  <c r="N96" i="34"/>
  <c r="K105" i="34"/>
  <c r="K107" i="34"/>
  <c r="K109" i="34"/>
  <c r="K68" i="34"/>
  <c r="AA68" i="34"/>
  <c r="U82" i="34"/>
  <c r="V76" i="34"/>
  <c r="W82" i="34" s="1"/>
  <c r="S95" i="34"/>
  <c r="V89" i="34"/>
  <c r="P60" i="34"/>
  <c r="P65" i="34"/>
  <c r="Q71" i="34" s="1"/>
  <c r="N65" i="34"/>
  <c r="P69" i="34"/>
  <c r="P73" i="34"/>
  <c r="G92" i="34"/>
  <c r="P93" i="34"/>
  <c r="Q93" i="34" s="1"/>
  <c r="N93" i="34"/>
  <c r="P105" i="34"/>
  <c r="P106" i="34"/>
  <c r="Q106" i="34" s="1"/>
  <c r="P107" i="34"/>
  <c r="Q107" i="34" s="1"/>
  <c r="P108" i="34"/>
  <c r="P109" i="34"/>
  <c r="Q109" i="34" s="1"/>
  <c r="P57" i="34"/>
  <c r="N60" i="34"/>
  <c r="S69" i="34"/>
  <c r="AA71" i="34"/>
  <c r="S73" i="34"/>
  <c r="U84" i="34"/>
  <c r="V78" i="34"/>
  <c r="W84" i="34" s="1"/>
  <c r="P80" i="34"/>
  <c r="Q80" i="34" s="1"/>
  <c r="K83" i="34"/>
  <c r="S97" i="34"/>
  <c r="V91" i="34"/>
  <c r="W97" i="34" s="1"/>
  <c r="P95" i="34"/>
  <c r="Q95" i="34" s="1"/>
  <c r="N95" i="34"/>
  <c r="P104" i="34"/>
  <c r="Q104" i="34" s="1"/>
  <c r="P102" i="19"/>
  <c r="Q108" i="19" s="1"/>
  <c r="V104" i="19"/>
  <c r="W104" i="19" s="1"/>
  <c r="J108" i="19"/>
  <c r="Y109" i="19"/>
  <c r="Y105" i="19"/>
  <c r="U108" i="19"/>
  <c r="J25" i="19"/>
  <c r="K23" i="19"/>
  <c r="U24" i="19"/>
  <c r="F23" i="19"/>
  <c r="G23" i="19" s="1"/>
  <c r="Q20" i="19"/>
  <c r="P16" i="19"/>
  <c r="F15" i="19"/>
  <c r="P15" i="19"/>
  <c r="S20" i="19"/>
  <c r="J21" i="19"/>
  <c r="K21" i="19" s="1"/>
  <c r="Y22" i="19"/>
  <c r="U25" i="19"/>
  <c r="Y23" i="19"/>
  <c r="U20" i="19"/>
  <c r="AA22" i="19"/>
  <c r="W23" i="19"/>
  <c r="N19" i="19"/>
  <c r="K34" i="19"/>
  <c r="V32" i="19"/>
  <c r="W32" i="19" s="1"/>
  <c r="N27" i="19"/>
  <c r="V29" i="19"/>
  <c r="F26" i="19"/>
  <c r="G32" i="19" s="1"/>
  <c r="N30" i="19"/>
  <c r="K32" i="19"/>
  <c r="AA33" i="19"/>
  <c r="S34" i="19"/>
  <c r="Y36" i="19"/>
  <c r="Q34" i="19"/>
  <c r="AA35" i="19"/>
  <c r="N28" i="19"/>
  <c r="K37" i="19"/>
  <c r="U44" i="19"/>
  <c r="K49" i="19"/>
  <c r="F38" i="19"/>
  <c r="G44" i="19" s="1"/>
  <c r="N54" i="19"/>
  <c r="U56" i="19"/>
  <c r="F58" i="19"/>
  <c r="G58" i="19" s="1"/>
  <c r="AA58" i="19"/>
  <c r="S59" i="19"/>
  <c r="Y61" i="19"/>
  <c r="N51" i="19"/>
  <c r="K56" i="19"/>
  <c r="U57" i="19"/>
  <c r="Q58" i="19"/>
  <c r="AA59" i="19"/>
  <c r="W60" i="19"/>
  <c r="W69" i="19"/>
  <c r="V72" i="19"/>
  <c r="W72" i="19" s="1"/>
  <c r="P71" i="19"/>
  <c r="N64" i="19"/>
  <c r="V75" i="19"/>
  <c r="V83" i="19"/>
  <c r="W83" i="19" s="1"/>
  <c r="N78" i="19"/>
  <c r="V80" i="19"/>
  <c r="W80" i="19" s="1"/>
  <c r="N83" i="19"/>
  <c r="AA83" i="19"/>
  <c r="S84" i="19"/>
  <c r="K85" i="19"/>
  <c r="N75" i="19"/>
  <c r="Q84" i="19"/>
  <c r="V85" i="19"/>
  <c r="P94" i="19"/>
  <c r="Q94" i="19" s="1"/>
  <c r="V96" i="19"/>
  <c r="P86" i="19"/>
  <c r="Q92" i="19" s="1"/>
  <c r="S92" i="19"/>
  <c r="J87" i="19"/>
  <c r="U97" i="19"/>
  <c r="AA93" i="19"/>
  <c r="K92" i="19"/>
  <c r="G96" i="19"/>
  <c r="V87" i="19"/>
  <c r="F89" i="19"/>
  <c r="J91" i="19"/>
  <c r="K97" i="19" s="1"/>
  <c r="V95" i="19"/>
  <c r="AA97" i="19"/>
  <c r="V99" i="19"/>
  <c r="N102" i="19"/>
  <c r="AA105" i="19"/>
  <c r="S106" i="19"/>
  <c r="Y108" i="19"/>
  <c r="V101" i="19"/>
  <c r="J99" i="19"/>
  <c r="K105" i="19" s="1"/>
  <c r="P101" i="19"/>
  <c r="Q107" i="19" s="1"/>
  <c r="F105" i="19"/>
  <c r="G105" i="19" s="1"/>
  <c r="J107" i="19"/>
  <c r="K107" i="19" s="1"/>
  <c r="P109" i="19"/>
  <c r="F111" i="19"/>
  <c r="G123" i="19" s="1"/>
  <c r="J113" i="19"/>
  <c r="K131" i="19" s="1"/>
  <c r="P115" i="19"/>
  <c r="Q127" i="19" s="1"/>
  <c r="U117" i="19"/>
  <c r="F119" i="19"/>
  <c r="G119" i="19" s="1"/>
  <c r="AA119" i="19"/>
  <c r="S120" i="19"/>
  <c r="J121" i="19"/>
  <c r="K121" i="19" s="1"/>
  <c r="U118" i="19"/>
  <c r="AA120" i="19"/>
  <c r="P112" i="19"/>
  <c r="U116" i="19"/>
  <c r="P111" i="19"/>
  <c r="V113" i="19"/>
  <c r="AA121" i="19"/>
  <c r="J117" i="19"/>
  <c r="K117" i="19" s="1"/>
  <c r="Y118" i="19"/>
  <c r="P119" i="19"/>
  <c r="K120" i="19"/>
  <c r="J110" i="19"/>
  <c r="V114" i="19"/>
  <c r="F116" i="19"/>
  <c r="AA116" i="19"/>
  <c r="J118" i="19"/>
  <c r="P110" i="19"/>
  <c r="F114" i="19"/>
  <c r="G126" i="19" s="1"/>
  <c r="J116" i="19"/>
  <c r="Y117" i="19"/>
  <c r="P118" i="19"/>
  <c r="U120" i="19"/>
  <c r="N114" i="19"/>
  <c r="O114" i="19" s="1"/>
  <c r="Q120" i="19"/>
  <c r="N109" i="19"/>
  <c r="S104" i="19"/>
  <c r="Y106" i="19"/>
  <c r="U109" i="19"/>
  <c r="F98" i="19"/>
  <c r="G104" i="19" s="1"/>
  <c r="J100" i="19"/>
  <c r="K106" i="19" s="1"/>
  <c r="U104" i="19"/>
  <c r="F106" i="19"/>
  <c r="G106" i="19" s="1"/>
  <c r="V108" i="19"/>
  <c r="W108" i="19" s="1"/>
  <c r="N98" i="19"/>
  <c r="F102" i="19"/>
  <c r="G108" i="19" s="1"/>
  <c r="AA107" i="19"/>
  <c r="K109" i="19"/>
  <c r="K108" i="19"/>
  <c r="P113" i="19"/>
  <c r="S121" i="19"/>
  <c r="V112" i="19"/>
  <c r="N115" i="19"/>
  <c r="O115" i="19" s="1"/>
  <c r="N110" i="19"/>
  <c r="O110" i="19" s="1"/>
  <c r="P98" i="19"/>
  <c r="Q104" i="19" s="1"/>
  <c r="Q105" i="19"/>
  <c r="N103" i="19"/>
  <c r="N99" i="19"/>
  <c r="V100" i="19"/>
  <c r="V91" i="19"/>
  <c r="W97" i="19" s="1"/>
  <c r="V86" i="19"/>
  <c r="W92" i="19" s="1"/>
  <c r="V88" i="19"/>
  <c r="V93" i="19"/>
  <c r="S94" i="19"/>
  <c r="U95" i="19"/>
  <c r="U96" i="19"/>
  <c r="P74" i="19"/>
  <c r="Q80" i="19" s="1"/>
  <c r="U81" i="19"/>
  <c r="V76" i="19"/>
  <c r="W82" i="19" s="1"/>
  <c r="K82" i="19"/>
  <c r="K83" i="19"/>
  <c r="K70" i="19"/>
  <c r="N62" i="19"/>
  <c r="P67" i="19"/>
  <c r="Q73" i="19" s="1"/>
  <c r="P65" i="19"/>
  <c r="S70" i="19"/>
  <c r="Q72" i="19"/>
  <c r="Q60" i="19"/>
  <c r="G59" i="19"/>
  <c r="S60" i="19"/>
  <c r="Q61" i="19"/>
  <c r="Q56" i="19"/>
  <c r="P43" i="19"/>
  <c r="Q49" i="19" s="1"/>
  <c r="N38" i="19"/>
  <c r="N39" i="19"/>
  <c r="S48" i="19"/>
  <c r="K45" i="19"/>
  <c r="Q48" i="19"/>
  <c r="U45" i="19"/>
  <c r="K47" i="19"/>
  <c r="Q44" i="19"/>
  <c r="G118" i="19"/>
  <c r="V116" i="19"/>
  <c r="V117" i="19"/>
  <c r="W117" i="19" s="1"/>
  <c r="V119" i="19"/>
  <c r="W119" i="19" s="1"/>
  <c r="V120" i="19"/>
  <c r="V121" i="19"/>
  <c r="N116" i="19"/>
  <c r="O116" i="19" s="1"/>
  <c r="N117" i="19"/>
  <c r="O117" i="19" s="1"/>
  <c r="N118" i="19"/>
  <c r="O118" i="19" s="1"/>
  <c r="N119" i="19"/>
  <c r="O119" i="19" s="1"/>
  <c r="N120" i="19"/>
  <c r="N121" i="19"/>
  <c r="V118" i="19"/>
  <c r="W107" i="19"/>
  <c r="G107" i="19"/>
  <c r="G109" i="19"/>
  <c r="N104" i="19"/>
  <c r="N105" i="19"/>
  <c r="N106" i="19"/>
  <c r="N107" i="19"/>
  <c r="K93" i="19"/>
  <c r="Q95" i="19"/>
  <c r="Q96" i="19"/>
  <c r="G94" i="19"/>
  <c r="G97" i="19"/>
  <c r="G93" i="19"/>
  <c r="W95" i="19"/>
  <c r="Q93" i="19"/>
  <c r="K94" i="19"/>
  <c r="K95" i="19"/>
  <c r="K96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G84" i="19"/>
  <c r="W84" i="19"/>
  <c r="W85" i="19"/>
  <c r="G85" i="19"/>
  <c r="N80" i="19"/>
  <c r="N81" i="19"/>
  <c r="N82" i="19"/>
  <c r="K69" i="19"/>
  <c r="G68" i="19"/>
  <c r="K68" i="19"/>
  <c r="G72" i="19"/>
  <c r="W68" i="19"/>
  <c r="Q69" i="19"/>
  <c r="W71" i="19"/>
  <c r="K72" i="19"/>
  <c r="K71" i="19"/>
  <c r="Q68" i="19"/>
  <c r="G70" i="19"/>
  <c r="W70" i="19"/>
  <c r="U68" i="19"/>
  <c r="U69" i="19"/>
  <c r="U70" i="19"/>
  <c r="U71" i="19"/>
  <c r="U72" i="19"/>
  <c r="U73" i="19"/>
  <c r="G61" i="19"/>
  <c r="G57" i="19"/>
  <c r="K59" i="19"/>
  <c r="G60" i="19"/>
  <c r="U59" i="19"/>
  <c r="U60" i="19"/>
  <c r="V56" i="19"/>
  <c r="W56" i="19" s="1"/>
  <c r="V57" i="19"/>
  <c r="W57" i="19" s="1"/>
  <c r="V58" i="19"/>
  <c r="W58" i="19" s="1"/>
  <c r="V61" i="19"/>
  <c r="W61" i="19" s="1"/>
  <c r="N56" i="19"/>
  <c r="N57" i="19"/>
  <c r="N58" i="19"/>
  <c r="N59" i="19"/>
  <c r="N60" i="19"/>
  <c r="N61" i="19"/>
  <c r="G48" i="19"/>
  <c r="G47" i="19"/>
  <c r="W44" i="19"/>
  <c r="G46" i="19"/>
  <c r="N44" i="19"/>
  <c r="N45" i="19"/>
  <c r="N46" i="19"/>
  <c r="N47" i="19"/>
  <c r="N48" i="19"/>
  <c r="N49" i="19"/>
  <c r="V40" i="19"/>
  <c r="W46" i="19" s="1"/>
  <c r="V41" i="19"/>
  <c r="V42" i="19"/>
  <c r="W48" i="19" s="1"/>
  <c r="V43" i="19"/>
  <c r="P26" i="19"/>
  <c r="Q32" i="19" s="1"/>
  <c r="P31" i="19"/>
  <c r="V28" i="19"/>
  <c r="G34" i="19"/>
  <c r="K35" i="19"/>
  <c r="Q35" i="19"/>
  <c r="Q36" i="19"/>
  <c r="V27" i="19"/>
  <c r="W33" i="19" s="1"/>
  <c r="S36" i="19"/>
  <c r="U33" i="19"/>
  <c r="S22" i="19"/>
  <c r="W22" i="19"/>
  <c r="V21" i="19"/>
  <c r="W21" i="19" s="1"/>
  <c r="P19" i="19"/>
  <c r="V20" i="19"/>
  <c r="W20" i="19" s="1"/>
  <c r="Q24" i="19"/>
  <c r="W36" i="19"/>
  <c r="W35" i="19"/>
  <c r="G33" i="19"/>
  <c r="N32" i="19"/>
  <c r="N33" i="19"/>
  <c r="N34" i="19"/>
  <c r="N35" i="19"/>
  <c r="N36" i="19"/>
  <c r="N37" i="19"/>
  <c r="G25" i="19"/>
  <c r="G22" i="19"/>
  <c r="N20" i="19"/>
  <c r="N21" i="19"/>
  <c r="N22" i="19"/>
  <c r="N23" i="19"/>
  <c r="N24" i="19"/>
  <c r="Y21" i="19"/>
  <c r="X13" i="19"/>
  <c r="T13" i="19"/>
  <c r="R13" i="19"/>
  <c r="X7" i="19"/>
  <c r="T7" i="19"/>
  <c r="R7" i="19"/>
  <c r="O132" i="19" l="1"/>
  <c r="W121" i="19"/>
  <c r="O122" i="19"/>
  <c r="O123" i="19"/>
  <c r="O121" i="19"/>
  <c r="O124" i="19"/>
  <c r="O128" i="19"/>
  <c r="O120" i="19"/>
  <c r="O127" i="19"/>
  <c r="O133" i="19"/>
  <c r="O131" i="19"/>
  <c r="O126" i="19"/>
  <c r="G21" i="19"/>
  <c r="G24" i="19"/>
  <c r="W127" i="19"/>
  <c r="W115" i="19"/>
  <c r="W130" i="19"/>
  <c r="W112" i="19"/>
  <c r="K25" i="19"/>
  <c r="K132" i="19"/>
  <c r="W106" i="19"/>
  <c r="G95" i="19"/>
  <c r="W123" i="19"/>
  <c r="W111" i="19"/>
  <c r="W128" i="19"/>
  <c r="W110" i="19"/>
  <c r="W132" i="19"/>
  <c r="W114" i="19"/>
  <c r="Q37" i="19"/>
  <c r="K118" i="19"/>
  <c r="W96" i="19"/>
  <c r="W49" i="19"/>
  <c r="W94" i="19"/>
  <c r="G116" i="19"/>
  <c r="W131" i="19"/>
  <c r="W113" i="19"/>
  <c r="Q81" i="19"/>
  <c r="G20" i="19"/>
  <c r="W33" i="35"/>
  <c r="Q92" i="35"/>
  <c r="W94" i="35"/>
  <c r="K46" i="35"/>
  <c r="G35" i="35"/>
  <c r="G11" i="35"/>
  <c r="Q73" i="12"/>
  <c r="W37" i="12"/>
  <c r="K71" i="12"/>
  <c r="K47" i="12"/>
  <c r="K9" i="12"/>
  <c r="Q94" i="12"/>
  <c r="W80" i="12"/>
  <c r="Q108" i="34"/>
  <c r="W44" i="34"/>
  <c r="W48" i="34"/>
  <c r="K32" i="34"/>
  <c r="W94" i="34"/>
  <c r="Q73" i="34"/>
  <c r="Q72" i="34"/>
  <c r="G37" i="34"/>
  <c r="W83" i="34"/>
  <c r="G33" i="34"/>
  <c r="G71" i="34"/>
  <c r="W95" i="34"/>
  <c r="Q32" i="34"/>
  <c r="Q119" i="19"/>
  <c r="W126" i="19"/>
  <c r="W133" i="19"/>
  <c r="G128" i="19"/>
  <c r="G122" i="19"/>
  <c r="W129" i="19"/>
  <c r="W124" i="19"/>
  <c r="Q117" i="19"/>
  <c r="Q123" i="19"/>
  <c r="Q129" i="19"/>
  <c r="Q131" i="19"/>
  <c r="K130" i="19"/>
  <c r="Q125" i="19"/>
  <c r="K133" i="19"/>
  <c r="K128" i="19"/>
  <c r="K122" i="19"/>
  <c r="G132" i="19"/>
  <c r="W125" i="19"/>
  <c r="Q130" i="19"/>
  <c r="Q124" i="19"/>
  <c r="Q121" i="19"/>
  <c r="Q133" i="19"/>
  <c r="K119" i="19"/>
  <c r="K125" i="19"/>
  <c r="G130" i="19"/>
  <c r="G124" i="19"/>
  <c r="W122" i="19"/>
  <c r="W116" i="19"/>
  <c r="Q116" i="19"/>
  <c r="Q122" i="19"/>
  <c r="Q128" i="19"/>
  <c r="G117" i="19"/>
  <c r="G129" i="19"/>
  <c r="K129" i="19"/>
  <c r="K116" i="19"/>
  <c r="Q22" i="12"/>
  <c r="K20" i="19"/>
  <c r="Q21" i="19"/>
  <c r="W25" i="19"/>
  <c r="Q22" i="19"/>
  <c r="Q20" i="35"/>
  <c r="Q25" i="19"/>
  <c r="W37" i="34"/>
  <c r="Q34" i="12"/>
  <c r="W49" i="35"/>
  <c r="Q44" i="12"/>
  <c r="W47" i="19"/>
  <c r="Q47" i="12"/>
  <c r="W81" i="19"/>
  <c r="W94" i="12"/>
  <c r="W95" i="35"/>
  <c r="Q94" i="35"/>
  <c r="W104" i="35"/>
  <c r="W118" i="19"/>
  <c r="G120" i="19"/>
  <c r="W13" i="35"/>
  <c r="W34" i="19"/>
  <c r="Q35" i="35"/>
  <c r="Q49" i="35"/>
  <c r="W49" i="12"/>
  <c r="W46" i="12"/>
  <c r="Q49" i="12"/>
  <c r="Q56" i="34"/>
  <c r="Q57" i="34"/>
  <c r="Q71" i="19"/>
  <c r="W83" i="12"/>
  <c r="G85" i="12"/>
  <c r="W97" i="12"/>
  <c r="Q105" i="34"/>
  <c r="Q118" i="19"/>
  <c r="Q32" i="35"/>
  <c r="W48" i="35"/>
  <c r="Q33" i="35"/>
  <c r="Q109" i="35"/>
  <c r="Q104" i="35"/>
  <c r="W92" i="12"/>
  <c r="Q104" i="12"/>
  <c r="G83" i="12"/>
  <c r="Q105" i="12"/>
  <c r="Q33" i="12"/>
  <c r="G47" i="34"/>
  <c r="Q25" i="34"/>
  <c r="Q34" i="34"/>
  <c r="Q59" i="34"/>
  <c r="Q69" i="34"/>
  <c r="Q60" i="34"/>
  <c r="Q61" i="34"/>
  <c r="W22" i="34"/>
  <c r="Q94" i="34"/>
  <c r="Q108" i="35"/>
  <c r="Q105" i="35"/>
  <c r="Q106" i="35"/>
  <c r="Q71" i="12"/>
  <c r="Q106" i="12"/>
  <c r="Q107" i="12"/>
  <c r="Q109" i="12"/>
  <c r="Q108" i="12"/>
  <c r="Q72" i="12"/>
  <c r="Q35" i="34"/>
  <c r="Q24" i="34"/>
  <c r="Q36" i="34"/>
  <c r="W93" i="19"/>
  <c r="W120" i="19"/>
  <c r="S13" i="19"/>
  <c r="V7" i="19"/>
  <c r="V13" i="19"/>
  <c r="W13" i="19" s="1"/>
  <c r="Y13" i="19"/>
  <c r="U13" i="19"/>
  <c r="Z13" i="19"/>
  <c r="Z7" i="19"/>
  <c r="AA13" i="19" l="1"/>
  <c r="C13" i="19"/>
  <c r="C12" i="19"/>
  <c r="C11" i="19"/>
  <c r="C10" i="19"/>
  <c r="C9" i="19"/>
  <c r="C8" i="19"/>
  <c r="M2" i="19" l="1"/>
  <c r="C2" i="19" l="1"/>
  <c r="C7" i="19"/>
  <c r="C6" i="19"/>
  <c r="C5" i="19"/>
  <c r="C4" i="19"/>
  <c r="C3" i="19"/>
  <c r="M13" i="19"/>
  <c r="L13" i="19"/>
  <c r="I13" i="19"/>
  <c r="H13" i="19"/>
  <c r="E13" i="19"/>
  <c r="D13" i="19"/>
  <c r="Z12" i="19"/>
  <c r="X12" i="19"/>
  <c r="T12" i="19"/>
  <c r="R12" i="19"/>
  <c r="M12" i="19"/>
  <c r="L12" i="19"/>
  <c r="I12" i="19"/>
  <c r="H12" i="19"/>
  <c r="E12" i="19"/>
  <c r="D12" i="19"/>
  <c r="Z11" i="19"/>
  <c r="X11" i="19"/>
  <c r="T11" i="19"/>
  <c r="R11" i="19"/>
  <c r="M11" i="19"/>
  <c r="L11" i="19"/>
  <c r="I11" i="19"/>
  <c r="H11" i="19"/>
  <c r="E11" i="19"/>
  <c r="D11" i="19"/>
  <c r="Z10" i="19"/>
  <c r="X10" i="19"/>
  <c r="T10" i="19"/>
  <c r="R10" i="19"/>
  <c r="M10" i="19"/>
  <c r="L10" i="19"/>
  <c r="I10" i="19"/>
  <c r="H10" i="19"/>
  <c r="E10" i="19"/>
  <c r="D10" i="19"/>
  <c r="Z9" i="19"/>
  <c r="X9" i="19"/>
  <c r="T9" i="19"/>
  <c r="R9" i="19"/>
  <c r="M9" i="19"/>
  <c r="L9" i="19"/>
  <c r="I9" i="19"/>
  <c r="H9" i="19"/>
  <c r="E9" i="19"/>
  <c r="D9" i="19"/>
  <c r="Z8" i="19"/>
  <c r="X8" i="19"/>
  <c r="T8" i="19"/>
  <c r="R8" i="19"/>
  <c r="M8" i="19"/>
  <c r="L8" i="19"/>
  <c r="I8" i="19"/>
  <c r="H8" i="19"/>
  <c r="E8" i="19"/>
  <c r="D8" i="19"/>
  <c r="M7" i="19"/>
  <c r="L7" i="19"/>
  <c r="I7" i="19"/>
  <c r="H7" i="19"/>
  <c r="E7" i="19"/>
  <c r="D7" i="19"/>
  <c r="Z6" i="19"/>
  <c r="X6" i="19"/>
  <c r="T6" i="19"/>
  <c r="R6" i="19"/>
  <c r="M6" i="19"/>
  <c r="L6" i="19"/>
  <c r="I6" i="19"/>
  <c r="H6" i="19"/>
  <c r="E6" i="19"/>
  <c r="D6" i="19"/>
  <c r="Z5" i="19"/>
  <c r="X5" i="19"/>
  <c r="T5" i="19"/>
  <c r="R5" i="19"/>
  <c r="M5" i="19"/>
  <c r="L5" i="19"/>
  <c r="I5" i="19"/>
  <c r="H5" i="19"/>
  <c r="E5" i="19"/>
  <c r="D5" i="19"/>
  <c r="Z4" i="19"/>
  <c r="X4" i="19"/>
  <c r="T4" i="19"/>
  <c r="R4" i="19"/>
  <c r="M4" i="19"/>
  <c r="L4" i="19"/>
  <c r="I4" i="19"/>
  <c r="H4" i="19"/>
  <c r="E4" i="19"/>
  <c r="D4" i="19"/>
  <c r="Z3" i="19"/>
  <c r="X3" i="19"/>
  <c r="T3" i="19"/>
  <c r="R3" i="19"/>
  <c r="M3" i="19"/>
  <c r="L3" i="19"/>
  <c r="I3" i="19"/>
  <c r="H3" i="19"/>
  <c r="E3" i="19"/>
  <c r="D3" i="19"/>
  <c r="Z2" i="19"/>
  <c r="X2" i="19"/>
  <c r="T2" i="19"/>
  <c r="R2" i="19"/>
  <c r="L2" i="19"/>
  <c r="I2" i="19"/>
  <c r="H2" i="19"/>
  <c r="E2" i="19"/>
  <c r="D2" i="19"/>
  <c r="S12" i="19" l="1"/>
  <c r="U8" i="19"/>
  <c r="AA11" i="19"/>
  <c r="U12" i="19"/>
  <c r="Y8" i="19"/>
  <c r="S9" i="19"/>
  <c r="Y12" i="19"/>
  <c r="AA8" i="19"/>
  <c r="U9" i="19"/>
  <c r="AA12" i="19"/>
  <c r="Y11" i="19"/>
  <c r="Y9" i="19"/>
  <c r="S10" i="19"/>
  <c r="AA9" i="19"/>
  <c r="U10" i="19"/>
  <c r="Y10" i="19"/>
  <c r="S11" i="19"/>
  <c r="S8" i="19"/>
  <c r="AA10" i="19"/>
  <c r="U11" i="19"/>
  <c r="F12" i="19"/>
  <c r="F8" i="19"/>
  <c r="F4" i="19"/>
  <c r="F11" i="19" l="1"/>
  <c r="V11" i="19"/>
  <c r="F9" i="19"/>
  <c r="F13" i="19"/>
  <c r="F10" i="19"/>
  <c r="G10" i="19" s="1"/>
  <c r="V5" i="19"/>
  <c r="F3" i="19"/>
  <c r="F5" i="19"/>
  <c r="F7" i="19"/>
  <c r="F2" i="19"/>
  <c r="F6" i="19"/>
  <c r="P8" i="19"/>
  <c r="P10" i="19"/>
  <c r="V2" i="19"/>
  <c r="V4" i="19"/>
  <c r="V6" i="19"/>
  <c r="V8" i="19"/>
  <c r="V10" i="19"/>
  <c r="V12" i="19"/>
  <c r="P9" i="19"/>
  <c r="P11" i="19"/>
  <c r="P13" i="19"/>
  <c r="V3" i="19"/>
  <c r="V9" i="19"/>
  <c r="P12" i="19"/>
  <c r="J3" i="19"/>
  <c r="J7" i="19"/>
  <c r="J10" i="19"/>
  <c r="J4" i="19"/>
  <c r="J8" i="19"/>
  <c r="J12" i="19"/>
  <c r="J2" i="19"/>
  <c r="J6" i="19"/>
  <c r="J11" i="19"/>
  <c r="J5" i="19"/>
  <c r="J9" i="19"/>
  <c r="J13" i="19"/>
  <c r="W9" i="19" l="1"/>
  <c r="K9" i="19"/>
  <c r="K13" i="19"/>
  <c r="W12" i="19"/>
  <c r="W10" i="19"/>
  <c r="W11" i="19"/>
  <c r="W8" i="19"/>
  <c r="K12" i="19"/>
  <c r="K10" i="19"/>
  <c r="K11" i="19"/>
  <c r="K8" i="19"/>
  <c r="G12" i="19"/>
  <c r="G8" i="19"/>
  <c r="G11" i="19"/>
  <c r="G13" i="19"/>
  <c r="G9" i="19"/>
  <c r="N9" i="19" l="1"/>
  <c r="N13" i="19"/>
  <c r="P2" i="19"/>
  <c r="P4" i="19"/>
  <c r="P5" i="19"/>
  <c r="P3" i="19"/>
  <c r="N7" i="19"/>
  <c r="N2" i="19"/>
  <c r="N6" i="19"/>
  <c r="P7" i="19"/>
  <c r="P6" i="19"/>
  <c r="N4" i="19"/>
  <c r="N5" i="19"/>
  <c r="N3" i="19"/>
  <c r="N8" i="19"/>
  <c r="N12" i="19"/>
  <c r="N10" i="19"/>
  <c r="N11" i="19"/>
  <c r="Q10" i="19" l="1"/>
  <c r="Q12" i="19"/>
  <c r="Q9" i="19"/>
  <c r="Q11" i="19"/>
  <c r="Q8" i="19"/>
  <c r="Q13" i="19"/>
</calcChain>
</file>

<file path=xl/sharedStrings.xml><?xml version="1.0" encoding="utf-8"?>
<sst xmlns="http://schemas.openxmlformats.org/spreadsheetml/2006/main" count="2153" uniqueCount="84">
  <si>
    <t>L</t>
  </si>
  <si>
    <t>H</t>
  </si>
  <si>
    <t>N</t>
  </si>
  <si>
    <t>h</t>
  </si>
  <si>
    <t>Da</t>
  </si>
  <si>
    <t>Dm</t>
  </si>
  <si>
    <t>Baseline</t>
  </si>
  <si>
    <t>Temp</t>
  </si>
  <si>
    <t>Climate Change Scenarios</t>
  </si>
  <si>
    <t>Dm/Da</t>
  </si>
  <si>
    <t>Pa</t>
  </si>
  <si>
    <t>Ya</t>
  </si>
  <si>
    <t>Pm</t>
  </si>
  <si>
    <t>Ym</t>
  </si>
  <si>
    <t>eps</t>
  </si>
  <si>
    <t>Time</t>
  </si>
  <si>
    <t>Tu</t>
  </si>
  <si>
    <t>Ts</t>
  </si>
  <si>
    <t>wu</t>
  </si>
  <si>
    <t>ws</t>
  </si>
  <si>
    <t>Su</t>
  </si>
  <si>
    <t>Ss</t>
  </si>
  <si>
    <t>Ypc</t>
  </si>
  <si>
    <t>gamma0</t>
  </si>
  <si>
    <t>%Dm/Da</t>
  </si>
  <si>
    <t>%Ss/Su</t>
  </si>
  <si>
    <t>%h</t>
  </si>
  <si>
    <t>wr=ws/wu</t>
  </si>
  <si>
    <t>%wu</t>
  </si>
  <si>
    <t>%ws</t>
  </si>
  <si>
    <t>%ypc</t>
  </si>
  <si>
    <t>Ss/Su</t>
  </si>
  <si>
    <t>%wr</t>
  </si>
  <si>
    <t>alpha</t>
  </si>
  <si>
    <t>RCP 2.6</t>
  </si>
  <si>
    <t>RCP 4.5</t>
  </si>
  <si>
    <t>RCP 6.0</t>
  </si>
  <si>
    <t>RCP 8.5</t>
  </si>
  <si>
    <t>Adult population (million)</t>
  </si>
  <si>
    <t>Scenario 1</t>
  </si>
  <si>
    <t>Scenario 2</t>
  </si>
  <si>
    <t>Scenario 3</t>
  </si>
  <si>
    <t>Scenario 4</t>
  </si>
  <si>
    <t>Population of high-skilled</t>
  </si>
  <si>
    <t>to low-skilled labor</t>
  </si>
  <si>
    <t>Wages of high-skilled</t>
  </si>
  <si>
    <t>to agricultural sector</t>
  </si>
  <si>
    <t>Productivity of non-agricultural</t>
  </si>
  <si>
    <t>Availability of high-skilled</t>
  </si>
  <si>
    <t>Region Name</t>
  </si>
  <si>
    <t>Western Cape</t>
  </si>
  <si>
    <t>Y</t>
  </si>
  <si>
    <t>MaxTemp</t>
  </si>
  <si>
    <t>Eastern Cape</t>
  </si>
  <si>
    <t>Northern Cape</t>
  </si>
  <si>
    <t>Free State</t>
  </si>
  <si>
    <t>KwaZulu-Natal</t>
  </si>
  <si>
    <t>North West</t>
  </si>
  <si>
    <t>Gauteng</t>
  </si>
  <si>
    <t>Mpumalanga</t>
  </si>
  <si>
    <t>Limpopo</t>
  </si>
  <si>
    <t>South Africa</t>
  </si>
  <si>
    <t>%Y</t>
  </si>
  <si>
    <r>
      <t>Average temperature (</t>
    </r>
    <r>
      <rPr>
        <sz val="18"/>
        <color theme="1"/>
        <rFont val="Calibri"/>
        <family val="2"/>
      </rPr>
      <t>˚C)</t>
    </r>
  </si>
  <si>
    <t>Ratio of high-skilled             to low-skilled labor</t>
  </si>
  <si>
    <t>Sectoral productivity damages only</t>
  </si>
  <si>
    <t>Labor availability damages only</t>
  </si>
  <si>
    <t>Sectoral productivity and labor availability damages</t>
  </si>
  <si>
    <t>Year</t>
  </si>
  <si>
    <t>RCP2.6</t>
  </si>
  <si>
    <t>RCP4.5</t>
  </si>
  <si>
    <t>RCP6.0</t>
  </si>
  <si>
    <t>RCP8.5</t>
  </si>
  <si>
    <t>D</t>
  </si>
  <si>
    <t>S</t>
  </si>
  <si>
    <t>DS</t>
  </si>
  <si>
    <t>No temperature change</t>
  </si>
  <si>
    <t>output per adult
(const. 2010 USD x1000)</t>
  </si>
  <si>
    <t>Availability of high-skilled
to low-skilled labor</t>
  </si>
  <si>
    <t>Number of high-skilled
to low-skilled labor</t>
  </si>
  <si>
    <t>Productivity of non-agricultural
to agricultural sector</t>
  </si>
  <si>
    <t>Relative wages of high-skilled
to low-skilled labor</t>
  </si>
  <si>
    <t>Adult population
(million)</t>
  </si>
  <si>
    <t>%N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</si>
</sst>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"/>
    <numFmt numFmtId="165" formatCode="0.0000"/>
    <numFmt numFmtId="166" formatCode="0.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24"/>
      <color theme="1"/>
      <name val="Calibri Light"/>
      <family val="2"/>
      <scheme val="major"/>
    </font>
    <font>
      <b/>
      <sz val="22"/>
      <color theme="1"/>
      <name val="Calibri Light"/>
      <family val="2"/>
      <scheme val="maj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 Light"/>
      <family val="2"/>
      <scheme val="major"/>
    </font>
    <font>
      <sz val="36"/>
      <color theme="1"/>
      <name val="Calibri"/>
      <family val="2"/>
      <scheme val="minor"/>
    </font>
    <font>
      <sz val="30"/>
      <color theme="1"/>
      <name val="Calibri Light"/>
      <family val="2"/>
      <scheme val="major"/>
    </font>
    <font>
      <sz val="3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1"/>
      <name val="Calibri"/>
      <family val="2"/>
    </font>
    <font>
      <b/>
      <sz val="17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119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6" fillId="0" borderId="0" xfId="0" applyFont="1"/>
    <xf numFmtId="0" fontId="16" fillId="0" borderId="18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0" fillId="0" borderId="0" xfId="0" applyFont="1" applyBorder="1"/>
    <xf numFmtId="0" fontId="0" fillId="0" borderId="14" xfId="0" applyFont="1" applyBorder="1"/>
    <xf numFmtId="0" fontId="16" fillId="0" borderId="0" xfId="0" applyFont="1" applyBorder="1" applyAlignment="1">
      <alignment horizontal="center"/>
    </xf>
    <xf numFmtId="0" fontId="0" fillId="33" borderId="0" xfId="0" applyFill="1"/>
    <xf numFmtId="0" fontId="0" fillId="33" borderId="0" xfId="0" applyFill="1" applyBorder="1"/>
    <xf numFmtId="0" fontId="19" fillId="33" borderId="0" xfId="0" applyFont="1" applyFill="1" applyBorder="1" applyAlignment="1">
      <alignment vertical="center" textRotation="90" wrapText="1"/>
    </xf>
    <xf numFmtId="0" fontId="19" fillId="33" borderId="0" xfId="0" applyFont="1" applyFill="1" applyBorder="1" applyAlignment="1">
      <alignment vertical="center" textRotation="90"/>
    </xf>
    <xf numFmtId="0" fontId="0" fillId="0" borderId="0" xfId="0"/>
    <xf numFmtId="0" fontId="16" fillId="0" borderId="10" xfId="0" applyFont="1" applyBorder="1" applyAlignment="1">
      <alignment horizontal="center"/>
    </xf>
    <xf numFmtId="0" fontId="20" fillId="33" borderId="0" xfId="0" applyFont="1" applyFill="1" applyBorder="1" applyAlignment="1">
      <alignment horizontal="center" vertical="center"/>
    </xf>
    <xf numFmtId="164" fontId="0" fillId="0" borderId="11" xfId="0" applyNumberFormat="1" applyBorder="1"/>
    <xf numFmtId="164" fontId="0" fillId="0" borderId="0" xfId="0" applyNumberFormat="1" applyBorder="1"/>
    <xf numFmtId="164" fontId="0" fillId="0" borderId="16" xfId="0" applyNumberFormat="1" applyBorder="1"/>
    <xf numFmtId="164" fontId="0" fillId="0" borderId="10" xfId="0" applyNumberFormat="1" applyBorder="1"/>
    <xf numFmtId="164" fontId="0" fillId="0" borderId="13" xfId="0" applyNumberFormat="1" applyBorder="1"/>
    <xf numFmtId="164" fontId="0" fillId="0" borderId="15" xfId="0" applyNumberFormat="1" applyBorder="1"/>
    <xf numFmtId="0" fontId="16" fillId="0" borderId="18" xfId="0" applyFont="1" applyFill="1" applyBorder="1" applyAlignment="1">
      <alignment horizontal="center"/>
    </xf>
    <xf numFmtId="0" fontId="16" fillId="34" borderId="20" xfId="0" applyFont="1" applyFill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10" fontId="0" fillId="0" borderId="15" xfId="42" applyNumberFormat="1" applyFont="1" applyFill="1" applyBorder="1"/>
    <xf numFmtId="0" fontId="0" fillId="0" borderId="11" xfId="42" applyNumberFormat="1" applyFont="1" applyBorder="1"/>
    <xf numFmtId="0" fontId="0" fillId="0" borderId="0" xfId="42" applyNumberFormat="1" applyFont="1" applyBorder="1"/>
    <xf numFmtId="0" fontId="0" fillId="0" borderId="16" xfId="42" applyNumberFormat="1" applyFont="1" applyBorder="1"/>
    <xf numFmtId="0" fontId="16" fillId="0" borderId="19" xfId="0" applyFont="1" applyFill="1" applyBorder="1" applyAlignment="1">
      <alignment horizontal="center"/>
    </xf>
    <xf numFmtId="164" fontId="0" fillId="0" borderId="11" xfId="0" applyNumberFormat="1" applyFill="1" applyBorder="1"/>
    <xf numFmtId="164" fontId="0" fillId="0" borderId="0" xfId="0" applyNumberFormat="1" applyFont="1" applyFill="1" applyBorder="1"/>
    <xf numFmtId="164" fontId="0" fillId="0" borderId="0" xfId="0" applyNumberFormat="1" applyFill="1" applyBorder="1"/>
    <xf numFmtId="164" fontId="0" fillId="0" borderId="16" xfId="0" applyNumberFormat="1" applyFill="1" applyBorder="1"/>
    <xf numFmtId="0" fontId="0" fillId="0" borderId="10" xfId="42" applyNumberFormat="1" applyFont="1" applyBorder="1"/>
    <xf numFmtId="0" fontId="0" fillId="0" borderId="13" xfId="42" applyNumberFormat="1" applyFont="1" applyBorder="1"/>
    <xf numFmtId="0" fontId="0" fillId="0" borderId="15" xfId="42" applyNumberFormat="1" applyFont="1" applyBorder="1"/>
    <xf numFmtId="165" fontId="0" fillId="0" borderId="11" xfId="0" applyNumberFormat="1" applyBorder="1"/>
    <xf numFmtId="165" fontId="0" fillId="0" borderId="0" xfId="0" applyNumberFormat="1" applyFont="1" applyBorder="1"/>
    <xf numFmtId="165" fontId="0" fillId="0" borderId="0" xfId="0" applyNumberFormat="1" applyBorder="1"/>
    <xf numFmtId="165" fontId="0" fillId="0" borderId="16" xfId="0" applyNumberFormat="1" applyBorder="1"/>
    <xf numFmtId="165" fontId="0" fillId="0" borderId="11" xfId="42" applyNumberFormat="1" applyFont="1" applyBorder="1"/>
    <xf numFmtId="165" fontId="0" fillId="0" borderId="0" xfId="42" applyNumberFormat="1" applyFont="1" applyBorder="1"/>
    <xf numFmtId="165" fontId="0" fillId="0" borderId="16" xfId="42" applyNumberFormat="1" applyFont="1" applyBorder="1"/>
    <xf numFmtId="0" fontId="16" fillId="35" borderId="20" xfId="0" applyFont="1" applyFill="1" applyBorder="1" applyAlignment="1">
      <alignment horizontal="center"/>
    </xf>
    <xf numFmtId="0" fontId="0" fillId="35" borderId="11" xfId="0" applyFill="1" applyBorder="1"/>
    <xf numFmtId="0" fontId="0" fillId="35" borderId="0" xfId="0" applyFont="1" applyFill="1" applyBorder="1"/>
    <xf numFmtId="0" fontId="0" fillId="35" borderId="0" xfId="0" applyFill="1" applyBorder="1"/>
    <xf numFmtId="0" fontId="0" fillId="35" borderId="16" xfId="0" applyFill="1" applyBorder="1"/>
    <xf numFmtId="10" fontId="0" fillId="35" borderId="12" xfId="42" applyNumberFormat="1" applyFont="1" applyFill="1" applyBorder="1"/>
    <xf numFmtId="10" fontId="0" fillId="35" borderId="14" xfId="42" applyNumberFormat="1" applyFont="1" applyFill="1" applyBorder="1"/>
    <xf numFmtId="10" fontId="0" fillId="35" borderId="17" xfId="42" applyNumberFormat="1" applyFont="1" applyFill="1" applyBorder="1"/>
    <xf numFmtId="0" fontId="20" fillId="33" borderId="0" xfId="0" applyFont="1" applyFill="1" applyBorder="1" applyAlignment="1">
      <alignment vertical="center"/>
    </xf>
    <xf numFmtId="0" fontId="21" fillId="33" borderId="0" xfId="0" applyFont="1" applyFill="1" applyBorder="1" applyAlignment="1">
      <alignment vertical="center" wrapText="1"/>
    </xf>
    <xf numFmtId="0" fontId="23" fillId="33" borderId="0" xfId="0" applyFont="1" applyFill="1"/>
    <xf numFmtId="0" fontId="22" fillId="33" borderId="0" xfId="0" applyFont="1" applyFill="1" applyBorder="1" applyAlignment="1">
      <alignment vertical="center" textRotation="90" wrapText="1"/>
    </xf>
    <xf numFmtId="0" fontId="24" fillId="33" borderId="0" xfId="0" applyFont="1" applyFill="1" applyBorder="1" applyAlignment="1">
      <alignment vertical="center" wrapText="1"/>
    </xf>
    <xf numFmtId="0" fontId="25" fillId="33" borderId="0" xfId="0" applyFont="1" applyFill="1" applyBorder="1"/>
    <xf numFmtId="0" fontId="26" fillId="33" borderId="0" xfId="0" applyFont="1" applyFill="1" applyBorder="1" applyAlignment="1">
      <alignment vertical="center" wrapText="1"/>
    </xf>
    <xf numFmtId="0" fontId="27" fillId="33" borderId="0" xfId="0" applyFont="1" applyFill="1" applyBorder="1"/>
    <xf numFmtId="0" fontId="19" fillId="33" borderId="0" xfId="0" applyFont="1" applyFill="1" applyBorder="1" applyAlignment="1">
      <alignment horizontal="center" vertical="center" textRotation="90" wrapText="1"/>
    </xf>
    <xf numFmtId="0" fontId="20" fillId="33" borderId="0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/>
    </xf>
    <xf numFmtId="0" fontId="17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19" fillId="34" borderId="0" xfId="0" applyFont="1" applyFill="1" applyBorder="1" applyAlignment="1">
      <alignment vertical="center" textRotation="90" wrapText="1"/>
    </xf>
    <xf numFmtId="0" fontId="19" fillId="34" borderId="0" xfId="0" applyFont="1" applyFill="1" applyBorder="1" applyAlignment="1">
      <alignment vertical="center" textRotation="90"/>
    </xf>
    <xf numFmtId="0" fontId="29" fillId="33" borderId="0" xfId="0" applyFont="1" applyFill="1" applyBorder="1" applyAlignment="1">
      <alignment vertical="center" textRotation="90"/>
    </xf>
    <xf numFmtId="0" fontId="19" fillId="33" borderId="0" xfId="0" applyFont="1" applyFill="1" applyBorder="1" applyAlignment="1">
      <alignment horizontal="center" vertical="center" textRotation="90" wrapText="1"/>
    </xf>
    <xf numFmtId="0" fontId="29" fillId="33" borderId="0" xfId="0" applyFont="1" applyFill="1" applyBorder="1" applyAlignment="1">
      <alignment vertical="center" textRotation="90" wrapText="1"/>
    </xf>
    <xf numFmtId="0" fontId="0" fillId="33" borderId="0" xfId="0" applyFont="1" applyFill="1" applyBorder="1"/>
    <xf numFmtId="0" fontId="0" fillId="33" borderId="0" xfId="0" applyFont="1" applyFill="1"/>
    <xf numFmtId="0" fontId="31" fillId="33" borderId="0" xfId="0" applyFont="1" applyFill="1" applyBorder="1" applyAlignment="1">
      <alignment vertical="center" textRotation="90" wrapText="1"/>
    </xf>
    <xf numFmtId="0" fontId="31" fillId="33" borderId="0" xfId="0" applyFont="1" applyFill="1" applyBorder="1" applyAlignment="1">
      <alignment vertical="center" textRotation="90"/>
    </xf>
    <xf numFmtId="11" fontId="0" fillId="0" borderId="10" xfId="0" applyNumberFormat="1" applyBorder="1"/>
    <xf numFmtId="11" fontId="0" fillId="0" borderId="13" xfId="0" applyNumberFormat="1" applyBorder="1"/>
    <xf numFmtId="11" fontId="0" fillId="0" borderId="15" xfId="0" applyNumberFormat="1" applyBorder="1"/>
    <xf numFmtId="166" fontId="0" fillId="35" borderId="11" xfId="0" applyNumberFormat="1" applyFill="1" applyBorder="1"/>
    <xf numFmtId="166" fontId="0" fillId="35" borderId="0" xfId="0" applyNumberFormat="1" applyFill="1" applyBorder="1"/>
    <xf numFmtId="166" fontId="0" fillId="35" borderId="16" xfId="0" applyNumberFormat="1" applyFill="1" applyBorder="1"/>
    <xf numFmtId="164" fontId="0" fillId="35" borderId="11" xfId="0" applyNumberFormat="1" applyFill="1" applyBorder="1"/>
    <xf numFmtId="0" fontId="13" fillId="39" borderId="10" xfId="0" applyFont="1" applyFill="1" applyBorder="1" applyAlignment="1">
      <alignment horizontal="center" vertical="center" textRotation="90"/>
    </xf>
    <xf numFmtId="0" fontId="13" fillId="39" borderId="13" xfId="0" applyFont="1" applyFill="1" applyBorder="1" applyAlignment="1">
      <alignment horizontal="center" vertical="center" textRotation="90"/>
    </xf>
    <xf numFmtId="0" fontId="13" fillId="39" borderId="15" xfId="0" applyFont="1" applyFill="1" applyBorder="1" applyAlignment="1">
      <alignment horizontal="center" vertical="center" textRotation="90"/>
    </xf>
    <xf numFmtId="0" fontId="13" fillId="38" borderId="10" xfId="0" applyFont="1" applyFill="1" applyBorder="1" applyAlignment="1">
      <alignment horizontal="center" vertical="center" textRotation="90"/>
    </xf>
    <xf numFmtId="0" fontId="13" fillId="38" borderId="13" xfId="0" applyFont="1" applyFill="1" applyBorder="1" applyAlignment="1">
      <alignment horizontal="center" vertical="center" textRotation="90"/>
    </xf>
    <xf numFmtId="0" fontId="13" fillId="38" borderId="15" xfId="0" applyFont="1" applyFill="1" applyBorder="1" applyAlignment="1">
      <alignment horizontal="center" vertical="center" textRotation="90"/>
    </xf>
    <xf numFmtId="0" fontId="16" fillId="36" borderId="10" xfId="0" applyFont="1" applyFill="1" applyBorder="1" applyAlignment="1">
      <alignment horizontal="center" vertical="center" textRotation="90"/>
    </xf>
    <xf numFmtId="0" fontId="16" fillId="36" borderId="13" xfId="0" applyFont="1" applyFill="1" applyBorder="1" applyAlignment="1">
      <alignment horizontal="center" vertical="center" textRotation="90"/>
    </xf>
    <xf numFmtId="0" fontId="16" fillId="36" borderId="15" xfId="0" applyFont="1" applyFill="1" applyBorder="1" applyAlignment="1">
      <alignment horizontal="center" vertical="center" textRotation="90"/>
    </xf>
    <xf numFmtId="0" fontId="16" fillId="37" borderId="10" xfId="0" applyFont="1" applyFill="1" applyBorder="1" applyAlignment="1">
      <alignment horizontal="center" vertical="center" textRotation="90"/>
    </xf>
    <xf numFmtId="0" fontId="16" fillId="37" borderId="13" xfId="0" applyFont="1" applyFill="1" applyBorder="1" applyAlignment="1">
      <alignment horizontal="center" vertical="center" textRotation="90"/>
    </xf>
    <xf numFmtId="0" fontId="16" fillId="37" borderId="15" xfId="0" applyFont="1" applyFill="1" applyBorder="1" applyAlignment="1">
      <alignment horizontal="center" vertical="center" textRotation="90"/>
    </xf>
    <xf numFmtId="0" fontId="28" fillId="37" borderId="10" xfId="0" applyFont="1" applyFill="1" applyBorder="1" applyAlignment="1">
      <alignment horizontal="center" vertical="center" textRotation="90"/>
    </xf>
    <xf numFmtId="0" fontId="28" fillId="37" borderId="13" xfId="0" applyFont="1" applyFill="1" applyBorder="1" applyAlignment="1">
      <alignment horizontal="center" vertical="center" textRotation="90"/>
    </xf>
    <xf numFmtId="0" fontId="28" fillId="37" borderId="15" xfId="0" applyFont="1" applyFill="1" applyBorder="1" applyAlignment="1">
      <alignment horizontal="center" vertical="center" textRotation="90"/>
    </xf>
    <xf numFmtId="0" fontId="28" fillId="36" borderId="10" xfId="0" applyFont="1" applyFill="1" applyBorder="1" applyAlignment="1">
      <alignment horizontal="center" vertical="center" textRotation="90"/>
    </xf>
    <xf numFmtId="0" fontId="28" fillId="36" borderId="13" xfId="0" applyFont="1" applyFill="1" applyBorder="1" applyAlignment="1">
      <alignment horizontal="center" vertical="center" textRotation="90"/>
    </xf>
    <xf numFmtId="0" fontId="28" fillId="36" borderId="15" xfId="0" applyFont="1" applyFill="1" applyBorder="1" applyAlignment="1">
      <alignment horizontal="center" vertical="center" textRotation="90"/>
    </xf>
    <xf numFmtId="0" fontId="29" fillId="33" borderId="0" xfId="0" applyFont="1" applyFill="1" applyBorder="1" applyAlignment="1">
      <alignment horizontal="center" vertical="center" textRotation="90" wrapText="1"/>
    </xf>
    <xf numFmtId="0" fontId="20" fillId="33" borderId="0" xfId="0" applyFont="1" applyFill="1" applyBorder="1" applyAlignment="1">
      <alignment horizontal="center" vertical="center"/>
    </xf>
    <xf numFmtId="0" fontId="23" fillId="33" borderId="0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19" fillId="33" borderId="0" xfId="0" applyFont="1" applyFill="1" applyBorder="1" applyAlignment="1">
      <alignment horizontal="center" vertical="center" textRotation="90" wrapText="1"/>
    </xf>
    <xf numFmtId="0" fontId="19" fillId="33" borderId="0" xfId="0" applyFont="1" applyFill="1" applyBorder="1" applyAlignment="1">
      <alignment horizontal="center" vertical="center" textRotation="90"/>
    </xf>
    <xf numFmtId="0" fontId="26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textRotation="90" wrapText="1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/>
    <cellStyle name="Note" xfId="15" builtinId="10" customBuiltin="1"/>
    <cellStyle name="Output" xfId="10" builtinId="21" customBuiltin="1"/>
    <cellStyle name="Percent" xfId="42" builtinId="5"/>
    <cellStyle name="Percent 2" xfId="44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tx>
            <c:v>Skill ratio</c:v>
          </c:tx>
          <c:spPr>
            <a:ln w="2222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'RCP26'!$B$2:$B$7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'RCP26'!$P$110:$P$115</c:f>
              <c:numCache>
                <c:formatCode>0.00000</c:formatCode>
                <c:ptCount val="6"/>
                <c:pt idx="0">
                  <c:v>1.4965813044026746</c:v>
                </c:pt>
                <c:pt idx="1">
                  <c:v>2.7772650579712175</c:v>
                </c:pt>
                <c:pt idx="2">
                  <c:v>5.1538805005361237</c:v>
                </c:pt>
                <c:pt idx="3">
                  <c:v>9.5642596797045769</c:v>
                </c:pt>
                <c:pt idx="4">
                  <c:v>17.748774580882717</c:v>
                </c:pt>
                <c:pt idx="5">
                  <c:v>32.937102261188187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0E-48A3-B1AF-F0FFF0C89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6576"/>
        <c:axId val="167697152"/>
      </c:scatterChart>
      <c:valAx>
        <c:axId val="16769657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7152"/>
        <c:crosses val="autoZero"/>
        <c:crossBetween val="midCat"/>
        <c:majorUnit val="20"/>
      </c:valAx>
      <c:valAx>
        <c:axId val="16769715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6576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'Figure 1'!$V$1</c:f>
              <c:strCache>
                <c:ptCount val="1"/>
                <c:pt idx="0">
                  <c:v>RCP 2.6</c:v>
                </c:pt>
              </c:strCache>
            </c:strRef>
          </c:tx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18.0549994</c:v>
                </c:pt>
                <c:pt idx="2">
                  <c:v>18.325375709999999</c:v>
                </c:pt>
                <c:pt idx="3">
                  <c:v>18.56457399</c:v>
                </c:pt>
                <c:pt idx="4">
                  <c:v>18.554772239999998</c:v>
                </c:pt>
                <c:pt idx="5">
                  <c:v>18.497632930000002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80-43CF-A6E3-BA04B37382CF}"/>
            </c:ext>
          </c:extLst>
        </c:ser>
        <c:ser>
          <c:idx val="2"/>
          <c:order val="1"/>
          <c:tx>
            <c:strRef>
              <c:f>'Figure 1'!$V$2</c:f>
              <c:strCache>
                <c:ptCount val="1"/>
                <c:pt idx="0">
                  <c:v>RCP 4.5</c:v>
                </c:pt>
              </c:strCache>
            </c:strRef>
          </c:tx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18.038191579999999</c:v>
                </c:pt>
                <c:pt idx="2">
                  <c:v>18.603739640000001</c:v>
                </c:pt>
                <c:pt idx="3">
                  <c:v>19.164979110000001</c:v>
                </c:pt>
                <c:pt idx="4">
                  <c:v>19.45193622</c:v>
                </c:pt>
                <c:pt idx="5">
                  <c:v>19.607758270000001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80-43CF-A6E3-BA04B37382CF}"/>
            </c:ext>
          </c:extLst>
        </c:ser>
        <c:ser>
          <c:idx val="1"/>
          <c:order val="2"/>
          <c:tx>
            <c:strRef>
              <c:f>'Figure 1'!$V$3</c:f>
              <c:strCache>
                <c:ptCount val="1"/>
                <c:pt idx="0">
                  <c:v>RCP 6.0</c:v>
                </c:pt>
              </c:strCache>
            </c:strRef>
          </c:tx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18.23406022</c:v>
                </c:pt>
                <c:pt idx="2">
                  <c:v>18.683535670000001</c:v>
                </c:pt>
                <c:pt idx="3">
                  <c:v>19.29096251</c:v>
                </c:pt>
                <c:pt idx="4">
                  <c:v>19.984736860000002</c:v>
                </c:pt>
                <c:pt idx="5">
                  <c:v>20.412206680000001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80-43CF-A6E3-BA04B37382CF}"/>
            </c:ext>
          </c:extLst>
        </c:ser>
        <c:ser>
          <c:idx val="3"/>
          <c:order val="3"/>
          <c:tx>
            <c:strRef>
              <c:f>'Figure 1'!$V$4</c:f>
              <c:strCache>
                <c:ptCount val="1"/>
                <c:pt idx="0">
                  <c:v>RCP 8.5</c:v>
                </c:pt>
              </c:strCache>
            </c:strRef>
          </c:tx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17.947823400000001</c:v>
                </c:pt>
                <c:pt idx="2">
                  <c:v>18.790946000000002</c:v>
                </c:pt>
                <c:pt idx="3">
                  <c:v>19.843035539999999</c:v>
                </c:pt>
                <c:pt idx="4">
                  <c:v>21.022310900000001</c:v>
                </c:pt>
                <c:pt idx="5">
                  <c:v>22.185305060000001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80-43CF-A6E3-BA04B3738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1205142529392602"/>
          <c:y val="0.13439420072490937"/>
          <c:w val="0.20681464821199527"/>
          <c:h val="0.2497647794025746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tx>
            <c:v>Adult population</c:v>
          </c:tx>
          <c:spPr>
            <a:ln w="2222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'RCP26'!$B$2:$B$7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'RCP26'!$N$110:$N$115</c:f>
              <c:numCache>
                <c:formatCode>0.00000</c:formatCode>
                <c:ptCount val="6"/>
                <c:pt idx="0">
                  <c:v>29.685600000000001</c:v>
                </c:pt>
                <c:pt idx="1">
                  <c:v>39.787245945999999</c:v>
                </c:pt>
                <c:pt idx="2">
                  <c:v>47.196387397999992</c:v>
                </c:pt>
                <c:pt idx="3">
                  <c:v>51.584379832999993</c:v>
                </c:pt>
                <c:pt idx="4">
                  <c:v>52.427641221000002</c:v>
                </c:pt>
                <c:pt idx="5">
                  <c:v>49.73893145000001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4A-4C4C-A4F4-5B018961F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5792"/>
        <c:axId val="167306368"/>
      </c:scatterChart>
      <c:valAx>
        <c:axId val="167305792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6368"/>
        <c:crosses val="autoZero"/>
        <c:crossBetween val="midCat"/>
        <c:majorUnit val="20"/>
      </c:valAx>
      <c:valAx>
        <c:axId val="16730636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5792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tx>
            <c:v>Low-skill</c:v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'RCP26'!$B$2:$B$7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'RCP26'!$L$110:$L$115</c:f>
              <c:numCache>
                <c:formatCode>0.00000</c:formatCode>
                <c:ptCount val="6"/>
                <c:pt idx="0">
                  <c:v>11.890499999999999</c:v>
                </c:pt>
                <c:pt idx="1">
                  <c:v>10.53334762993039</c:v>
                </c:pt>
                <c:pt idx="2">
                  <c:v>7.6693701468347113</c:v>
                </c:pt>
                <c:pt idx="3">
                  <c:v>4.8829147897699654</c:v>
                </c:pt>
                <c:pt idx="4">
                  <c:v>2.7963236207692268</c:v>
                </c:pt>
                <c:pt idx="5">
                  <c:v>1.46562105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12-4CDE-B91A-3A4ED77C0220}"/>
            </c:ext>
          </c:extLst>
        </c:ser>
        <c:ser>
          <c:idx val="1"/>
          <c:order val="1"/>
          <c:tx>
            <c:v>High-skilled</c:v>
          </c:tx>
          <c:spPr>
            <a:ln w="25400">
              <a:solidFill>
                <a:srgbClr val="0070C0"/>
              </a:solidFill>
            </a:ln>
          </c:spPr>
          <c:marker>
            <c:symbol val="diamond"/>
            <c:size val="1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'RCP26'!$B$2:$B$7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'RCP26'!$M$110:$M$115</c:f>
              <c:numCache>
                <c:formatCode>0.00000</c:formatCode>
                <c:ptCount val="6"/>
                <c:pt idx="0">
                  <c:v>17.795100000000001</c:v>
                </c:pt>
                <c:pt idx="1">
                  <c:v>29.253898316069609</c:v>
                </c:pt>
                <c:pt idx="2">
                  <c:v>39.527017251165283</c:v>
                </c:pt>
                <c:pt idx="3">
                  <c:v>46.70146504323003</c:v>
                </c:pt>
                <c:pt idx="4">
                  <c:v>49.631317600230773</c:v>
                </c:pt>
                <c:pt idx="5">
                  <c:v>48.273310400000007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12-4CDE-B91A-3A4ED77C0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6576"/>
        <c:axId val="167697152"/>
      </c:scatterChart>
      <c:valAx>
        <c:axId val="16769657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7152"/>
        <c:crosses val="autoZero"/>
        <c:crossBetween val="midCat"/>
        <c:majorUnit val="20"/>
      </c:valAx>
      <c:valAx>
        <c:axId val="16769715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6576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1172723274616715"/>
          <c:y val="0.13226046744156983"/>
          <c:w val="0.22478003110582967"/>
          <c:h val="0.148177477815273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'Figure 1'!$V$1</c:f>
              <c:strCache>
                <c:ptCount val="1"/>
                <c:pt idx="0">
                  <c:v>RCP 2.6</c:v>
                </c:pt>
              </c:strCache>
            </c:strRef>
          </c:tx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18.0549994</c:v>
                </c:pt>
                <c:pt idx="2">
                  <c:v>18.325375709999999</c:v>
                </c:pt>
                <c:pt idx="3">
                  <c:v>18.56457399</c:v>
                </c:pt>
                <c:pt idx="4">
                  <c:v>18.554772239999998</c:v>
                </c:pt>
                <c:pt idx="5">
                  <c:v>18.497632930000002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F-44F7-B56D-79FC740FA761}"/>
            </c:ext>
          </c:extLst>
        </c:ser>
        <c:ser>
          <c:idx val="2"/>
          <c:order val="1"/>
          <c:tx>
            <c:strRef>
              <c:f>'Figure 1'!$V$2</c:f>
              <c:strCache>
                <c:ptCount val="1"/>
                <c:pt idx="0">
                  <c:v>RCP 4.5</c:v>
                </c:pt>
              </c:strCache>
            </c:strRef>
          </c:tx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18.038191579999999</c:v>
                </c:pt>
                <c:pt idx="2">
                  <c:v>18.603739640000001</c:v>
                </c:pt>
                <c:pt idx="3">
                  <c:v>19.164979110000001</c:v>
                </c:pt>
                <c:pt idx="4">
                  <c:v>19.45193622</c:v>
                </c:pt>
                <c:pt idx="5">
                  <c:v>19.607758270000001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9F-44F7-B56D-79FC740FA761}"/>
            </c:ext>
          </c:extLst>
        </c:ser>
        <c:ser>
          <c:idx val="1"/>
          <c:order val="2"/>
          <c:tx>
            <c:strRef>
              <c:f>'Figure 1'!$V$3</c:f>
              <c:strCache>
                <c:ptCount val="1"/>
                <c:pt idx="0">
                  <c:v>RCP 6.0</c:v>
                </c:pt>
              </c:strCache>
            </c:strRef>
          </c:tx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18.23406022</c:v>
                </c:pt>
                <c:pt idx="2">
                  <c:v>18.683535670000001</c:v>
                </c:pt>
                <c:pt idx="3">
                  <c:v>19.29096251</c:v>
                </c:pt>
                <c:pt idx="4">
                  <c:v>19.984736860000002</c:v>
                </c:pt>
                <c:pt idx="5">
                  <c:v>20.412206680000001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9F-44F7-B56D-79FC740FA761}"/>
            </c:ext>
          </c:extLst>
        </c:ser>
        <c:ser>
          <c:idx val="3"/>
          <c:order val="3"/>
          <c:tx>
            <c:strRef>
              <c:f>'Figure 1'!$V$4</c:f>
              <c:strCache>
                <c:ptCount val="1"/>
                <c:pt idx="0">
                  <c:v>RCP 8.5</c:v>
                </c:pt>
              </c:strCache>
            </c:strRef>
          </c:tx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17.947823400000001</c:v>
                </c:pt>
                <c:pt idx="2">
                  <c:v>18.790946000000002</c:v>
                </c:pt>
                <c:pt idx="3">
                  <c:v>19.843035539999999</c:v>
                </c:pt>
                <c:pt idx="4">
                  <c:v>21.022310900000001</c:v>
                </c:pt>
                <c:pt idx="5">
                  <c:v>22.185305060000001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9F-44F7-B56D-79FC740FA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1205142529392602"/>
          <c:y val="0.13439420072490937"/>
          <c:w val="0.20681464821199527"/>
          <c:h val="0.2497647794025746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1"/>
          <c:order val="0"/>
          <c:tx>
            <c:v>High-skilled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'RCP26'!$B$2:$B$7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'RCP26'!$N$110:$N$115</c:f>
              <c:numCache>
                <c:formatCode>0.00000</c:formatCode>
                <c:ptCount val="6"/>
                <c:pt idx="0">
                  <c:v>29.685600000000001</c:v>
                </c:pt>
                <c:pt idx="1">
                  <c:v>39.787245945999999</c:v>
                </c:pt>
                <c:pt idx="2">
                  <c:v>47.196387397999992</c:v>
                </c:pt>
                <c:pt idx="3">
                  <c:v>51.584379832999993</c:v>
                </c:pt>
                <c:pt idx="4">
                  <c:v>52.427641221000002</c:v>
                </c:pt>
                <c:pt idx="5">
                  <c:v>49.73893145000001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28-4620-9B9B-658C336B8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6576"/>
        <c:axId val="167697152"/>
      </c:scatterChart>
      <c:valAx>
        <c:axId val="16769657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7152"/>
        <c:crosses val="autoZero"/>
        <c:crossBetween val="midCat"/>
        <c:majorUnit val="20"/>
      </c:valAx>
      <c:valAx>
        <c:axId val="16769715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6576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82760840143247"/>
          <c:y val="5.8801399825021874E-2"/>
          <c:w val="0.78775699739751326"/>
          <c:h val="0.8834525684289462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'RCP26'!$B$110:$B$115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'RCP26'!$J$110:$J$115</c:f>
              <c:numCache>
                <c:formatCode>General</c:formatCode>
                <c:ptCount val="6"/>
                <c:pt idx="0">
                  <c:v>1.0904497693689885</c:v>
                </c:pt>
                <c:pt idx="1">
                  <c:v>1.0904497693689885</c:v>
                </c:pt>
                <c:pt idx="2">
                  <c:v>1.0904497693689885</c:v>
                </c:pt>
                <c:pt idx="3">
                  <c:v>1.0904497693689885</c:v>
                </c:pt>
                <c:pt idx="4">
                  <c:v>1.0904497693689885</c:v>
                </c:pt>
                <c:pt idx="5">
                  <c:v>1.0904497693689885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D2-43D8-906D-18068E124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'Figure 2'!$AD$3</c15:sqref>
                        </c15:formulaRef>
                      </c:ext>
                    </c:extLst>
                    <c:strCache>
                      <c:ptCount val="1"/>
                      <c:pt idx="0">
                        <c:v>RCP4.5</c:v>
                      </c:pt>
                    </c:strCache>
                  </c:strRef>
                </c:tx>
                <c:spPr>
                  <a:ln w="31750">
                    <a:solidFill>
                      <a:srgbClr val="C00000"/>
                    </a:solidFill>
                    <a:prstDash val="sysDot"/>
                  </a:ln>
                </c:spPr>
                <c:marker>
                  <c:symbol val="triangle"/>
                  <c:size val="10"/>
                  <c:spPr>
                    <a:solidFill>
                      <a:srgbClr val="C00000"/>
                    </a:solidFill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'RCP45'!$B$110:$B$115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'RCP45'!$J$110:$J$115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1.0904497693689885</c:v>
                      </c:pt>
                      <c:pt idx="1">
                        <c:v>1.0904497693689885</c:v>
                      </c:pt>
                      <c:pt idx="2">
                        <c:v>1.0904497693689885</c:v>
                      </c:pt>
                      <c:pt idx="3">
                        <c:v>1.0904497693689885</c:v>
                      </c:pt>
                      <c:pt idx="4">
                        <c:v>1.0904497693689885</c:v>
                      </c:pt>
                      <c:pt idx="5">
                        <c:v>1.0904497693689885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38D2-43D8-906D-18068E12495F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2'!$AD$4</c15:sqref>
                        </c15:formulaRef>
                      </c:ext>
                    </c:extLst>
                    <c:strCache>
                      <c:ptCount val="1"/>
                      <c:pt idx="0">
                        <c:v>RCP6.0</c:v>
                      </c:pt>
                    </c:strCache>
                  </c:strRef>
                </c:tx>
                <c:spPr>
                  <a:ln w="31750">
                    <a:solidFill>
                      <a:schemeClr val="accent4">
                        <a:lumMod val="75000"/>
                      </a:schemeClr>
                    </a:solidFill>
                    <a:prstDash val="sysDash"/>
                  </a:ln>
                </c:spPr>
                <c:marker>
                  <c:symbol val="square"/>
                  <c:size val="10"/>
                  <c:spPr>
                    <a:solidFill>
                      <a:schemeClr val="accent4">
                        <a:lumMod val="75000"/>
                      </a:schemeClr>
                    </a:solidFill>
                    <a:ln>
                      <a:solidFill>
                        <a:schemeClr val="accent4">
                          <a:lumMod val="7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'RCP60'!$J$110:$J$115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1.0904497693689885</c:v>
                      </c:pt>
                      <c:pt idx="1">
                        <c:v>1.0904497693689885</c:v>
                      </c:pt>
                      <c:pt idx="2">
                        <c:v>1.0904497693689885</c:v>
                      </c:pt>
                      <c:pt idx="3">
                        <c:v>1.0904497693689885</c:v>
                      </c:pt>
                      <c:pt idx="4">
                        <c:v>1.0904497693689885</c:v>
                      </c:pt>
                      <c:pt idx="5">
                        <c:v>1.0904497693689885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8D2-43D8-906D-18068E12495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2'!$AD$5</c15:sqref>
                        </c15:formulaRef>
                      </c:ext>
                    </c:extLst>
                    <c:strCache>
                      <c:ptCount val="1"/>
                      <c:pt idx="0">
                        <c:v>RCP8.5</c:v>
                      </c:pt>
                    </c:strCache>
                  </c:strRef>
                </c:tx>
                <c:spPr>
                  <a:ln w="31750">
                    <a:solidFill>
                      <a:srgbClr val="0070C0"/>
                    </a:solidFill>
                    <a:prstDash val="dash"/>
                  </a:ln>
                </c:spPr>
                <c:marker>
                  <c:symbol val="x"/>
                  <c:size val="10"/>
                  <c:spPr>
                    <a:ln>
                      <a:solidFill>
                        <a:srgbClr val="0070C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'RCP85'!$J$110:$J$115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1.0904497693689885</c:v>
                      </c:pt>
                      <c:pt idx="1">
                        <c:v>1.0904497693689885</c:v>
                      </c:pt>
                      <c:pt idx="2">
                        <c:v>1.0904497693689885</c:v>
                      </c:pt>
                      <c:pt idx="3">
                        <c:v>1.0904497693689885</c:v>
                      </c:pt>
                      <c:pt idx="4">
                        <c:v>1.0904497693689885</c:v>
                      </c:pt>
                      <c:pt idx="5">
                        <c:v>1.0904497693689885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D2-43D8-906D-18068E12495F}"/>
                  </c:ext>
                </c:extLst>
              </c15:ser>
            </c15:filteredScatterSeries>
          </c:ext>
        </c:extLst>
      </c:scatterChart>
      <c:valAx>
        <c:axId val="167308096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low"/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2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5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18791034426695"/>
          <c:y val="5.5626796650418697E-2"/>
          <c:w val="0.80179771457225602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'RCP26'!$B$110:$B$115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'RCP26'!$F$110:$F$115</c:f>
              <c:numCache>
                <c:formatCode>0.0000</c:formatCode>
                <c:ptCount val="6"/>
                <c:pt idx="0">
                  <c:v>1.0353055437773875</c:v>
                </c:pt>
                <c:pt idx="1">
                  <c:v>1.0353055437773875</c:v>
                </c:pt>
                <c:pt idx="2">
                  <c:v>1.0353055437773875</c:v>
                </c:pt>
                <c:pt idx="3">
                  <c:v>1.0353055437773875</c:v>
                </c:pt>
                <c:pt idx="4">
                  <c:v>1.0353055437773875</c:v>
                </c:pt>
                <c:pt idx="5">
                  <c:v>1.0353055437773875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B-4D5E-894A-933060697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'Figure 2'!$AD$3</c15:sqref>
                        </c15:formulaRef>
                      </c:ext>
                    </c:extLst>
                    <c:strCache>
                      <c:ptCount val="1"/>
                      <c:pt idx="0">
                        <c:v>RCP4.5</c:v>
                      </c:pt>
                    </c:strCache>
                  </c:strRef>
                </c:tx>
                <c:spPr>
                  <a:ln w="31750">
                    <a:solidFill>
                      <a:srgbClr val="C00000"/>
                    </a:solidFill>
                    <a:prstDash val="sysDot"/>
                  </a:ln>
                </c:spPr>
                <c:marker>
                  <c:symbol val="triangle"/>
                  <c:size val="10"/>
                  <c:spPr>
                    <a:solidFill>
                      <a:srgbClr val="C00000"/>
                    </a:solidFill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'RCP45'!$B$110:$B$115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'RCP45'!$F$110:$F$115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1.0353055437773875</c:v>
                      </c:pt>
                      <c:pt idx="1">
                        <c:v>1.0353055437773875</c:v>
                      </c:pt>
                      <c:pt idx="2">
                        <c:v>1.0353055437773875</c:v>
                      </c:pt>
                      <c:pt idx="3">
                        <c:v>1.0353055437773875</c:v>
                      </c:pt>
                      <c:pt idx="4">
                        <c:v>1.0353055437773875</c:v>
                      </c:pt>
                      <c:pt idx="5">
                        <c:v>1.0353055437773875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F4FB-4D5E-894A-933060697DA1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2'!$AD$4</c15:sqref>
                        </c15:formulaRef>
                      </c:ext>
                    </c:extLst>
                    <c:strCache>
                      <c:ptCount val="1"/>
                      <c:pt idx="0">
                        <c:v>RCP6.0</c:v>
                      </c:pt>
                    </c:strCache>
                  </c:strRef>
                </c:tx>
                <c:spPr>
                  <a:ln w="31750">
                    <a:solidFill>
                      <a:schemeClr val="accent4">
                        <a:lumMod val="75000"/>
                      </a:schemeClr>
                    </a:solidFill>
                    <a:prstDash val="sysDash"/>
                  </a:ln>
                </c:spPr>
                <c:marker>
                  <c:symbol val="square"/>
                  <c:size val="10"/>
                  <c:spPr>
                    <a:solidFill>
                      <a:schemeClr val="accent4">
                        <a:lumMod val="75000"/>
                      </a:schemeClr>
                    </a:solidFill>
                    <a:ln>
                      <a:solidFill>
                        <a:schemeClr val="accent4">
                          <a:lumMod val="7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'RCP60'!$F$110:$F$115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1.0353055437773875</c:v>
                      </c:pt>
                      <c:pt idx="1">
                        <c:v>1.0353055437773875</c:v>
                      </c:pt>
                      <c:pt idx="2">
                        <c:v>1.0353055437773875</c:v>
                      </c:pt>
                      <c:pt idx="3">
                        <c:v>1.0353055437773875</c:v>
                      </c:pt>
                      <c:pt idx="4">
                        <c:v>1.0353055437773875</c:v>
                      </c:pt>
                      <c:pt idx="5">
                        <c:v>1.0353055437773875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4FB-4D5E-894A-933060697DA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2'!$AD$5</c15:sqref>
                        </c15:formulaRef>
                      </c:ext>
                    </c:extLst>
                    <c:strCache>
                      <c:ptCount val="1"/>
                      <c:pt idx="0">
                        <c:v>RCP8.5</c:v>
                      </c:pt>
                    </c:strCache>
                  </c:strRef>
                </c:tx>
                <c:spPr>
                  <a:ln w="31750">
                    <a:solidFill>
                      <a:srgbClr val="0070C0"/>
                    </a:solidFill>
                    <a:prstDash val="dash"/>
                  </a:ln>
                </c:spPr>
                <c:marker>
                  <c:symbol val="x"/>
                  <c:size val="10"/>
                  <c:spPr>
                    <a:ln>
                      <a:solidFill>
                        <a:srgbClr val="0070C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'RCP85'!$F$110:$F$115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1.0353055437773875</c:v>
                      </c:pt>
                      <c:pt idx="1">
                        <c:v>1.0353055437773875</c:v>
                      </c:pt>
                      <c:pt idx="2">
                        <c:v>1.0353055437773875</c:v>
                      </c:pt>
                      <c:pt idx="3">
                        <c:v>1.0353055437773875</c:v>
                      </c:pt>
                      <c:pt idx="4">
                        <c:v>1.0353055437773875</c:v>
                      </c:pt>
                      <c:pt idx="5">
                        <c:v>1.0353055437773875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4FB-4D5E-894A-933060697DA1}"/>
                  </c:ext>
                </c:extLst>
              </c15:ser>
            </c15:filteredScatterSeries>
          </c:ext>
        </c:extLst>
      </c:scatterChart>
      <c:valAx>
        <c:axId val="168272448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low"/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2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5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662717160354942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'RCP26'!$B$110:$B$115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'RCP26'!$P$110:$P$115</c:f>
              <c:numCache>
                <c:formatCode>0.00000</c:formatCode>
                <c:ptCount val="6"/>
                <c:pt idx="0">
                  <c:v>1.4965813044026746</c:v>
                </c:pt>
                <c:pt idx="1">
                  <c:v>2.7772650579712175</c:v>
                </c:pt>
                <c:pt idx="2">
                  <c:v>5.1538805005361237</c:v>
                </c:pt>
                <c:pt idx="3">
                  <c:v>9.5642596797045769</c:v>
                </c:pt>
                <c:pt idx="4">
                  <c:v>17.748774580882717</c:v>
                </c:pt>
                <c:pt idx="5">
                  <c:v>32.937102261188187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E0-4ED1-85E4-0682D0F23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'Figure 2'!$AD$3</c15:sqref>
                        </c15:formulaRef>
                      </c:ext>
                    </c:extLst>
                    <c:strCache>
                      <c:ptCount val="1"/>
                      <c:pt idx="0">
                        <c:v>RCP4.5</c:v>
                      </c:pt>
                    </c:strCache>
                  </c:strRef>
                </c:tx>
                <c:spPr>
                  <a:ln w="31750">
                    <a:solidFill>
                      <a:srgbClr val="C00000"/>
                    </a:solidFill>
                    <a:prstDash val="sysDot"/>
                  </a:ln>
                </c:spPr>
                <c:marker>
                  <c:symbol val="triangle"/>
                  <c:size val="10"/>
                  <c:spPr>
                    <a:solidFill>
                      <a:srgbClr val="C00000"/>
                    </a:solidFill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'RCP45'!$B$110:$B$115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'RCP45'!$P$110:$P$115</c15:sqref>
                        </c15:formulaRef>
                      </c:ext>
                    </c:extLst>
                    <c:numCache>
                      <c:formatCode>0.00000</c:formatCode>
                      <c:ptCount val="6"/>
                      <c:pt idx="0">
                        <c:v>1.4965813044026746</c:v>
                      </c:pt>
                      <c:pt idx="1">
                        <c:v>2.7772650579712175</c:v>
                      </c:pt>
                      <c:pt idx="2">
                        <c:v>5.1538805005361237</c:v>
                      </c:pt>
                      <c:pt idx="3">
                        <c:v>9.5642596797045769</c:v>
                      </c:pt>
                      <c:pt idx="4">
                        <c:v>17.748774580882717</c:v>
                      </c:pt>
                      <c:pt idx="5">
                        <c:v>32.937102261188187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E5E0-4ED1-85E4-0682D0F238FF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2'!$AD$4</c15:sqref>
                        </c15:formulaRef>
                      </c:ext>
                    </c:extLst>
                    <c:strCache>
                      <c:ptCount val="1"/>
                      <c:pt idx="0">
                        <c:v>RCP6.0</c:v>
                      </c:pt>
                    </c:strCache>
                  </c:strRef>
                </c:tx>
                <c:spPr>
                  <a:ln w="31750">
                    <a:solidFill>
                      <a:schemeClr val="accent4">
                        <a:lumMod val="75000"/>
                      </a:schemeClr>
                    </a:solidFill>
                    <a:prstDash val="sysDash"/>
                  </a:ln>
                </c:spPr>
                <c:marker>
                  <c:symbol val="square"/>
                  <c:size val="10"/>
                  <c:spPr>
                    <a:solidFill>
                      <a:schemeClr val="accent4">
                        <a:lumMod val="75000"/>
                      </a:schemeClr>
                    </a:solidFill>
                    <a:ln>
                      <a:solidFill>
                        <a:schemeClr val="accent4">
                          <a:lumMod val="7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'RCP60'!$P$110:$P$115</c15:sqref>
                        </c15:formulaRef>
                      </c:ext>
                    </c:extLst>
                    <c:numCache>
                      <c:formatCode>0.00000</c:formatCode>
                      <c:ptCount val="6"/>
                      <c:pt idx="0">
                        <c:v>1.4965813044026746</c:v>
                      </c:pt>
                      <c:pt idx="1">
                        <c:v>2.7772650579712175</c:v>
                      </c:pt>
                      <c:pt idx="2">
                        <c:v>5.1538805005361237</c:v>
                      </c:pt>
                      <c:pt idx="3">
                        <c:v>9.5642596797045769</c:v>
                      </c:pt>
                      <c:pt idx="4">
                        <c:v>17.748774580882717</c:v>
                      </c:pt>
                      <c:pt idx="5">
                        <c:v>32.937102261188187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5E0-4ED1-85E4-0682D0F238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2'!$AD$5</c15:sqref>
                        </c15:formulaRef>
                      </c:ext>
                    </c:extLst>
                    <c:strCache>
                      <c:ptCount val="1"/>
                      <c:pt idx="0">
                        <c:v>RCP8.5</c:v>
                      </c:pt>
                    </c:strCache>
                  </c:strRef>
                </c:tx>
                <c:spPr>
                  <a:ln w="31750">
                    <a:solidFill>
                      <a:srgbClr val="0070C0"/>
                    </a:solidFill>
                    <a:prstDash val="dash"/>
                  </a:ln>
                </c:spPr>
                <c:marker>
                  <c:symbol val="x"/>
                  <c:size val="10"/>
                  <c:spPr>
                    <a:ln>
                      <a:solidFill>
                        <a:srgbClr val="0070C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'RCP85'!$P$110:$P$115</c15:sqref>
                        </c15:formulaRef>
                      </c:ext>
                    </c:extLst>
                    <c:numCache>
                      <c:formatCode>0.00000</c:formatCode>
                      <c:ptCount val="6"/>
                      <c:pt idx="0">
                        <c:v>1.4965813044026746</c:v>
                      </c:pt>
                      <c:pt idx="1">
                        <c:v>2.7772650579712175</c:v>
                      </c:pt>
                      <c:pt idx="2">
                        <c:v>5.1538805005361237</c:v>
                      </c:pt>
                      <c:pt idx="3">
                        <c:v>9.5642596797045769</c:v>
                      </c:pt>
                      <c:pt idx="4">
                        <c:v>17.748774580882717</c:v>
                      </c:pt>
                      <c:pt idx="5">
                        <c:v>32.937102261188187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5E0-4ED1-85E4-0682D0F238FF}"/>
                  </c:ext>
                </c:extLst>
              </c15:ser>
            </c15:filteredScatterSeries>
          </c:ext>
        </c:extLst>
      </c:scatterChart>
      <c:valAx>
        <c:axId val="167308096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low"/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4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10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8801399825021874E-2"/>
          <c:w val="0.80408691751425154"/>
          <c:h val="0.8834525684289462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'RCP26'!$K$116:$K$121</c:f>
              <c:numCache>
                <c:formatCode>0.00%</c:formatCode>
                <c:ptCount val="6"/>
                <c:pt idx="0">
                  <c:v>0</c:v>
                </c:pt>
                <c:pt idx="1">
                  <c:v>-3.0944970435072112E-2</c:v>
                </c:pt>
                <c:pt idx="2">
                  <c:v>-4.3568091554011854E-2</c:v>
                </c:pt>
                <c:pt idx="3">
                  <c:v>-5.387757038950701E-2</c:v>
                </c:pt>
                <c:pt idx="4">
                  <c:v>-5.3470238717786854E-2</c:v>
                </c:pt>
                <c:pt idx="5">
                  <c:v>-5.1070358004832506E-2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A6-488E-A8D6-7DB5674F130B}"/>
            </c:ext>
          </c:extLst>
        </c:ser>
        <c:ser>
          <c:idx val="0"/>
          <c:order val="1"/>
          <c:tx>
            <c:strRef>
              <c:f>'Figure 2'!$AD$3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'RCP45'!$K$116:$K$121</c:f>
              <c:numCache>
                <c:formatCode>0.00%</c:formatCode>
                <c:ptCount val="6"/>
                <c:pt idx="0">
                  <c:v>0</c:v>
                </c:pt>
                <c:pt idx="1">
                  <c:v>-3.0124584563925538E-2</c:v>
                </c:pt>
                <c:pt idx="2">
                  <c:v>-5.5492589086567297E-2</c:v>
                </c:pt>
                <c:pt idx="3">
                  <c:v>-7.6531546467222392E-2</c:v>
                </c:pt>
                <c:pt idx="4">
                  <c:v>-8.5870119671736661E-2</c:v>
                </c:pt>
                <c:pt idx="5">
                  <c:v>-9.0567413011318265E-2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A6-488E-A8D6-7DB5674F130B}"/>
            </c:ext>
          </c:extLst>
        </c:ser>
        <c:ser>
          <c:idx val="3"/>
          <c:order val="2"/>
          <c:tx>
            <c:strRef>
              <c:f>'Figure 2'!$AD$4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'RCP60'!$K$116:$K$121</c:f>
              <c:numCache>
                <c:formatCode>0.00%</c:formatCode>
                <c:ptCount val="6"/>
                <c:pt idx="0">
                  <c:v>0</c:v>
                </c:pt>
                <c:pt idx="1">
                  <c:v>-3.9423444559396635E-2</c:v>
                </c:pt>
                <c:pt idx="2">
                  <c:v>-5.8721392170607879E-2</c:v>
                </c:pt>
                <c:pt idx="3">
                  <c:v>-8.0743720954520579E-2</c:v>
                </c:pt>
                <c:pt idx="4">
                  <c:v>-0.10089969638479281</c:v>
                </c:pt>
                <c:pt idx="5">
                  <c:v>-0.11094367550193118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A6-488E-A8D6-7DB5674F130B}"/>
            </c:ext>
          </c:extLst>
        </c:ser>
        <c:ser>
          <c:idx val="1"/>
          <c:order val="3"/>
          <c:tx>
            <c:strRef>
              <c:f>'Figure 2'!$AD$5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'RCP85'!$K$116:$K$121</c:f>
              <c:numCache>
                <c:formatCode>0.00%</c:formatCode>
                <c:ptCount val="6"/>
                <c:pt idx="0">
                  <c:v>0</c:v>
                </c:pt>
                <c:pt idx="1">
                  <c:v>-2.5639513055481129E-2</c:v>
                </c:pt>
                <c:pt idx="2">
                  <c:v>-6.2939465059373645E-2</c:v>
                </c:pt>
                <c:pt idx="3">
                  <c:v>-9.718315935993227E-2</c:v>
                </c:pt>
                <c:pt idx="4">
                  <c:v>-0.12240213852676039</c:v>
                </c:pt>
                <c:pt idx="5">
                  <c:v>-0.13549876778992762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A6-488E-A8D6-7DB5674F1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15000000000000002"/>
          <c:min val="-0.1500000000000000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3901952312690155"/>
          <c:y val="5.2367954005749263E-2"/>
          <c:w val="0.24291245045677373"/>
          <c:h val="0.38732758405199358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'RCP26'!$G$116:$G$121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58-495D-A6CA-2664E54DBC01}"/>
            </c:ext>
          </c:extLst>
        </c:ser>
        <c:ser>
          <c:idx val="0"/>
          <c:order val="1"/>
          <c:tx>
            <c:strRef>
              <c:f>'Figure 2'!$AD$3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'RCP45'!$G$116:$G$121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58-495D-A6CA-2664E54DBC01}"/>
            </c:ext>
          </c:extLst>
        </c:ser>
        <c:ser>
          <c:idx val="3"/>
          <c:order val="2"/>
          <c:tx>
            <c:strRef>
              <c:f>'Figure 2'!$AD$4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'RCP60'!$G$116:$G$121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58-495D-A6CA-2664E54DBC01}"/>
            </c:ext>
          </c:extLst>
        </c:ser>
        <c:ser>
          <c:idx val="1"/>
          <c:order val="3"/>
          <c:tx>
            <c:strRef>
              <c:f>'Figure 2'!$AD$5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'RCP85'!$G$116:$G$121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58-495D-A6CA-2664E54DB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15000000000000002"/>
          <c:min val="-0.1500000000000000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662717160354942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'RCP26'!$Q$116:$Q$121</c:f>
              <c:numCache>
                <c:formatCode>0.00%</c:formatCode>
                <c:ptCount val="6"/>
                <c:pt idx="0">
                  <c:v>0</c:v>
                </c:pt>
                <c:pt idx="1">
                  <c:v>7.889428477677176E-3</c:v>
                </c:pt>
                <c:pt idx="2">
                  <c:v>1.1198660979092195E-2</c:v>
                </c:pt>
                <c:pt idx="3">
                  <c:v>1.3942122388668949E-2</c:v>
                </c:pt>
                <c:pt idx="4">
                  <c:v>1.3833019266836361E-2</c:v>
                </c:pt>
                <c:pt idx="5">
                  <c:v>1.3191404462563377E-2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3B-44E4-9B3D-4FB3682C46E2}"/>
            </c:ext>
          </c:extLst>
        </c:ser>
        <c:ser>
          <c:idx val="0"/>
          <c:order val="1"/>
          <c:tx>
            <c:strRef>
              <c:f>'Figure 2'!$AD$3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'RCP45'!$Q$116:$Q$121</c:f>
              <c:numCache>
                <c:formatCode>0.00%</c:formatCode>
                <c:ptCount val="6"/>
                <c:pt idx="0">
                  <c:v>0</c:v>
                </c:pt>
                <c:pt idx="1">
                  <c:v>7.6762256676174293E-3</c:v>
                </c:pt>
                <c:pt idx="2">
                  <c:v>1.4375281117971839E-2</c:v>
                </c:pt>
                <c:pt idx="3">
                  <c:v>2.0104078567873569E-2</c:v>
                </c:pt>
                <c:pt idx="4">
                  <c:v>2.2699453185071508E-2</c:v>
                </c:pt>
                <c:pt idx="5">
                  <c:v>2.4017484503781036E-2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3B-44E4-9B3D-4FB3682C46E2}"/>
            </c:ext>
          </c:extLst>
        </c:ser>
        <c:ser>
          <c:idx val="3"/>
          <c:order val="2"/>
          <c:tx>
            <c:strRef>
              <c:f>'Figure 2'!$AD$4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'RCP60'!$Q$116:$Q$121</c:f>
              <c:numCache>
                <c:formatCode>0.00%</c:formatCode>
                <c:ptCount val="6"/>
                <c:pt idx="0">
                  <c:v>0</c:v>
                </c:pt>
                <c:pt idx="1">
                  <c:v>1.0106124456742709E-2</c:v>
                </c:pt>
                <c:pt idx="2">
                  <c:v>1.5244049776424306E-2</c:v>
                </c:pt>
                <c:pt idx="3">
                  <c:v>2.1270644633905041E-2</c:v>
                </c:pt>
                <c:pt idx="4">
                  <c:v>2.6946842448227461E-2</c:v>
                </c:pt>
                <c:pt idx="5">
                  <c:v>2.9835079142103843E-2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3B-44E4-9B3D-4FB3682C46E2}"/>
            </c:ext>
          </c:extLst>
        </c:ser>
        <c:ser>
          <c:idx val="1"/>
          <c:order val="3"/>
          <c:tx>
            <c:strRef>
              <c:f>'Figure 2'!$AD$5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'RCP85'!$Q$116:$Q$121</c:f>
              <c:numCache>
                <c:formatCode>0.00%</c:formatCode>
                <c:ptCount val="6"/>
                <c:pt idx="0">
                  <c:v>0</c:v>
                </c:pt>
                <c:pt idx="1">
                  <c:v>6.5146118750006509E-3</c:v>
                </c:pt>
                <c:pt idx="2">
                  <c:v>1.6384628061217089E-2</c:v>
                </c:pt>
                <c:pt idx="3">
                  <c:v>2.5888324292982514E-2</c:v>
                </c:pt>
                <c:pt idx="4">
                  <c:v>3.318028617821072E-2</c:v>
                </c:pt>
                <c:pt idx="5">
                  <c:v>3.7071252520901127E-2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3B-44E4-9B3D-4FB3682C4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4.0000000000000008E-2"/>
          <c:min val="-4.0000000000000008E-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2.0000000000000004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8801399825021874E-2"/>
          <c:w val="0.80408691751425154"/>
          <c:h val="0.8834525684289462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'RCP26'!$K$122:$K$127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E9-4A5E-A50E-83B68CA9C8A0}"/>
            </c:ext>
          </c:extLst>
        </c:ser>
        <c:ser>
          <c:idx val="0"/>
          <c:order val="1"/>
          <c:tx>
            <c:strRef>
              <c:f>'Figure 2'!$AD$3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'RCP45'!$K$122:$K$127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E9-4A5E-A50E-83B68CA9C8A0}"/>
            </c:ext>
          </c:extLst>
        </c:ser>
        <c:ser>
          <c:idx val="3"/>
          <c:order val="2"/>
          <c:tx>
            <c:strRef>
              <c:f>'Figure 2'!$AD$4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'RCP60'!$K$122:$K$127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E9-4A5E-A50E-83B68CA9C8A0}"/>
            </c:ext>
          </c:extLst>
        </c:ser>
        <c:ser>
          <c:idx val="1"/>
          <c:order val="3"/>
          <c:tx>
            <c:strRef>
              <c:f>'Figure 2'!$AD$5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'RCP85'!$K$122:$K$127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E9-4A5E-A50E-83B68CA9C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15000000000000002"/>
          <c:min val="-0.1500000000000000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'RCP26'!$G$122:$G$127</c:f>
              <c:numCache>
                <c:formatCode>0.00%</c:formatCode>
                <c:ptCount val="6"/>
                <c:pt idx="0">
                  <c:v>0</c:v>
                </c:pt>
                <c:pt idx="1">
                  <c:v>9.3555708346476588E-3</c:v>
                </c:pt>
                <c:pt idx="2">
                  <c:v>1.9086856965338912E-2</c:v>
                </c:pt>
                <c:pt idx="3">
                  <c:v>2.4096696808591622E-2</c:v>
                </c:pt>
                <c:pt idx="4">
                  <c:v>2.4096696808591622E-2</c:v>
                </c:pt>
                <c:pt idx="5">
                  <c:v>1.9086856965338912E-2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B-4CCB-A106-F95BA3E36BD6}"/>
            </c:ext>
          </c:extLst>
        </c:ser>
        <c:ser>
          <c:idx val="0"/>
          <c:order val="1"/>
          <c:tx>
            <c:strRef>
              <c:f>'Figure 2'!$AD$3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'RCP45'!$G$122:$G$127</c:f>
              <c:numCache>
                <c:formatCode>0.00%</c:formatCode>
                <c:ptCount val="6"/>
                <c:pt idx="0">
                  <c:v>0</c:v>
                </c:pt>
                <c:pt idx="1">
                  <c:v>9.3555708346476588E-3</c:v>
                </c:pt>
                <c:pt idx="2">
                  <c:v>2.4096696808591622E-2</c:v>
                </c:pt>
                <c:pt idx="3">
                  <c:v>3.4405188868959567E-2</c:v>
                </c:pt>
                <c:pt idx="4">
                  <c:v>4.5111940516758341E-2</c:v>
                </c:pt>
                <c:pt idx="5">
                  <c:v>4.5111940516758341E-2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2B-4CCB-A106-F95BA3E36BD6}"/>
            </c:ext>
          </c:extLst>
        </c:ser>
        <c:ser>
          <c:idx val="3"/>
          <c:order val="2"/>
          <c:tx>
            <c:strRef>
              <c:f>'Figure 2'!$AD$4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'RCP60'!$G$122:$G$127</c:f>
              <c:numCache>
                <c:formatCode>0.00%</c:formatCode>
                <c:ptCount val="6"/>
                <c:pt idx="0">
                  <c:v>0</c:v>
                </c:pt>
                <c:pt idx="1">
                  <c:v>1.4173630214615944E-2</c:v>
                </c:pt>
                <c:pt idx="2">
                  <c:v>2.4096696808591622E-2</c:v>
                </c:pt>
                <c:pt idx="3">
                  <c:v>3.9709373659712145E-2</c:v>
                </c:pt>
                <c:pt idx="4">
                  <c:v>5.623008366486007E-2</c:v>
                </c:pt>
                <c:pt idx="5">
                  <c:v>6.7764881006685554E-2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2B-4CCB-A106-F95BA3E36BD6}"/>
            </c:ext>
          </c:extLst>
        </c:ser>
        <c:ser>
          <c:idx val="1"/>
          <c:order val="3"/>
          <c:tx>
            <c:strRef>
              <c:f>'Figure 2'!$AD$5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'RCP85'!$G$122:$G$127</c:f>
              <c:numCache>
                <c:formatCode>0.00%</c:formatCode>
                <c:ptCount val="6"/>
                <c:pt idx="0">
                  <c:v>0</c:v>
                </c:pt>
                <c:pt idx="1">
                  <c:v>9.3555708346476588E-3</c:v>
                </c:pt>
                <c:pt idx="2">
                  <c:v>2.9200362067923341E-2</c:v>
                </c:pt>
                <c:pt idx="3">
                  <c:v>5.0618699966877567E-2</c:v>
                </c:pt>
                <c:pt idx="4">
                  <c:v>7.9728485929763449E-2</c:v>
                </c:pt>
                <c:pt idx="5">
                  <c:v>0.11832462375491236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2B-4CCB-A106-F95BA3E36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15000000000000002"/>
          <c:min val="-0.1500000000000000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662717160354942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'RCP26'!$Q$122:$Q$127</c:f>
              <c:numCache>
                <c:formatCode>0.00%</c:formatCode>
                <c:ptCount val="6"/>
                <c:pt idx="0">
                  <c:v>0</c:v>
                </c:pt>
                <c:pt idx="1">
                  <c:v>-2.3253118976506158E-3</c:v>
                </c:pt>
                <c:pt idx="2">
                  <c:v>-4.715593526935455E-3</c:v>
                </c:pt>
                <c:pt idx="3">
                  <c:v>-5.935055716963589E-3</c:v>
                </c:pt>
                <c:pt idx="4">
                  <c:v>-5.9350557169634511E-3</c:v>
                </c:pt>
                <c:pt idx="5">
                  <c:v>-4.7155935269354047E-3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2-4D2F-9634-3894A00C6BAF}"/>
            </c:ext>
          </c:extLst>
        </c:ser>
        <c:ser>
          <c:idx val="0"/>
          <c:order val="1"/>
          <c:tx>
            <c:strRef>
              <c:f>'Figure 2'!$AD$3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'RCP45'!$Q$122:$Q$127</c:f>
              <c:numCache>
                <c:formatCode>0.00%</c:formatCode>
                <c:ptCount val="6"/>
                <c:pt idx="0">
                  <c:v>0</c:v>
                </c:pt>
                <c:pt idx="1">
                  <c:v>-2.3253118976506158E-3</c:v>
                </c:pt>
                <c:pt idx="2">
                  <c:v>-5.9350557169636836E-3</c:v>
                </c:pt>
                <c:pt idx="3">
                  <c:v>-8.4209843856600519E-3</c:v>
                </c:pt>
                <c:pt idx="4">
                  <c:v>-1.0970381566495267E-2</c:v>
                </c:pt>
                <c:pt idx="5">
                  <c:v>-1.0970381566495269E-2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D2-4D2F-9634-3894A00C6BAF}"/>
            </c:ext>
          </c:extLst>
        </c:ser>
        <c:ser>
          <c:idx val="3"/>
          <c:order val="2"/>
          <c:tx>
            <c:strRef>
              <c:f>'Figure 2'!$AD$4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'RCP60'!$Q$122:$Q$127</c:f>
              <c:numCache>
                <c:formatCode>0.00%</c:formatCode>
                <c:ptCount val="6"/>
                <c:pt idx="0">
                  <c:v>0</c:v>
                </c:pt>
                <c:pt idx="1">
                  <c:v>-3.5123480897211626E-3</c:v>
                </c:pt>
                <c:pt idx="2">
                  <c:v>-5.9350557169636836E-3</c:v>
                </c:pt>
                <c:pt idx="3">
                  <c:v>-9.6880717341255463E-3</c:v>
                </c:pt>
                <c:pt idx="4">
                  <c:v>-1.3583412380962171E-2</c:v>
                </c:pt>
                <c:pt idx="5">
                  <c:v>-1.6258275867680236E-2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D2-4D2F-9634-3894A00C6BAF}"/>
            </c:ext>
          </c:extLst>
        </c:ser>
        <c:ser>
          <c:idx val="1"/>
          <c:order val="3"/>
          <c:tx>
            <c:strRef>
              <c:f>'Figure 2'!$AD$5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'RCP85'!$Q$122:$Q$127</c:f>
              <c:numCache>
                <c:formatCode>0.00%</c:formatCode>
                <c:ptCount val="6"/>
                <c:pt idx="0">
                  <c:v>0</c:v>
                </c:pt>
                <c:pt idx="1">
                  <c:v>-2.3253118976506158E-3</c:v>
                </c:pt>
                <c:pt idx="2">
                  <c:v>-7.1697124003580106E-3</c:v>
                </c:pt>
                <c:pt idx="3">
                  <c:v>-1.2268922624057738E-2</c:v>
                </c:pt>
                <c:pt idx="4">
                  <c:v>-1.8994685404709836E-2</c:v>
                </c:pt>
                <c:pt idx="5">
                  <c:v>-2.7570717572390813E-2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D2-4D2F-9634-3894A00C6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4.0000000000000008E-2"/>
          <c:min val="-4.0000000000000008E-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2.0000000000000004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8801399825021874E-2"/>
          <c:w val="0.80408691751425154"/>
          <c:h val="0.8834525684289462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'RCP26'!$K$128:$K$133</c:f>
              <c:numCache>
                <c:formatCode>0.00%</c:formatCode>
                <c:ptCount val="6"/>
                <c:pt idx="0">
                  <c:v>0</c:v>
                </c:pt>
                <c:pt idx="1">
                  <c:v>-3.0944970435072112E-2</c:v>
                </c:pt>
                <c:pt idx="2">
                  <c:v>-4.3568091554011854E-2</c:v>
                </c:pt>
                <c:pt idx="3">
                  <c:v>-5.387757038950701E-2</c:v>
                </c:pt>
                <c:pt idx="4">
                  <c:v>-5.3470238717786854E-2</c:v>
                </c:pt>
                <c:pt idx="5">
                  <c:v>-5.1070358004832506E-2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6-40DA-84D3-2E2E95245B36}"/>
            </c:ext>
          </c:extLst>
        </c:ser>
        <c:ser>
          <c:idx val="0"/>
          <c:order val="1"/>
          <c:tx>
            <c:strRef>
              <c:f>'Figure 2'!$AD$3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'RCP45'!$K$128:$K$133</c:f>
              <c:numCache>
                <c:formatCode>0.00%</c:formatCode>
                <c:ptCount val="6"/>
                <c:pt idx="0">
                  <c:v>0</c:v>
                </c:pt>
                <c:pt idx="1">
                  <c:v>-3.0124584563925538E-2</c:v>
                </c:pt>
                <c:pt idx="2">
                  <c:v>-5.5492589086567297E-2</c:v>
                </c:pt>
                <c:pt idx="3">
                  <c:v>-7.6531546467222392E-2</c:v>
                </c:pt>
                <c:pt idx="4">
                  <c:v>-8.5870119671736661E-2</c:v>
                </c:pt>
                <c:pt idx="5">
                  <c:v>-9.0567413011318265E-2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E6-40DA-84D3-2E2E95245B36}"/>
            </c:ext>
          </c:extLst>
        </c:ser>
        <c:ser>
          <c:idx val="3"/>
          <c:order val="2"/>
          <c:tx>
            <c:strRef>
              <c:f>'Figure 2'!$AD$4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'RCP60'!$K$128:$K$133</c:f>
              <c:numCache>
                <c:formatCode>0.00%</c:formatCode>
                <c:ptCount val="6"/>
                <c:pt idx="0">
                  <c:v>0</c:v>
                </c:pt>
                <c:pt idx="1">
                  <c:v>-3.9423444559396635E-2</c:v>
                </c:pt>
                <c:pt idx="2">
                  <c:v>-5.8721392170607879E-2</c:v>
                </c:pt>
                <c:pt idx="3">
                  <c:v>-8.0743720954520579E-2</c:v>
                </c:pt>
                <c:pt idx="4">
                  <c:v>-0.10089969638479281</c:v>
                </c:pt>
                <c:pt idx="5">
                  <c:v>-0.11094367550193118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E6-40DA-84D3-2E2E95245B36}"/>
            </c:ext>
          </c:extLst>
        </c:ser>
        <c:ser>
          <c:idx val="1"/>
          <c:order val="3"/>
          <c:tx>
            <c:strRef>
              <c:f>'Figure 2'!$AD$5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'RCP85'!$K$128:$K$133</c:f>
              <c:numCache>
                <c:formatCode>0.00%</c:formatCode>
                <c:ptCount val="6"/>
                <c:pt idx="0">
                  <c:v>0</c:v>
                </c:pt>
                <c:pt idx="1">
                  <c:v>-2.5639513055481129E-2</c:v>
                </c:pt>
                <c:pt idx="2">
                  <c:v>-6.2939465059373645E-2</c:v>
                </c:pt>
                <c:pt idx="3">
                  <c:v>-9.718315935993227E-2</c:v>
                </c:pt>
                <c:pt idx="4">
                  <c:v>-0.12240213852676039</c:v>
                </c:pt>
                <c:pt idx="5">
                  <c:v>-0.13549876778992762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E6-40DA-84D3-2E2E9524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prstDash val="dash"/>
          </a:ln>
        </c:spPr>
        <c:txPr>
          <a:bodyPr/>
          <a:lstStyle/>
          <a:p>
            <a:pPr>
              <a:defRPr sz="2000">
                <a:solidFill>
                  <a:sysClr val="windowText" lastClr="000000"/>
                </a:solidFill>
              </a:defRPr>
            </a:pPr>
            <a:endParaRPr lang="en-US"/>
          </a:p>
        </c:txPr>
        <c:crossAx val="167308672"/>
        <c:crossesAt val="0"/>
        <c:crossBetween val="midCat"/>
        <c:majorUnit val="20"/>
      </c:valAx>
      <c:valAx>
        <c:axId val="167308672"/>
        <c:scaling>
          <c:orientation val="minMax"/>
          <c:max val="0.15000000000000002"/>
          <c:min val="-0.1500000000000000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'RCP26'!$G$128:$G$133</c:f>
              <c:numCache>
                <c:formatCode>0.00%</c:formatCode>
                <c:ptCount val="6"/>
                <c:pt idx="0">
                  <c:v>0</c:v>
                </c:pt>
                <c:pt idx="1">
                  <c:v>9.3555708346476588E-3</c:v>
                </c:pt>
                <c:pt idx="2">
                  <c:v>1.9086856965338912E-2</c:v>
                </c:pt>
                <c:pt idx="3">
                  <c:v>2.4096696808591622E-2</c:v>
                </c:pt>
                <c:pt idx="4">
                  <c:v>2.4096696808591622E-2</c:v>
                </c:pt>
                <c:pt idx="5">
                  <c:v>1.9086856965338912E-2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88-4265-9BE4-23F282D3E78C}"/>
            </c:ext>
          </c:extLst>
        </c:ser>
        <c:ser>
          <c:idx val="0"/>
          <c:order val="1"/>
          <c:tx>
            <c:strRef>
              <c:f>'Figure 2'!$AD$3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'RCP45'!$G$128:$G$133</c:f>
              <c:numCache>
                <c:formatCode>0.00%</c:formatCode>
                <c:ptCount val="6"/>
                <c:pt idx="0">
                  <c:v>0</c:v>
                </c:pt>
                <c:pt idx="1">
                  <c:v>9.3555708346476588E-3</c:v>
                </c:pt>
                <c:pt idx="2">
                  <c:v>2.4096696808591622E-2</c:v>
                </c:pt>
                <c:pt idx="3">
                  <c:v>3.4405188868959567E-2</c:v>
                </c:pt>
                <c:pt idx="4">
                  <c:v>4.5111940516758341E-2</c:v>
                </c:pt>
                <c:pt idx="5">
                  <c:v>4.5111940516758341E-2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88-4265-9BE4-23F282D3E78C}"/>
            </c:ext>
          </c:extLst>
        </c:ser>
        <c:ser>
          <c:idx val="3"/>
          <c:order val="2"/>
          <c:tx>
            <c:strRef>
              <c:f>'Figure 2'!$AD$4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'RCP60'!$G$128:$G$133</c:f>
              <c:numCache>
                <c:formatCode>0.00%</c:formatCode>
                <c:ptCount val="6"/>
                <c:pt idx="0">
                  <c:v>0</c:v>
                </c:pt>
                <c:pt idx="1">
                  <c:v>1.4173630214615944E-2</c:v>
                </c:pt>
                <c:pt idx="2">
                  <c:v>2.4096696808591622E-2</c:v>
                </c:pt>
                <c:pt idx="3">
                  <c:v>3.9709373659712145E-2</c:v>
                </c:pt>
                <c:pt idx="4">
                  <c:v>5.623008366486007E-2</c:v>
                </c:pt>
                <c:pt idx="5">
                  <c:v>6.7764881006685554E-2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88-4265-9BE4-23F282D3E78C}"/>
            </c:ext>
          </c:extLst>
        </c:ser>
        <c:ser>
          <c:idx val="1"/>
          <c:order val="3"/>
          <c:tx>
            <c:strRef>
              <c:f>'Figure 2'!$AD$5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'RCP85'!$G$128:$G$133</c:f>
              <c:numCache>
                <c:formatCode>0.00%</c:formatCode>
                <c:ptCount val="6"/>
                <c:pt idx="0">
                  <c:v>0</c:v>
                </c:pt>
                <c:pt idx="1">
                  <c:v>9.3555708346476588E-3</c:v>
                </c:pt>
                <c:pt idx="2">
                  <c:v>2.9200362067923341E-2</c:v>
                </c:pt>
                <c:pt idx="3">
                  <c:v>5.0618699966877567E-2</c:v>
                </c:pt>
                <c:pt idx="4">
                  <c:v>7.9728485929763449E-2</c:v>
                </c:pt>
                <c:pt idx="5">
                  <c:v>0.11832462375491236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88-4265-9BE4-23F282D3E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prstDash val="dash"/>
          </a:ln>
        </c:spPr>
        <c:txPr>
          <a:bodyPr/>
          <a:lstStyle/>
          <a:p>
            <a:pPr>
              <a:defRPr sz="2000"/>
            </a:pPr>
            <a:endParaRPr lang="en-US"/>
          </a:p>
        </c:txPr>
        <c:crossAx val="168273024"/>
        <c:crossesAt val="0"/>
        <c:crossBetween val="midCat"/>
        <c:majorUnit val="20"/>
      </c:valAx>
      <c:valAx>
        <c:axId val="168273024"/>
        <c:scaling>
          <c:orientation val="minMax"/>
          <c:max val="0.15000000000000002"/>
          <c:min val="-0.1500000000000000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5.000000000000001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662717160354942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2'!$AD$2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'RCP26'!$Q$128:$Q$133</c:f>
              <c:numCache>
                <c:formatCode>0.00%</c:formatCode>
                <c:ptCount val="6"/>
                <c:pt idx="0">
                  <c:v>0</c:v>
                </c:pt>
                <c:pt idx="1">
                  <c:v>5.5457711981216689E-3</c:v>
                </c:pt>
                <c:pt idx="2">
                  <c:v>6.4302591189334549E-3</c:v>
                </c:pt>
                <c:pt idx="3">
                  <c:v>7.924319398515187E-3</c:v>
                </c:pt>
                <c:pt idx="4">
                  <c:v>7.8158638097898733E-3</c:v>
                </c:pt>
                <c:pt idx="5">
                  <c:v>8.4136056341334899E-3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6-4250-BF55-4CEA592AFBDB}"/>
            </c:ext>
          </c:extLst>
        </c:ser>
        <c:ser>
          <c:idx val="0"/>
          <c:order val="1"/>
          <c:tx>
            <c:strRef>
              <c:f>'Figure 2'!$AD$3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'RCP45'!$Q$128:$Q$133</c:f>
              <c:numCache>
                <c:formatCode>0.00%</c:formatCode>
                <c:ptCount val="6"/>
                <c:pt idx="0">
                  <c:v>0</c:v>
                </c:pt>
                <c:pt idx="1">
                  <c:v>5.3330641510926178E-3</c:v>
                </c:pt>
                <c:pt idx="2">
                  <c:v>8.3549073066253206E-3</c:v>
                </c:pt>
                <c:pt idx="3">
                  <c:v>1.1513798050505699E-2</c:v>
                </c:pt>
                <c:pt idx="4">
                  <c:v>1.148004995578576E-2</c:v>
                </c:pt>
                <c:pt idx="5">
                  <c:v>1.2783621968011766E-2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76-4250-BF55-4CEA592AFBDB}"/>
            </c:ext>
          </c:extLst>
        </c:ser>
        <c:ser>
          <c:idx val="3"/>
          <c:order val="2"/>
          <c:tx>
            <c:strRef>
              <c:f>'Figure 2'!$AD$4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'RCP60'!$Q$128:$Q$133</c:f>
              <c:numCache>
                <c:formatCode>0.00%</c:formatCode>
                <c:ptCount val="6"/>
                <c:pt idx="0">
                  <c:v>0</c:v>
                </c:pt>
                <c:pt idx="1">
                  <c:v>6.5582801400913245E-3</c:v>
                </c:pt>
                <c:pt idx="2">
                  <c:v>9.2185197746854058E-3</c:v>
                </c:pt>
                <c:pt idx="3">
                  <c:v>1.1376501368734804E-2</c:v>
                </c:pt>
                <c:pt idx="4">
                  <c:v>1.2997399993925997E-2</c:v>
                </c:pt>
                <c:pt idx="5">
                  <c:v>1.3091736327197168E-2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76-4250-BF55-4CEA592AFBDB}"/>
            </c:ext>
          </c:extLst>
        </c:ser>
        <c:ser>
          <c:idx val="1"/>
          <c:order val="3"/>
          <c:tx>
            <c:strRef>
              <c:f>'Figure 2'!$AD$5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'RCP85'!$Q$128:$Q$133</c:f>
              <c:numCache>
                <c:formatCode>0.00%</c:formatCode>
                <c:ptCount val="6"/>
                <c:pt idx="0">
                  <c:v>0</c:v>
                </c:pt>
                <c:pt idx="1">
                  <c:v>4.1741514728489667E-3</c:v>
                </c:pt>
                <c:pt idx="2">
                  <c:v>9.0974425898725491E-3</c:v>
                </c:pt>
                <c:pt idx="3">
                  <c:v>1.3301779821307263E-2</c:v>
                </c:pt>
                <c:pt idx="4">
                  <c:v>1.3555351675906992E-2</c:v>
                </c:pt>
                <c:pt idx="5">
                  <c:v>8.478453915201108E-3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76-4250-BF55-4CEA592AF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prstDash val="dash"/>
          </a:ln>
        </c:spPr>
        <c:txPr>
          <a:bodyPr/>
          <a:lstStyle/>
          <a:p>
            <a:pPr>
              <a:defRPr sz="2000"/>
            </a:pPr>
            <a:endParaRPr lang="en-US"/>
          </a:p>
        </c:txPr>
        <c:crossAx val="167308672"/>
        <c:crossesAt val="0"/>
        <c:crossBetween val="midCat"/>
        <c:majorUnit val="20"/>
      </c:valAx>
      <c:valAx>
        <c:axId val="167308672"/>
        <c:scaling>
          <c:orientation val="minMax"/>
          <c:max val="4.0000000000000008E-2"/>
          <c:min val="-4.0000000000000008E-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2.0000000000000004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82760840143247"/>
          <c:y val="5.8801399825021874E-2"/>
          <c:w val="0.78775699739751326"/>
          <c:h val="0.8834525684289462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'RCP26'!$B$110:$B$115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'RCP26'!$W$110:$W$115</c:f>
              <c:numCache>
                <c:formatCode>General</c:formatCode>
                <c:ptCount val="6"/>
                <c:pt idx="0" formatCode="0.00000">
                  <c:v>1.3038272585993567</c:v>
                </c:pt>
                <c:pt idx="1">
                  <c:v>1.3038272585993573</c:v>
                </c:pt>
                <c:pt idx="2">
                  <c:v>1.3038272585993571</c:v>
                </c:pt>
                <c:pt idx="3">
                  <c:v>1.3038272585993576</c:v>
                </c:pt>
                <c:pt idx="4">
                  <c:v>1.303827258599358</c:v>
                </c:pt>
                <c:pt idx="5">
                  <c:v>1.3038272585993573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5-4A40-B8C1-75502E56E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'Figure 3'!$AE$3</c15:sqref>
                        </c15:formulaRef>
                      </c:ext>
                    </c:extLst>
                    <c:strCache>
                      <c:ptCount val="1"/>
                      <c:pt idx="0">
                        <c:v>RCP4.5</c:v>
                      </c:pt>
                    </c:strCache>
                  </c:strRef>
                </c:tx>
                <c:spPr>
                  <a:ln w="31750">
                    <a:solidFill>
                      <a:srgbClr val="C00000"/>
                    </a:solidFill>
                    <a:prstDash val="sysDot"/>
                  </a:ln>
                </c:spPr>
                <c:marker>
                  <c:symbol val="triangle"/>
                  <c:size val="10"/>
                  <c:spPr>
                    <a:solidFill>
                      <a:srgbClr val="C00000"/>
                    </a:solidFill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'RCP45'!$B$110:$B$115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'RCP45'!$J$110:$J$115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1.0904497693689885</c:v>
                      </c:pt>
                      <c:pt idx="1">
                        <c:v>1.0904497693689885</c:v>
                      </c:pt>
                      <c:pt idx="2">
                        <c:v>1.0904497693689885</c:v>
                      </c:pt>
                      <c:pt idx="3">
                        <c:v>1.0904497693689885</c:v>
                      </c:pt>
                      <c:pt idx="4">
                        <c:v>1.0904497693689885</c:v>
                      </c:pt>
                      <c:pt idx="5">
                        <c:v>1.0904497693689885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225-4A40-B8C1-75502E56E433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3'!$AE$4</c15:sqref>
                        </c15:formulaRef>
                      </c:ext>
                    </c:extLst>
                    <c:strCache>
                      <c:ptCount val="1"/>
                      <c:pt idx="0">
                        <c:v>RCP6.0</c:v>
                      </c:pt>
                    </c:strCache>
                  </c:strRef>
                </c:tx>
                <c:spPr>
                  <a:ln w="31750">
                    <a:solidFill>
                      <a:schemeClr val="accent4">
                        <a:lumMod val="75000"/>
                      </a:schemeClr>
                    </a:solidFill>
                    <a:prstDash val="sysDash"/>
                  </a:ln>
                </c:spPr>
                <c:marker>
                  <c:symbol val="square"/>
                  <c:size val="10"/>
                  <c:spPr>
                    <a:solidFill>
                      <a:schemeClr val="accent4">
                        <a:lumMod val="75000"/>
                      </a:schemeClr>
                    </a:solidFill>
                    <a:ln>
                      <a:solidFill>
                        <a:schemeClr val="accent4">
                          <a:lumMod val="7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'RCP60'!$J$110:$J$115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1.0904497693689885</c:v>
                      </c:pt>
                      <c:pt idx="1">
                        <c:v>1.0904497693689885</c:v>
                      </c:pt>
                      <c:pt idx="2">
                        <c:v>1.0904497693689885</c:v>
                      </c:pt>
                      <c:pt idx="3">
                        <c:v>1.0904497693689885</c:v>
                      </c:pt>
                      <c:pt idx="4">
                        <c:v>1.0904497693689885</c:v>
                      </c:pt>
                      <c:pt idx="5">
                        <c:v>1.0904497693689885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225-4A40-B8C1-75502E56E43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3'!$AE$5</c15:sqref>
                        </c15:formulaRef>
                      </c:ext>
                    </c:extLst>
                    <c:strCache>
                      <c:ptCount val="1"/>
                      <c:pt idx="0">
                        <c:v>RCP8.5</c:v>
                      </c:pt>
                    </c:strCache>
                  </c:strRef>
                </c:tx>
                <c:spPr>
                  <a:ln w="31750">
                    <a:solidFill>
                      <a:srgbClr val="0070C0"/>
                    </a:solidFill>
                    <a:prstDash val="dash"/>
                  </a:ln>
                </c:spPr>
                <c:marker>
                  <c:symbol val="x"/>
                  <c:size val="10"/>
                  <c:spPr>
                    <a:ln>
                      <a:solidFill>
                        <a:srgbClr val="0070C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'RCP85'!$J$110:$J$115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1.0904497693689885</c:v>
                      </c:pt>
                      <c:pt idx="1">
                        <c:v>1.0904497693689885</c:v>
                      </c:pt>
                      <c:pt idx="2">
                        <c:v>1.0904497693689885</c:v>
                      </c:pt>
                      <c:pt idx="3">
                        <c:v>1.0904497693689885</c:v>
                      </c:pt>
                      <c:pt idx="4">
                        <c:v>1.0904497693689885</c:v>
                      </c:pt>
                      <c:pt idx="5">
                        <c:v>1.0904497693689885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225-4A40-B8C1-75502E56E433}"/>
                  </c:ext>
                </c:extLst>
              </c15:ser>
            </c15:filteredScatterSeries>
          </c:ext>
        </c:extLst>
      </c:scatterChart>
      <c:valAx>
        <c:axId val="167308096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low"/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2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5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'RCP26'!$B$110:$B$115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'RCP26'!$Y$110:$Y$115</c:f>
              <c:numCache>
                <c:formatCode>0.0</c:formatCode>
                <c:ptCount val="6"/>
                <c:pt idx="0">
                  <c:v>5.1529944474046481</c:v>
                </c:pt>
                <c:pt idx="1">
                  <c:v>25.452264741496521</c:v>
                </c:pt>
                <c:pt idx="2">
                  <c:v>43.940236524539934</c:v>
                </c:pt>
                <c:pt idx="3">
                  <c:v>68.023167479373456</c:v>
                </c:pt>
                <c:pt idx="4">
                  <c:v>95.609715854487334</c:v>
                </c:pt>
                <c:pt idx="5">
                  <c:v>126.18152797691209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A-482D-B561-3138D92F6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'Figure 3'!$AE$3</c15:sqref>
                        </c15:formulaRef>
                      </c:ext>
                    </c:extLst>
                    <c:strCache>
                      <c:ptCount val="1"/>
                      <c:pt idx="0">
                        <c:v>RCP4.5</c:v>
                      </c:pt>
                    </c:strCache>
                  </c:strRef>
                </c:tx>
                <c:spPr>
                  <a:ln w="31750">
                    <a:solidFill>
                      <a:srgbClr val="C00000"/>
                    </a:solidFill>
                    <a:prstDash val="sysDot"/>
                  </a:ln>
                </c:spPr>
                <c:marker>
                  <c:symbol val="triangle"/>
                  <c:size val="10"/>
                  <c:spPr>
                    <a:solidFill>
                      <a:srgbClr val="C00000"/>
                    </a:solidFill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'RCP45'!$B$110:$B$115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'RCP45'!$F$110:$F$115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1.0353055437773875</c:v>
                      </c:pt>
                      <c:pt idx="1">
                        <c:v>1.0353055437773875</c:v>
                      </c:pt>
                      <c:pt idx="2">
                        <c:v>1.0353055437773875</c:v>
                      </c:pt>
                      <c:pt idx="3">
                        <c:v>1.0353055437773875</c:v>
                      </c:pt>
                      <c:pt idx="4">
                        <c:v>1.0353055437773875</c:v>
                      </c:pt>
                      <c:pt idx="5">
                        <c:v>1.0353055437773875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5D2A-482D-B561-3138D92F66A5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3'!$AE$4</c15:sqref>
                        </c15:formulaRef>
                      </c:ext>
                    </c:extLst>
                    <c:strCache>
                      <c:ptCount val="1"/>
                      <c:pt idx="0">
                        <c:v>RCP6.0</c:v>
                      </c:pt>
                    </c:strCache>
                  </c:strRef>
                </c:tx>
                <c:spPr>
                  <a:ln w="31750">
                    <a:solidFill>
                      <a:schemeClr val="accent4">
                        <a:lumMod val="75000"/>
                      </a:schemeClr>
                    </a:solidFill>
                    <a:prstDash val="sysDash"/>
                  </a:ln>
                </c:spPr>
                <c:marker>
                  <c:symbol val="square"/>
                  <c:size val="10"/>
                  <c:spPr>
                    <a:solidFill>
                      <a:schemeClr val="accent4">
                        <a:lumMod val="75000"/>
                      </a:schemeClr>
                    </a:solidFill>
                    <a:ln>
                      <a:solidFill>
                        <a:schemeClr val="accent4">
                          <a:lumMod val="7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'RCP60'!$F$110:$F$115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1.0353055437773875</c:v>
                      </c:pt>
                      <c:pt idx="1">
                        <c:v>1.0353055437773875</c:v>
                      </c:pt>
                      <c:pt idx="2">
                        <c:v>1.0353055437773875</c:v>
                      </c:pt>
                      <c:pt idx="3">
                        <c:v>1.0353055437773875</c:v>
                      </c:pt>
                      <c:pt idx="4">
                        <c:v>1.0353055437773875</c:v>
                      </c:pt>
                      <c:pt idx="5">
                        <c:v>1.0353055437773875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D2A-482D-B561-3138D92F66A5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3'!$AE$5</c15:sqref>
                        </c15:formulaRef>
                      </c:ext>
                    </c:extLst>
                    <c:strCache>
                      <c:ptCount val="1"/>
                      <c:pt idx="0">
                        <c:v>RCP8.5</c:v>
                      </c:pt>
                    </c:strCache>
                  </c:strRef>
                </c:tx>
                <c:spPr>
                  <a:ln w="31750">
                    <a:solidFill>
                      <a:srgbClr val="0070C0"/>
                    </a:solidFill>
                    <a:prstDash val="dash"/>
                  </a:ln>
                </c:spPr>
                <c:marker>
                  <c:symbol val="x"/>
                  <c:size val="10"/>
                  <c:spPr>
                    <a:ln>
                      <a:solidFill>
                        <a:srgbClr val="0070C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'RCP85'!$F$110:$F$115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1.0353055437773875</c:v>
                      </c:pt>
                      <c:pt idx="1">
                        <c:v>1.0353055437773875</c:v>
                      </c:pt>
                      <c:pt idx="2">
                        <c:v>1.0353055437773875</c:v>
                      </c:pt>
                      <c:pt idx="3">
                        <c:v>1.0353055437773875</c:v>
                      </c:pt>
                      <c:pt idx="4">
                        <c:v>1.0353055437773875</c:v>
                      </c:pt>
                      <c:pt idx="5">
                        <c:v>1.0353055437773875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D2A-482D-B561-3138D92F66A5}"/>
                  </c:ext>
                </c:extLst>
              </c15:ser>
            </c15:filteredScatterSeries>
          </c:ext>
        </c:extLst>
      </c:scatterChart>
      <c:valAx>
        <c:axId val="168272448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low"/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8801399825021874E-2"/>
          <c:w val="0.80408691751425154"/>
          <c:h val="0.8834525684289462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'RCP26'!$W$116:$W$121</c:f>
              <c:numCache>
                <c:formatCode>0.00%</c:formatCode>
                <c:ptCount val="6"/>
                <c:pt idx="0">
                  <c:v>0</c:v>
                </c:pt>
                <c:pt idx="1">
                  <c:v>-5.1090649499895515E-16</c:v>
                </c:pt>
                <c:pt idx="2">
                  <c:v>1.7030216499965175E-16</c:v>
                </c:pt>
                <c:pt idx="3">
                  <c:v>0</c:v>
                </c:pt>
                <c:pt idx="4">
                  <c:v>-1.0218129899979097E-15</c:v>
                </c:pt>
                <c:pt idx="5">
                  <c:v>-3.406043299993034E-16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37-426A-8C83-FEC25B863E0B}"/>
            </c:ext>
          </c:extLst>
        </c:ser>
        <c:ser>
          <c:idx val="0"/>
          <c:order val="1"/>
          <c:tx>
            <c:strRef>
              <c:f>'Figure 3'!$AE$3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'RCP45'!$W$116:$W$121</c:f>
              <c:numCache>
                <c:formatCode>0.00%</c:formatCode>
                <c:ptCount val="6"/>
                <c:pt idx="0">
                  <c:v>0</c:v>
                </c:pt>
                <c:pt idx="1">
                  <c:v>-8.5151082499825855E-16</c:v>
                </c:pt>
                <c:pt idx="2">
                  <c:v>-3.406043299993035E-16</c:v>
                </c:pt>
                <c:pt idx="3">
                  <c:v>-5.1090649499895505E-16</c:v>
                </c:pt>
                <c:pt idx="4">
                  <c:v>-1.7030216499965163E-16</c:v>
                </c:pt>
                <c:pt idx="5">
                  <c:v>1.703021649996517E-16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37-426A-8C83-FEC25B863E0B}"/>
            </c:ext>
          </c:extLst>
        </c:ser>
        <c:ser>
          <c:idx val="3"/>
          <c:order val="2"/>
          <c:tx>
            <c:strRef>
              <c:f>'Figure 3'!$AE$4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'RCP60'!$W$116:$W$121</c:f>
              <c:numCache>
                <c:formatCode>0.00%</c:formatCode>
                <c:ptCount val="6"/>
                <c:pt idx="0">
                  <c:v>0</c:v>
                </c:pt>
                <c:pt idx="1">
                  <c:v>-8.5151082499825855E-16</c:v>
                </c:pt>
                <c:pt idx="2">
                  <c:v>-1.7030216499965175E-16</c:v>
                </c:pt>
                <c:pt idx="3">
                  <c:v>-6.812086599986067E-16</c:v>
                </c:pt>
                <c:pt idx="4">
                  <c:v>-8.5151082499825815E-16</c:v>
                </c:pt>
                <c:pt idx="5">
                  <c:v>1.703021649996517E-16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37-426A-8C83-FEC25B863E0B}"/>
            </c:ext>
          </c:extLst>
        </c:ser>
        <c:ser>
          <c:idx val="1"/>
          <c:order val="3"/>
          <c:tx>
            <c:strRef>
              <c:f>'Figure 3'!$AE$5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'RCP85'!$W$116:$W$121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6.8120865999860699E-16</c:v>
                </c:pt>
                <c:pt idx="3">
                  <c:v>0</c:v>
                </c:pt>
                <c:pt idx="4">
                  <c:v>-5.1090649499895485E-16</c:v>
                </c:pt>
                <c:pt idx="5">
                  <c:v>-1.703021649996517E-16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37-426A-8C83-FEC25B863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15000000000000002"/>
          <c:min val="-0.1500000000000000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5.000000000000001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3901952312690155"/>
          <c:y val="5.2367954005749263E-2"/>
          <c:w val="0.2453191988210075"/>
          <c:h val="0.39367679040119991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'RCP26'!$Y$116:$Y$121</c:f>
              <c:numCache>
                <c:formatCode>0.00%</c:formatCode>
                <c:ptCount val="6"/>
                <c:pt idx="0">
                  <c:v>0</c:v>
                </c:pt>
                <c:pt idx="1">
                  <c:v>3.0198400380844752E-4</c:v>
                </c:pt>
                <c:pt idx="2">
                  <c:v>5.0922883160727363E-4</c:v>
                </c:pt>
                <c:pt idx="3">
                  <c:v>4.1355806006147995E-4</c:v>
                </c:pt>
                <c:pt idx="4">
                  <c:v>2.6501421281864681E-4</c:v>
                </c:pt>
                <c:pt idx="5">
                  <c:v>1.4433969543421757E-4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A1-4C84-B3C5-7CF7B62199DF}"/>
            </c:ext>
          </c:extLst>
        </c:ser>
        <c:ser>
          <c:idx val="0"/>
          <c:order val="1"/>
          <c:tx>
            <c:strRef>
              <c:f>'Figure 3'!$AE$3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'RCP45'!$Y$116:$Y$121</c:f>
              <c:numCache>
                <c:formatCode>0.00%</c:formatCode>
                <c:ptCount val="6"/>
                <c:pt idx="0">
                  <c:v>0</c:v>
                </c:pt>
                <c:pt idx="1">
                  <c:v>2.9404793908020414E-4</c:v>
                </c:pt>
                <c:pt idx="2">
                  <c:v>5.8755070155239164E-4</c:v>
                </c:pt>
                <c:pt idx="3">
                  <c:v>5.6211785068437559E-4</c:v>
                </c:pt>
                <c:pt idx="4">
                  <c:v>4.0371955585346951E-4</c:v>
                </c:pt>
                <c:pt idx="5">
                  <c:v>2.4569794144975996E-4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A1-4C84-B3C5-7CF7B62199DF}"/>
            </c:ext>
          </c:extLst>
        </c:ser>
        <c:ser>
          <c:idx val="3"/>
          <c:order val="2"/>
          <c:tx>
            <c:strRef>
              <c:f>'Figure 3'!$AE$4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'RCP60'!$Y$116:$Y$121</c:f>
              <c:numCache>
                <c:formatCode>0.00%</c:formatCode>
                <c:ptCount val="6"/>
                <c:pt idx="0">
                  <c:v>0</c:v>
                </c:pt>
                <c:pt idx="1">
                  <c:v>3.837642758282251E-4</c:v>
                </c:pt>
                <c:pt idx="2">
                  <c:v>6.7104122368929077E-4</c:v>
                </c:pt>
                <c:pt idx="3">
                  <c:v>5.9366394959904883E-4</c:v>
                </c:pt>
                <c:pt idx="4">
                  <c:v>4.534811609852085E-4</c:v>
                </c:pt>
                <c:pt idx="5">
                  <c:v>2.9583668432854311E-4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A1-4C84-B3C5-7CF7B62199DF}"/>
            </c:ext>
          </c:extLst>
        </c:ser>
        <c:ser>
          <c:idx val="1"/>
          <c:order val="3"/>
          <c:tx>
            <c:strRef>
              <c:f>'Figure 3'!$AE$5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'RCP85'!$Y$116:$Y$121</c:f>
              <c:numCache>
                <c:formatCode>0.00%</c:formatCode>
                <c:ptCount val="6"/>
                <c:pt idx="0">
                  <c:v>0</c:v>
                </c:pt>
                <c:pt idx="1">
                  <c:v>2.5059127994488529E-4</c:v>
                </c:pt>
                <c:pt idx="2">
                  <c:v>6.1031567806340875E-4</c:v>
                </c:pt>
                <c:pt idx="3">
                  <c:v>6.8318676847204816E-4</c:v>
                </c:pt>
                <c:pt idx="4">
                  <c:v>5.4809566596896657E-4</c:v>
                </c:pt>
                <c:pt idx="5">
                  <c:v>3.6036283596936071E-4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A1-4C84-B3C5-7CF7B6219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8801399825021874E-2"/>
          <c:w val="0.80408691751425154"/>
          <c:h val="0.8834525684289462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'RCP26'!$W$122:$W$127</c:f>
              <c:numCache>
                <c:formatCode>0.00%</c:formatCode>
                <c:ptCount val="6"/>
                <c:pt idx="0">
                  <c:v>0</c:v>
                </c:pt>
                <c:pt idx="1">
                  <c:v>-9.2688554013843193E-3</c:v>
                </c:pt>
                <c:pt idx="2">
                  <c:v>-1.8729372118659444E-2</c:v>
                </c:pt>
                <c:pt idx="3">
                  <c:v>-2.3529708555534677E-2</c:v>
                </c:pt>
                <c:pt idx="4">
                  <c:v>-2.352970855553535E-2</c:v>
                </c:pt>
                <c:pt idx="5">
                  <c:v>-1.8729372118659611E-2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4E-41A3-AB58-76C8B1FD0A87}"/>
            </c:ext>
          </c:extLst>
        </c:ser>
        <c:ser>
          <c:idx val="0"/>
          <c:order val="1"/>
          <c:tx>
            <c:strRef>
              <c:f>'Figure 3'!$AE$3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'RCP45'!$W$122:$W$127</c:f>
              <c:numCache>
                <c:formatCode>0.00%</c:formatCode>
                <c:ptCount val="6"/>
                <c:pt idx="0">
                  <c:v>0</c:v>
                </c:pt>
                <c:pt idx="1">
                  <c:v>-9.2688554013843193E-3</c:v>
                </c:pt>
                <c:pt idx="2">
                  <c:v>-2.3529708555533834E-2</c:v>
                </c:pt>
                <c:pt idx="3">
                  <c:v>-3.3260843274170789E-2</c:v>
                </c:pt>
                <c:pt idx="4">
                  <c:v>-4.3164697261475836E-2</c:v>
                </c:pt>
                <c:pt idx="5">
                  <c:v>-4.3164697261475003E-2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4E-41A3-AB58-76C8B1FD0A87}"/>
            </c:ext>
          </c:extLst>
        </c:ser>
        <c:ser>
          <c:idx val="3"/>
          <c:order val="2"/>
          <c:tx>
            <c:strRef>
              <c:f>'Figure 3'!$AE$4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'RCP60'!$W$122:$W$127</c:f>
              <c:numCache>
                <c:formatCode>0.00%</c:formatCode>
                <c:ptCount val="6"/>
                <c:pt idx="0">
                  <c:v>0</c:v>
                </c:pt>
                <c:pt idx="1">
                  <c:v>-1.3975545993655013E-2</c:v>
                </c:pt>
                <c:pt idx="2">
                  <c:v>-2.3529708555533664E-2</c:v>
                </c:pt>
                <c:pt idx="3">
                  <c:v>-3.8192762964075679E-2</c:v>
                </c:pt>
                <c:pt idx="4">
                  <c:v>-5.323658598111073E-2</c:v>
                </c:pt>
                <c:pt idx="5">
                  <c:v>-6.3464234694435961E-2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4E-41A3-AB58-76C8B1FD0A87}"/>
            </c:ext>
          </c:extLst>
        </c:ser>
        <c:ser>
          <c:idx val="1"/>
          <c:order val="3"/>
          <c:tx>
            <c:strRef>
              <c:f>'Figure 3'!$AE$5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'RCP85'!$W$122:$W$127</c:f>
              <c:numCache>
                <c:formatCode>0.00%</c:formatCode>
                <c:ptCount val="6"/>
                <c:pt idx="0">
                  <c:v>0</c:v>
                </c:pt>
                <c:pt idx="1">
                  <c:v>-9.2688554013843193E-3</c:v>
                </c:pt>
                <c:pt idx="2">
                  <c:v>-2.8371892533395695E-2</c:v>
                </c:pt>
                <c:pt idx="3">
                  <c:v>-4.8179896253963683E-2</c:v>
                </c:pt>
                <c:pt idx="4">
                  <c:v>-7.3841235985460801E-2</c:v>
                </c:pt>
                <c:pt idx="5">
                  <c:v>-0.1058052565789195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4E-41A3-AB58-76C8B1FD0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15000000000000002"/>
          <c:min val="-0.1500000000000000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5.000000000000001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'RCP26'!$Y$122:$Y$127</c:f>
              <c:numCache>
                <c:formatCode>0.00%</c:formatCode>
                <c:ptCount val="6"/>
                <c:pt idx="0">
                  <c:v>0</c:v>
                </c:pt>
                <c:pt idx="1">
                  <c:v>-9.7776013507920104E-3</c:v>
                </c:pt>
                <c:pt idx="2">
                  <c:v>-1.9360298778300724E-2</c:v>
                </c:pt>
                <c:pt idx="3">
                  <c:v>-2.3419061624422623E-2</c:v>
                </c:pt>
                <c:pt idx="4">
                  <c:v>-2.1856721741716385E-2</c:v>
                </c:pt>
                <c:pt idx="5">
                  <c:v>-1.5334366464014667E-2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8-48EE-B845-090C13B33532}"/>
            </c:ext>
          </c:extLst>
        </c:ser>
        <c:ser>
          <c:idx val="0"/>
          <c:order val="1"/>
          <c:tx>
            <c:strRef>
              <c:f>'Figure 3'!$AE$3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'RCP45'!$Y$122:$Y$127</c:f>
              <c:numCache>
                <c:formatCode>0.00%</c:formatCode>
                <c:ptCount val="6"/>
                <c:pt idx="0">
                  <c:v>0</c:v>
                </c:pt>
                <c:pt idx="1">
                  <c:v>-9.7776013507920104E-3</c:v>
                </c:pt>
                <c:pt idx="2">
                  <c:v>-2.5992672990689237E-2</c:v>
                </c:pt>
                <c:pt idx="3">
                  <c:v>-3.773860752212304E-2</c:v>
                </c:pt>
                <c:pt idx="4">
                  <c:v>-5.188684776792863E-2</c:v>
                </c:pt>
                <c:pt idx="5">
                  <c:v>-5.0270685198148278E-2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D8-48EE-B845-090C13B33532}"/>
            </c:ext>
          </c:extLst>
        </c:ser>
        <c:ser>
          <c:idx val="3"/>
          <c:order val="2"/>
          <c:tx>
            <c:strRef>
              <c:f>'Figure 3'!$AE$4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'RCP60'!$Y$122:$Y$127</c:f>
              <c:numCache>
                <c:formatCode>0.00%</c:formatCode>
                <c:ptCount val="6"/>
                <c:pt idx="0">
                  <c:v>0</c:v>
                </c:pt>
                <c:pt idx="1">
                  <c:v>-1.5787069027136582E-2</c:v>
                </c:pt>
                <c:pt idx="2">
                  <c:v>-2.6022143310889759E-2</c:v>
                </c:pt>
                <c:pt idx="3">
                  <c:v>-4.5888815275187525E-2</c:v>
                </c:pt>
                <c:pt idx="4">
                  <c:v>-7.0750071200601644E-2</c:v>
                </c:pt>
                <c:pt idx="5">
                  <c:v>-8.9650315409571954E-2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D8-48EE-B845-090C13B33532}"/>
            </c:ext>
          </c:extLst>
        </c:ser>
        <c:ser>
          <c:idx val="1"/>
          <c:order val="3"/>
          <c:tx>
            <c:strRef>
              <c:f>'Figure 3'!$AE$5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'RCP85'!$Y$122:$Y$127</c:f>
              <c:numCache>
                <c:formatCode>0.00%</c:formatCode>
                <c:ptCount val="6"/>
                <c:pt idx="0">
                  <c:v>0</c:v>
                </c:pt>
                <c:pt idx="1">
                  <c:v>-9.7776013507920104E-3</c:v>
                </c:pt>
                <c:pt idx="2">
                  <c:v>-3.3326540927644255E-2</c:v>
                </c:pt>
                <c:pt idx="3">
                  <c:v>-6.4142061349187734E-2</c:v>
                </c:pt>
                <c:pt idx="4">
                  <c:v>-0.11537644053643838</c:v>
                </c:pt>
                <c:pt idx="5">
                  <c:v>-0.19308772152912262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D8-48EE-B845-090C13B33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8801399825021874E-2"/>
          <c:w val="0.80408691751425154"/>
          <c:h val="0.8834525684289462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'RCP26'!$W$128:$W$133</c:f>
              <c:numCache>
                <c:formatCode>0.00%</c:formatCode>
                <c:ptCount val="6"/>
                <c:pt idx="0">
                  <c:v>0</c:v>
                </c:pt>
                <c:pt idx="1">
                  <c:v>-9.2688554013843193E-3</c:v>
                </c:pt>
                <c:pt idx="2">
                  <c:v>-1.8729372118659614E-2</c:v>
                </c:pt>
                <c:pt idx="3">
                  <c:v>-2.3529708555534337E-2</c:v>
                </c:pt>
                <c:pt idx="4">
                  <c:v>-2.35297085555345E-2</c:v>
                </c:pt>
                <c:pt idx="5">
                  <c:v>-1.8729372118659271E-2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B9-4BF7-9DD6-0098B2334EDB}"/>
            </c:ext>
          </c:extLst>
        </c:ser>
        <c:ser>
          <c:idx val="0"/>
          <c:order val="1"/>
          <c:tx>
            <c:strRef>
              <c:f>'Figure 3'!$AE$3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'RCP45'!$W$128:$W$133</c:f>
              <c:numCache>
                <c:formatCode>0.00%</c:formatCode>
                <c:ptCount val="6"/>
                <c:pt idx="0">
                  <c:v>0</c:v>
                </c:pt>
                <c:pt idx="1">
                  <c:v>-9.2688554013844893E-3</c:v>
                </c:pt>
                <c:pt idx="2">
                  <c:v>-2.3529708555534514E-2</c:v>
                </c:pt>
                <c:pt idx="3">
                  <c:v>-3.3260843274171642E-2</c:v>
                </c:pt>
                <c:pt idx="4">
                  <c:v>-4.3164697261476002E-2</c:v>
                </c:pt>
                <c:pt idx="5">
                  <c:v>-4.3164697261474663E-2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B9-4BF7-9DD6-0098B2334EDB}"/>
            </c:ext>
          </c:extLst>
        </c:ser>
        <c:ser>
          <c:idx val="3"/>
          <c:order val="2"/>
          <c:tx>
            <c:strRef>
              <c:f>'Figure 3'!$AE$4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'RCP60'!$W$128:$W$133</c:f>
              <c:numCache>
                <c:formatCode>0.00%</c:formatCode>
                <c:ptCount val="6"/>
                <c:pt idx="0">
                  <c:v>0</c:v>
                </c:pt>
                <c:pt idx="1">
                  <c:v>-1.3975545993655183E-2</c:v>
                </c:pt>
                <c:pt idx="2">
                  <c:v>-2.3529708555534514E-2</c:v>
                </c:pt>
                <c:pt idx="3">
                  <c:v>-3.8192762964076019E-2</c:v>
                </c:pt>
                <c:pt idx="4">
                  <c:v>-5.323658598111175E-2</c:v>
                </c:pt>
                <c:pt idx="5">
                  <c:v>-6.3464234694436975E-2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B9-4BF7-9DD6-0098B2334EDB}"/>
            </c:ext>
          </c:extLst>
        </c:ser>
        <c:ser>
          <c:idx val="1"/>
          <c:order val="3"/>
          <c:tx>
            <c:strRef>
              <c:f>'Figure 3'!$AE$5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'RCP85'!$W$128:$W$133</c:f>
              <c:numCache>
                <c:formatCode>0.00%</c:formatCode>
                <c:ptCount val="6"/>
                <c:pt idx="0">
                  <c:v>0</c:v>
                </c:pt>
                <c:pt idx="1">
                  <c:v>-9.2688554013841493E-3</c:v>
                </c:pt>
                <c:pt idx="2">
                  <c:v>-2.8371892533395865E-2</c:v>
                </c:pt>
                <c:pt idx="3">
                  <c:v>-4.8179896253963343E-2</c:v>
                </c:pt>
                <c:pt idx="4">
                  <c:v>-7.3841235985460801E-2</c:v>
                </c:pt>
                <c:pt idx="5">
                  <c:v>-0.10580525657891983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B9-4BF7-9DD6-0098B2334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prstDash val="dash"/>
          </a:ln>
        </c:spPr>
        <c:txPr>
          <a:bodyPr/>
          <a:lstStyle/>
          <a:p>
            <a:pPr>
              <a:defRPr sz="2000"/>
            </a:pPr>
            <a:endParaRPr lang="en-US"/>
          </a:p>
        </c:txPr>
        <c:crossAx val="167308672"/>
        <c:crossesAt val="0"/>
        <c:crossBetween val="midCat"/>
        <c:majorUnit val="20"/>
      </c:valAx>
      <c:valAx>
        <c:axId val="167308672"/>
        <c:scaling>
          <c:orientation val="minMax"/>
          <c:max val="0.15000000000000002"/>
          <c:min val="-0.1500000000000000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5.000000000000001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'RCP26'!$Y$128:$Y$133</c:f>
              <c:numCache>
                <c:formatCode>0.00%</c:formatCode>
                <c:ptCount val="6"/>
                <c:pt idx="0">
                  <c:v>0</c:v>
                </c:pt>
                <c:pt idx="1">
                  <c:v>-9.465845355487796E-3</c:v>
                </c:pt>
                <c:pt idx="2">
                  <c:v>-1.8836204618242688E-2</c:v>
                </c:pt>
                <c:pt idx="3">
                  <c:v>-2.2991108228312518E-2</c:v>
                </c:pt>
                <c:pt idx="4">
                  <c:v>-2.1583321891105775E-2</c:v>
                </c:pt>
                <c:pt idx="5">
                  <c:v>-1.518608320011083E-2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E8-48B6-BC97-DF730A16D160}"/>
            </c:ext>
          </c:extLst>
        </c:ser>
        <c:ser>
          <c:idx val="0"/>
          <c:order val="1"/>
          <c:tx>
            <c:strRef>
              <c:f>'Figure 3'!$AE$3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'RCP45'!$Y$128:$Y$133</c:f>
              <c:numCache>
                <c:formatCode>0.00%</c:formatCode>
                <c:ptCount val="6"/>
                <c:pt idx="0">
                  <c:v>0</c:v>
                </c:pt>
                <c:pt idx="1">
                  <c:v>-9.47404552541334E-3</c:v>
                </c:pt>
                <c:pt idx="2">
                  <c:v>-2.5380839655967376E-2</c:v>
                </c:pt>
                <c:pt idx="3">
                  <c:v>-3.7149320443239521E-2</c:v>
                </c:pt>
                <c:pt idx="4">
                  <c:v>-5.1462660315285284E-2</c:v>
                </c:pt>
                <c:pt idx="5">
                  <c:v>-5.0012361580988055E-2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E8-48B6-BC97-DF730A16D160}"/>
            </c:ext>
          </c:extLst>
        </c:ser>
        <c:ser>
          <c:idx val="3"/>
          <c:order val="2"/>
          <c:tx>
            <c:strRef>
              <c:f>'Figure 3'!$AE$4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'RCP60'!$Y$128:$Y$133</c:f>
              <c:numCache>
                <c:formatCode>0.00%</c:formatCode>
                <c:ptCount val="6"/>
                <c:pt idx="0">
                  <c:v>0</c:v>
                </c:pt>
                <c:pt idx="1">
                  <c:v>-1.538487388697444E-2</c:v>
                </c:pt>
                <c:pt idx="2">
                  <c:v>-2.5326469487084405E-2</c:v>
                </c:pt>
                <c:pt idx="3">
                  <c:v>-4.5263977304417086E-2</c:v>
                </c:pt>
                <c:pt idx="4">
                  <c:v>-7.026905687980177E-2</c:v>
                </c:pt>
                <c:pt idx="5">
                  <c:v>-8.9336792863684358E-2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E8-48B6-BC97-DF730A16D160}"/>
            </c:ext>
          </c:extLst>
        </c:ser>
        <c:ser>
          <c:idx val="1"/>
          <c:order val="3"/>
          <c:tx>
            <c:strRef>
              <c:f>'Figure 3'!$AE$5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'RCP85'!$Y$128:$Y$133</c:f>
              <c:numCache>
                <c:formatCode>0.00%</c:formatCode>
                <c:ptCount val="6"/>
                <c:pt idx="0">
                  <c:v>0</c:v>
                </c:pt>
                <c:pt idx="1">
                  <c:v>-9.5189411128491028E-3</c:v>
                </c:pt>
                <c:pt idx="2">
                  <c:v>-3.268254229108411E-2</c:v>
                </c:pt>
                <c:pt idx="3">
                  <c:v>-6.3414316807608034E-2</c:v>
                </c:pt>
                <c:pt idx="4">
                  <c:v>-0.11479305381409037</c:v>
                </c:pt>
                <c:pt idx="5">
                  <c:v>-0.19271241183569299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E8-48B6-BC97-DF730A16D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prstDash val="dash"/>
          </a:ln>
        </c:spPr>
        <c:txPr>
          <a:bodyPr/>
          <a:lstStyle/>
          <a:p>
            <a:pPr>
              <a:defRPr sz="2000"/>
            </a:pPr>
            <a:endParaRPr lang="en-US"/>
          </a:p>
        </c:txPr>
        <c:crossAx val="168273024"/>
        <c:crossesAt val="0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70946638001592"/>
          <c:y val="5.5626796650418697E-2"/>
          <c:w val="0.80175399667598823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'RCP26'!$B$110:$B$115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'RCP26'!$O$110:$O$115</c:f>
              <c:numCache>
                <c:formatCode>General</c:formatCode>
                <c:ptCount val="6"/>
                <c:pt idx="0" formatCode="0.00000">
                  <c:v>29.685600000000001</c:v>
                </c:pt>
                <c:pt idx="1">
                  <c:v>39.787245945999999</c:v>
                </c:pt>
                <c:pt idx="2">
                  <c:v>47.196387397999992</c:v>
                </c:pt>
                <c:pt idx="3">
                  <c:v>51.584379832999993</c:v>
                </c:pt>
                <c:pt idx="4">
                  <c:v>52.427641221000002</c:v>
                </c:pt>
                <c:pt idx="5">
                  <c:v>49.73893145000001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4F-4A6B-8117-1A0242824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'Figure 3'!$AE$3</c15:sqref>
                        </c15:formulaRef>
                      </c:ext>
                    </c:extLst>
                    <c:strCache>
                      <c:ptCount val="1"/>
                      <c:pt idx="0">
                        <c:v>RCP4.5</c:v>
                      </c:pt>
                    </c:strCache>
                  </c:strRef>
                </c:tx>
                <c:spPr>
                  <a:ln w="31750">
                    <a:solidFill>
                      <a:srgbClr val="C00000"/>
                    </a:solidFill>
                    <a:prstDash val="sysDot"/>
                  </a:ln>
                </c:spPr>
                <c:marker>
                  <c:symbol val="triangle"/>
                  <c:size val="10"/>
                  <c:spPr>
                    <a:solidFill>
                      <a:srgbClr val="C00000"/>
                    </a:solidFill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'RCP45'!$B$110:$B$115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'RCP45'!$F$110:$F$115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1.0353055437773875</c:v>
                      </c:pt>
                      <c:pt idx="1">
                        <c:v>1.0353055437773875</c:v>
                      </c:pt>
                      <c:pt idx="2">
                        <c:v>1.0353055437773875</c:v>
                      </c:pt>
                      <c:pt idx="3">
                        <c:v>1.0353055437773875</c:v>
                      </c:pt>
                      <c:pt idx="4">
                        <c:v>1.0353055437773875</c:v>
                      </c:pt>
                      <c:pt idx="5">
                        <c:v>1.0353055437773875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F94F-4A6B-8117-1A02428240CC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3'!$AE$4</c15:sqref>
                        </c15:formulaRef>
                      </c:ext>
                    </c:extLst>
                    <c:strCache>
                      <c:ptCount val="1"/>
                      <c:pt idx="0">
                        <c:v>RCP6.0</c:v>
                      </c:pt>
                    </c:strCache>
                  </c:strRef>
                </c:tx>
                <c:spPr>
                  <a:ln w="31750">
                    <a:solidFill>
                      <a:schemeClr val="accent4">
                        <a:lumMod val="75000"/>
                      </a:schemeClr>
                    </a:solidFill>
                    <a:prstDash val="sysDash"/>
                  </a:ln>
                </c:spPr>
                <c:marker>
                  <c:symbol val="square"/>
                  <c:size val="10"/>
                  <c:spPr>
                    <a:solidFill>
                      <a:schemeClr val="accent4">
                        <a:lumMod val="75000"/>
                      </a:schemeClr>
                    </a:solidFill>
                    <a:ln>
                      <a:solidFill>
                        <a:schemeClr val="accent4">
                          <a:lumMod val="75000"/>
                        </a:schemeClr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'RCP60'!$F$110:$F$115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1.0353055437773875</c:v>
                      </c:pt>
                      <c:pt idx="1">
                        <c:v>1.0353055437773875</c:v>
                      </c:pt>
                      <c:pt idx="2">
                        <c:v>1.0353055437773875</c:v>
                      </c:pt>
                      <c:pt idx="3">
                        <c:v>1.0353055437773875</c:v>
                      </c:pt>
                      <c:pt idx="4">
                        <c:v>1.0353055437773875</c:v>
                      </c:pt>
                      <c:pt idx="5">
                        <c:v>1.0353055437773875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94F-4A6B-8117-1A02428240CC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'Figure 3'!$AE$5</c15:sqref>
                        </c15:formulaRef>
                      </c:ext>
                    </c:extLst>
                    <c:strCache>
                      <c:ptCount val="1"/>
                      <c:pt idx="0">
                        <c:v>RCP8.5</c:v>
                      </c:pt>
                    </c:strCache>
                  </c:strRef>
                </c:tx>
                <c:spPr>
                  <a:ln w="31750">
                    <a:solidFill>
                      <a:srgbClr val="0070C0"/>
                    </a:solidFill>
                    <a:prstDash val="dash"/>
                  </a:ln>
                </c:spPr>
                <c:marker>
                  <c:symbol val="x"/>
                  <c:size val="10"/>
                  <c:spPr>
                    <a:ln>
                      <a:solidFill>
                        <a:srgbClr val="0070C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'RCP85'!$B$110:$B$115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2000</c:v>
                      </c:pt>
                      <c:pt idx="1">
                        <c:v>2020</c:v>
                      </c:pt>
                      <c:pt idx="2">
                        <c:v>2040</c:v>
                      </c:pt>
                      <c:pt idx="3">
                        <c:v>2060</c:v>
                      </c:pt>
                      <c:pt idx="4">
                        <c:v>2080</c:v>
                      </c:pt>
                      <c:pt idx="5">
                        <c:v>2100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'RCP85'!$F$110:$F$115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1.0353055437773875</c:v>
                      </c:pt>
                      <c:pt idx="1">
                        <c:v>1.0353055437773875</c:v>
                      </c:pt>
                      <c:pt idx="2">
                        <c:v>1.0353055437773875</c:v>
                      </c:pt>
                      <c:pt idx="3">
                        <c:v>1.0353055437773875</c:v>
                      </c:pt>
                      <c:pt idx="4">
                        <c:v>1.0353055437773875</c:v>
                      </c:pt>
                      <c:pt idx="5">
                        <c:v>1.0353055437773875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94F-4A6B-8117-1A02428240CC}"/>
                  </c:ext>
                </c:extLst>
              </c15:ser>
            </c15:filteredScatterSeries>
          </c:ext>
        </c:extLst>
      </c:scatterChart>
      <c:valAx>
        <c:axId val="168272448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low"/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'RCP26'!$O$116:$O$121</c:f>
              <c:numCache>
                <c:formatCode>0.00%</c:formatCode>
                <c:ptCount val="6"/>
                <c:pt idx="0">
                  <c:v>0</c:v>
                </c:pt>
                <c:pt idx="1">
                  <c:v>-1.7858555395476788E-16</c:v>
                </c:pt>
                <c:pt idx="2">
                  <c:v>1.5055023804432335E-16</c:v>
                </c:pt>
                <c:pt idx="3">
                  <c:v>1.3774377787625274E-16</c:v>
                </c:pt>
                <c:pt idx="4">
                  <c:v>0</c:v>
                </c:pt>
                <c:pt idx="5">
                  <c:v>-1.428544431989602E-16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97-44FB-8AF4-81962AFAF21C}"/>
            </c:ext>
          </c:extLst>
        </c:ser>
        <c:ser>
          <c:idx val="0"/>
          <c:order val="1"/>
          <c:tx>
            <c:strRef>
              <c:f>'Figure 3'!$AE$3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'RCP45'!$O$116:$O$121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3.011004760886467E-16</c:v>
                </c:pt>
                <c:pt idx="3">
                  <c:v>1.3774377787625274E-16</c:v>
                </c:pt>
                <c:pt idx="4">
                  <c:v>-1.355282670004026E-16</c:v>
                </c:pt>
                <c:pt idx="5">
                  <c:v>-1.428544431989602E-16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97-44FB-8AF4-81962AFAF21C}"/>
            </c:ext>
          </c:extLst>
        </c:ser>
        <c:ser>
          <c:idx val="3"/>
          <c:order val="2"/>
          <c:tx>
            <c:strRef>
              <c:f>'Figure 3'!$AE$4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'RCP60'!$O$116:$O$121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1.5055023804432335E-16</c:v>
                </c:pt>
                <c:pt idx="3">
                  <c:v>2.7548755575250547E-16</c:v>
                </c:pt>
                <c:pt idx="4">
                  <c:v>1.355282670004026E-16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97-44FB-8AF4-81962AFAF21C}"/>
            </c:ext>
          </c:extLst>
        </c:ser>
        <c:ser>
          <c:idx val="1"/>
          <c:order val="3"/>
          <c:tx>
            <c:strRef>
              <c:f>'Figure 3'!$AE$5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'RCP85'!$B$116:$B$121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'RCP85'!$O$116:$O$121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1.5055023804432335E-16</c:v>
                </c:pt>
                <c:pt idx="3">
                  <c:v>1.3774377787625274E-16</c:v>
                </c:pt>
                <c:pt idx="4">
                  <c:v>1.355282670004026E-16</c:v>
                </c:pt>
                <c:pt idx="5">
                  <c:v>-1.428544431989602E-16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97-44FB-8AF4-81962AFAF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3.0000000000000009E-3"/>
          <c:min val="-3.0000000000000009E-3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80408691751425154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'RCP26'!$O$122:$O$127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1.5055023804432335E-16</c:v>
                </c:pt>
                <c:pt idx="3">
                  <c:v>1.3774377787625274E-16</c:v>
                </c:pt>
                <c:pt idx="4">
                  <c:v>2.710565340008052E-16</c:v>
                </c:pt>
                <c:pt idx="5">
                  <c:v>-2.8570888639792041E-16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4C-4AA7-A13F-75D71A1E842F}"/>
            </c:ext>
          </c:extLst>
        </c:ser>
        <c:ser>
          <c:idx val="0"/>
          <c:order val="1"/>
          <c:tx>
            <c:strRef>
              <c:f>'Figure 3'!$AE$3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'RCP45'!$O$122:$O$127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1.355282670004026E-16</c:v>
                </c:pt>
                <c:pt idx="5">
                  <c:v>-1.428544431989602E-16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4C-4AA7-A13F-75D71A1E842F}"/>
            </c:ext>
          </c:extLst>
        </c:ser>
        <c:ser>
          <c:idx val="3"/>
          <c:order val="2"/>
          <c:tx>
            <c:strRef>
              <c:f>'Figure 3'!$AE$4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'RCP60'!$O$122:$O$127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1.3774377787625274E-16</c:v>
                </c:pt>
                <c:pt idx="4">
                  <c:v>0</c:v>
                </c:pt>
                <c:pt idx="5">
                  <c:v>-1.428544431989602E-16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4C-4AA7-A13F-75D71A1E842F}"/>
            </c:ext>
          </c:extLst>
        </c:ser>
        <c:ser>
          <c:idx val="1"/>
          <c:order val="3"/>
          <c:tx>
            <c:strRef>
              <c:f>'Figure 3'!$AE$5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'RCP85'!$B$122:$B$127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'RCP85'!$O$122:$O$127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1.5055023804432335E-16</c:v>
                </c:pt>
                <c:pt idx="3">
                  <c:v>1.3774377787625274E-16</c:v>
                </c:pt>
                <c:pt idx="4">
                  <c:v>1.355282670004026E-16</c:v>
                </c:pt>
                <c:pt idx="5">
                  <c:v>-1.428544431989602E-16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4C-4AA7-A13F-75D71A1E8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prstDash val="dash"/>
          </a:ln>
        </c:sp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3.0000000000000009E-3"/>
          <c:min val="-3.0000000000000009E-3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1.0000000000000002E-3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5.5626796650418697E-2"/>
          <c:w val="0.78522541414218605"/>
          <c:h val="0.8886749156355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3'!$AE$2</c:f>
              <c:strCache>
                <c:ptCount val="1"/>
                <c:pt idx="0">
                  <c:v>RCP2.6</c:v>
                </c:pt>
              </c:strCache>
            </c:strRef>
          </c:tx>
          <c:spPr>
            <a:ln w="50800">
              <a:solidFill>
                <a:schemeClr val="accent6"/>
              </a:solidFill>
              <a:prstDash val="solid"/>
            </a:ln>
          </c:spPr>
          <c:marker>
            <c:symbol val="diamond"/>
            <c:size val="1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'RCP26'!$O$128:$O$133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1.5055023804432335E-16</c:v>
                </c:pt>
                <c:pt idx="3">
                  <c:v>-1.3774377787625274E-16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C-49D4-97FA-D28F036B9D9E}"/>
            </c:ext>
          </c:extLst>
        </c:ser>
        <c:ser>
          <c:idx val="0"/>
          <c:order val="1"/>
          <c:tx>
            <c:strRef>
              <c:f>'Figure 3'!$AE$3</c:f>
              <c:strCache>
                <c:ptCount val="1"/>
                <c:pt idx="0">
                  <c:v>RCP4.5</c:v>
                </c:pt>
              </c:strCache>
            </c:strRef>
          </c:tx>
          <c:spPr>
            <a:ln w="50800">
              <a:solidFill>
                <a:srgbClr val="C00000"/>
              </a:solidFill>
              <a:prstDash val="sysDot"/>
            </a:ln>
          </c:spPr>
          <c:marker>
            <c:symbol val="triangle"/>
            <c:size val="1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'RCP45'!$O$128:$O$133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2.7548755575250547E-16</c:v>
                </c:pt>
                <c:pt idx="4">
                  <c:v>1.355282670004026E-16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6C-49D4-97FA-D28F036B9D9E}"/>
            </c:ext>
          </c:extLst>
        </c:ser>
        <c:ser>
          <c:idx val="3"/>
          <c:order val="2"/>
          <c:tx>
            <c:strRef>
              <c:f>'Figure 3'!$AE$4</c:f>
              <c:strCache>
                <c:ptCount val="1"/>
                <c:pt idx="0">
                  <c:v>RCP6.0</c:v>
                </c:pt>
              </c:strCache>
            </c:strRef>
          </c:tx>
          <c:spPr>
            <a:ln w="50800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15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'RCP60'!$O$128:$O$133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1.5055023804432335E-16</c:v>
                </c:pt>
                <c:pt idx="3">
                  <c:v>0</c:v>
                </c:pt>
                <c:pt idx="4">
                  <c:v>0</c:v>
                </c:pt>
                <c:pt idx="5">
                  <c:v>-2.8570888639792041E-16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6C-49D4-97FA-D28F036B9D9E}"/>
            </c:ext>
          </c:extLst>
        </c:ser>
        <c:ser>
          <c:idx val="1"/>
          <c:order val="3"/>
          <c:tx>
            <c:strRef>
              <c:f>'Figure 3'!$AE$5</c:f>
              <c:strCache>
                <c:ptCount val="1"/>
                <c:pt idx="0">
                  <c:v>RCP8.5</c:v>
                </c:pt>
              </c:strCache>
            </c:strRef>
          </c:tx>
          <c:spPr>
            <a:ln w="50800">
              <a:solidFill>
                <a:srgbClr val="0070C0"/>
              </a:solidFill>
              <a:prstDash val="dash"/>
            </a:ln>
          </c:spPr>
          <c:marker>
            <c:symbol val="x"/>
            <c:size val="15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'RCP85'!$B$128:$B$133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'RCP85'!$O$128:$O$133</c:f>
              <c:numCache>
                <c:formatCode>0.00%</c:formatCode>
                <c:ptCount val="6"/>
                <c:pt idx="0">
                  <c:v>0</c:v>
                </c:pt>
                <c:pt idx="1">
                  <c:v>-1.7858555395476788E-16</c:v>
                </c:pt>
                <c:pt idx="2">
                  <c:v>0</c:v>
                </c:pt>
                <c:pt idx="3">
                  <c:v>1.3774377787625274E-16</c:v>
                </c:pt>
                <c:pt idx="4">
                  <c:v>1.355282670004026E-16</c:v>
                </c:pt>
                <c:pt idx="5">
                  <c:v>-2.8570888639792041E-16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6C-49D4-97FA-D28F036B9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prstDash val="dash"/>
          </a:ln>
        </c:spPr>
        <c:txPr>
          <a:bodyPr/>
          <a:lstStyle/>
          <a:p>
            <a:pPr>
              <a:defRPr sz="2000"/>
            </a:pPr>
            <a:endParaRPr lang="en-US"/>
          </a:p>
        </c:txPr>
        <c:crossAx val="168273024"/>
        <c:crossesAt val="0"/>
        <c:crossBetween val="midCat"/>
        <c:majorUnit val="20"/>
      </c:valAx>
      <c:valAx>
        <c:axId val="168273024"/>
        <c:scaling>
          <c:orientation val="minMax"/>
          <c:max val="3.0000000000000009E-3"/>
          <c:min val="-3.0000000000000009E-3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'RCP26'!$K$8:$K$13</c:f>
              <c:numCache>
                <c:formatCode>0.00%</c:formatCode>
                <c:ptCount val="6"/>
                <c:pt idx="0">
                  <c:v>0</c:v>
                </c:pt>
                <c:pt idx="1">
                  <c:v>-1.9801326693244289E-2</c:v>
                </c:pt>
                <c:pt idx="2">
                  <c:v>-2.9554466451491256E-2</c:v>
                </c:pt>
                <c:pt idx="3">
                  <c:v>-2.9554466451491256E-2</c:v>
                </c:pt>
                <c:pt idx="4">
                  <c:v>-2.9554466451491256E-2</c:v>
                </c:pt>
                <c:pt idx="5">
                  <c:v>-2.9554466451491256E-2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AC-49DA-8240-9DFDD70498D9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'RCP45'!$K$8:$K$13</c:f>
              <c:numCache>
                <c:formatCode>0.00%</c:formatCode>
                <c:ptCount val="6"/>
                <c:pt idx="0">
                  <c:v>0</c:v>
                </c:pt>
                <c:pt idx="1">
                  <c:v>-1.9801326693244289E-2</c:v>
                </c:pt>
                <c:pt idx="2">
                  <c:v>-2.9554466451491256E-2</c:v>
                </c:pt>
                <c:pt idx="3">
                  <c:v>-4.8770575499285859E-2</c:v>
                </c:pt>
                <c:pt idx="4">
                  <c:v>-4.8770575499285859E-2</c:v>
                </c:pt>
                <c:pt idx="5">
                  <c:v>-4.8770575499285859E-2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AC-49DA-8240-9DFDD70498D9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'RCP60'!$K$8:$K$13</c:f>
              <c:numCache>
                <c:formatCode>0.00%</c:formatCode>
                <c:ptCount val="6"/>
                <c:pt idx="0">
                  <c:v>0</c:v>
                </c:pt>
                <c:pt idx="1">
                  <c:v>-1.9801326693244289E-2</c:v>
                </c:pt>
                <c:pt idx="2">
                  <c:v>-2.9554466451491256E-2</c:v>
                </c:pt>
                <c:pt idx="3">
                  <c:v>-3.9210560847676781E-2</c:v>
                </c:pt>
                <c:pt idx="4">
                  <c:v>-5.8235466415750871E-2</c:v>
                </c:pt>
                <c:pt idx="5">
                  <c:v>-6.7606180094051255E-2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AC-49DA-8240-9DFDD70498D9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'RCP85'!$K$8:$K$13</c:f>
              <c:numCache>
                <c:formatCode>0.00%</c:formatCode>
                <c:ptCount val="6"/>
                <c:pt idx="0">
                  <c:v>0</c:v>
                </c:pt>
                <c:pt idx="1">
                  <c:v>-1.9801326693244289E-2</c:v>
                </c:pt>
                <c:pt idx="2">
                  <c:v>-3.9210560847676781E-2</c:v>
                </c:pt>
                <c:pt idx="3">
                  <c:v>-5.8235466415750871E-2</c:v>
                </c:pt>
                <c:pt idx="4">
                  <c:v>-7.6883653613363565E-2</c:v>
                </c:pt>
                <c:pt idx="5">
                  <c:v>-8.6068814728771675E-2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AC-49DA-8240-9DFDD704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643513812130299"/>
          <c:y val="0.13051418572678417"/>
          <c:w val="0.38399996032346656"/>
          <c:h val="0.31674915635545559"/>
        </c:manualLayout>
      </c:layout>
      <c:overlay val="0"/>
      <c:txPr>
        <a:bodyPr/>
        <a:lstStyle/>
        <a:p>
          <a:pPr>
            <a:defRPr sz="22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775476268441134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'RCP26'!$G$8:$G$13</c:f>
              <c:numCache>
                <c:formatCode>0.00%</c:formatCode>
                <c:ptCount val="6"/>
                <c:pt idx="0">
                  <c:v>0</c:v>
                </c:pt>
                <c:pt idx="1">
                  <c:v>4.5631492050486108E-3</c:v>
                </c:pt>
                <c:pt idx="2">
                  <c:v>9.2141886875958222E-3</c:v>
                </c:pt>
                <c:pt idx="3">
                  <c:v>9.2141886875958222E-3</c:v>
                </c:pt>
                <c:pt idx="4">
                  <c:v>1.3961410905313169E-2</c:v>
                </c:pt>
                <c:pt idx="5">
                  <c:v>1.3961410905313169E-2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BD-4E18-A94C-CF472036E7E6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'RCP45'!$G$8:$G$13</c:f>
              <c:numCache>
                <c:formatCode>0.00%</c:formatCode>
                <c:ptCount val="6"/>
                <c:pt idx="0">
                  <c:v>0</c:v>
                </c:pt>
                <c:pt idx="1">
                  <c:v>4.5631492050486108E-3</c:v>
                </c:pt>
                <c:pt idx="2">
                  <c:v>1.3961410905313169E-2</c:v>
                </c:pt>
                <c:pt idx="3">
                  <c:v>2.3737102346575785E-2</c:v>
                </c:pt>
                <c:pt idx="4">
                  <c:v>2.3737102346575785E-2</c:v>
                </c:pt>
                <c:pt idx="5">
                  <c:v>2.8769802836526654E-2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BD-4E18-A94C-CF472036E7E6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'RCP60'!$G$8:$G$13</c:f>
              <c:numCache>
                <c:formatCode>0.00%</c:formatCode>
                <c:ptCount val="6"/>
                <c:pt idx="0">
                  <c:v>0</c:v>
                </c:pt>
                <c:pt idx="1">
                  <c:v>9.2141886875958222E-3</c:v>
                </c:pt>
                <c:pt idx="2">
                  <c:v>1.3961410905313169E-2</c:v>
                </c:pt>
                <c:pt idx="3">
                  <c:v>1.8801455809111033E-2</c:v>
                </c:pt>
                <c:pt idx="4">
                  <c:v>3.3896756881929328E-2</c:v>
                </c:pt>
                <c:pt idx="5">
                  <c:v>3.9125334084245122E-2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BD-4E18-A94C-CF472036E7E6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'RCP85'!$G$8:$G$13</c:f>
              <c:numCache>
                <c:formatCode>0.00%</c:formatCode>
                <c:ptCount val="6"/>
                <c:pt idx="0">
                  <c:v>0</c:v>
                </c:pt>
                <c:pt idx="1">
                  <c:v>4.5631492050486108E-3</c:v>
                </c:pt>
                <c:pt idx="2">
                  <c:v>1.8801455809111033E-2</c:v>
                </c:pt>
                <c:pt idx="3">
                  <c:v>3.3896756881929328E-2</c:v>
                </c:pt>
                <c:pt idx="4">
                  <c:v>4.9880942237314194E-2</c:v>
                </c:pt>
                <c:pt idx="5">
                  <c:v>7.263725147463003E-2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BD-4E18-A94C-CF472036E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'RCP26'!$K$20:$K$25</c:f>
              <c:numCache>
                <c:formatCode>0.00%</c:formatCode>
                <c:ptCount val="6"/>
                <c:pt idx="0">
                  <c:v>0</c:v>
                </c:pt>
                <c:pt idx="1">
                  <c:v>-1.9801326693244282E-2</c:v>
                </c:pt>
                <c:pt idx="2">
                  <c:v>-2.9554466451492026E-2</c:v>
                </c:pt>
                <c:pt idx="3">
                  <c:v>-3.9210560847676969E-2</c:v>
                </c:pt>
                <c:pt idx="4">
                  <c:v>-3.9210560847676969E-2</c:v>
                </c:pt>
                <c:pt idx="5">
                  <c:v>-3.9210560847676969E-2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90-4A7F-8C6C-1E1424B9639B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'RCP45'!$K$20:$K$25</c:f>
              <c:numCache>
                <c:formatCode>0.00%</c:formatCode>
                <c:ptCount val="6"/>
                <c:pt idx="0">
                  <c:v>0</c:v>
                </c:pt>
                <c:pt idx="1">
                  <c:v>-1.9801326693244282E-2</c:v>
                </c:pt>
                <c:pt idx="2">
                  <c:v>-3.9210560847676969E-2</c:v>
                </c:pt>
                <c:pt idx="3">
                  <c:v>-5.8235466415750933E-2</c:v>
                </c:pt>
                <c:pt idx="4">
                  <c:v>-6.7606180094051949E-2</c:v>
                </c:pt>
                <c:pt idx="5">
                  <c:v>-7.6883653613364286E-2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90-4A7F-8C6C-1E1424B9639B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'RCP60'!$K$20:$K$25</c:f>
              <c:numCache>
                <c:formatCode>0.00%</c:formatCode>
                <c:ptCount val="6"/>
                <c:pt idx="0">
                  <c:v>0</c:v>
                </c:pt>
                <c:pt idx="1">
                  <c:v>-2.9554466451492026E-2</c:v>
                </c:pt>
                <c:pt idx="2">
                  <c:v>-3.9210560847676969E-2</c:v>
                </c:pt>
                <c:pt idx="3">
                  <c:v>-6.7606180094051949E-2</c:v>
                </c:pt>
                <c:pt idx="4">
                  <c:v>-7.6883653613364286E-2</c:v>
                </c:pt>
                <c:pt idx="5">
                  <c:v>-9.5162581964040122E-2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90-4A7F-8C6C-1E1424B9639B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'RCP85'!$K$20:$K$25</c:f>
              <c:numCache>
                <c:formatCode>0.00%</c:formatCode>
                <c:ptCount val="6"/>
                <c:pt idx="0">
                  <c:v>0</c:v>
                </c:pt>
                <c:pt idx="1">
                  <c:v>-1.9801326693244282E-2</c:v>
                </c:pt>
                <c:pt idx="2">
                  <c:v>-5.8235466415750933E-2</c:v>
                </c:pt>
                <c:pt idx="3">
                  <c:v>-7.6883653613364286E-2</c:v>
                </c:pt>
                <c:pt idx="4">
                  <c:v>-0.10416586470347131</c:v>
                </c:pt>
                <c:pt idx="5">
                  <c:v>-0.11307956328284254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90-4A7F-8C6C-1E1424B96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909093775399961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'RCP26'!$G$20:$G$25</c:f>
              <c:numCache>
                <c:formatCode>0.00%</c:formatCode>
                <c:ptCount val="6"/>
                <c:pt idx="0">
                  <c:v>0</c:v>
                </c:pt>
                <c:pt idx="1">
                  <c:v>8.7873324924078837E-3</c:v>
                </c:pt>
                <c:pt idx="2">
                  <c:v>1.331649556540542E-2</c:v>
                </c:pt>
                <c:pt idx="3">
                  <c:v>1.7940409926607344E-2</c:v>
                </c:pt>
                <c:pt idx="4">
                  <c:v>1.7940409926607344E-2</c:v>
                </c:pt>
                <c:pt idx="5">
                  <c:v>1.7940409926607344E-2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21-410C-9E4B-C8787D411933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'RCP45'!$G$20:$G$25</c:f>
              <c:numCache>
                <c:formatCode>0.00%</c:formatCode>
                <c:ptCount val="6"/>
                <c:pt idx="0">
                  <c:v>0</c:v>
                </c:pt>
                <c:pt idx="1">
                  <c:v>8.7873324924078837E-3</c:v>
                </c:pt>
                <c:pt idx="2">
                  <c:v>1.7940409926607344E-2</c:v>
                </c:pt>
                <c:pt idx="3">
                  <c:v>2.7463823537125995E-2</c:v>
                </c:pt>
                <c:pt idx="4">
                  <c:v>3.2368320877421648E-2</c:v>
                </c:pt>
                <c:pt idx="5">
                  <c:v>3.7369692930114953E-2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21-410C-9E4B-C8787D411933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'RCP60'!$G$20:$G$25</c:f>
              <c:numCache>
                <c:formatCode>0.00%</c:formatCode>
                <c:ptCount val="6"/>
                <c:pt idx="0">
                  <c:v>0</c:v>
                </c:pt>
                <c:pt idx="1">
                  <c:v>1.331649556540542E-2</c:v>
                </c:pt>
                <c:pt idx="2">
                  <c:v>1.7940409926607344E-2</c:v>
                </c:pt>
                <c:pt idx="3">
                  <c:v>3.2368320877421648E-2</c:v>
                </c:pt>
                <c:pt idx="4">
                  <c:v>4.2469411353822269E-2</c:v>
                </c:pt>
                <c:pt idx="5">
                  <c:v>5.2962841987478394E-2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21-410C-9E4B-C8787D411933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'RCP85'!$G$20:$G$25</c:f>
              <c:numCache>
                <c:formatCode>0.00%</c:formatCode>
                <c:ptCount val="6"/>
                <c:pt idx="0">
                  <c:v>0</c:v>
                </c:pt>
                <c:pt idx="1">
                  <c:v>8.7873324924078837E-3</c:v>
                </c:pt>
                <c:pt idx="2">
                  <c:v>2.2653384955798422E-2</c:v>
                </c:pt>
                <c:pt idx="3">
                  <c:v>4.2469411353822269E-2</c:v>
                </c:pt>
                <c:pt idx="4">
                  <c:v>6.3861677148821058E-2</c:v>
                </c:pt>
                <c:pt idx="5">
                  <c:v>9.2953652765141809E-2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621-410C-9E4B-C8787D411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64281682724646"/>
          <c:y val="0.12864273865661999"/>
          <c:w val="0.83582146341287489"/>
          <c:h val="0.71623055118110235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'RCP26'!$G$32:$G$37</c:f>
              <c:numCache>
                <c:formatCode>0.00%</c:formatCode>
                <c:ptCount val="6"/>
                <c:pt idx="0">
                  <c:v>0</c:v>
                </c:pt>
                <c:pt idx="1">
                  <c:v>1.4173630214615944E-2</c:v>
                </c:pt>
                <c:pt idx="2">
                  <c:v>2.4096696808591622E-2</c:v>
                </c:pt>
                <c:pt idx="3">
                  <c:v>2.9200362067923341E-2</c:v>
                </c:pt>
                <c:pt idx="4">
                  <c:v>2.9200362067923341E-2</c:v>
                </c:pt>
                <c:pt idx="5">
                  <c:v>2.9200362067923341E-2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30-4329-A84C-2E8E2E394BD3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'RCP45'!$G$32:$G$37</c:f>
              <c:numCache>
                <c:formatCode>0.00%</c:formatCode>
                <c:ptCount val="6"/>
                <c:pt idx="0">
                  <c:v>0</c:v>
                </c:pt>
                <c:pt idx="1">
                  <c:v>1.4173630214615944E-2</c:v>
                </c:pt>
                <c:pt idx="2">
                  <c:v>3.4405188868959567E-2</c:v>
                </c:pt>
                <c:pt idx="3">
                  <c:v>5.0618699966877567E-2</c:v>
                </c:pt>
                <c:pt idx="4">
                  <c:v>5.623008366486007E-2</c:v>
                </c:pt>
                <c:pt idx="5">
                  <c:v>6.1943659081242206E-2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30-4329-A84C-2E8E2E394BD3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'RCP60'!$G$32:$G$37</c:f>
              <c:numCache>
                <c:formatCode>0.00%</c:formatCode>
                <c:ptCount val="6"/>
                <c:pt idx="0">
                  <c:v>0</c:v>
                </c:pt>
                <c:pt idx="1">
                  <c:v>2.4096696808591622E-2</c:v>
                </c:pt>
                <c:pt idx="2">
                  <c:v>3.4405188868959567E-2</c:v>
                </c:pt>
                <c:pt idx="3">
                  <c:v>5.623008366486007E-2</c:v>
                </c:pt>
                <c:pt idx="4">
                  <c:v>7.9728485929763449E-2</c:v>
                </c:pt>
                <c:pt idx="5">
                  <c:v>9.2136933873718532E-2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30-4329-A84C-2E8E2E394BD3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'RCP85'!$G$32:$G$37</c:f>
              <c:numCache>
                <c:formatCode>0.00%</c:formatCode>
                <c:ptCount val="6"/>
                <c:pt idx="0">
                  <c:v>0</c:v>
                </c:pt>
                <c:pt idx="1">
                  <c:v>1.4173630214615944E-2</c:v>
                </c:pt>
                <c:pt idx="2">
                  <c:v>3.9709373659712145E-2</c:v>
                </c:pt>
                <c:pt idx="3">
                  <c:v>6.7764881006685554E-2</c:v>
                </c:pt>
                <c:pt idx="4">
                  <c:v>0.10499988120650131</c:v>
                </c:pt>
                <c:pt idx="5">
                  <c:v>0.14643249198682928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D30-4329-A84C-2E8E2E394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71669428277986991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'RCP26'!$K$32:$K$37</c:f>
              <c:numCache>
                <c:formatCode>0.00%</c:formatCode>
                <c:ptCount val="6"/>
                <c:pt idx="0">
                  <c:v>0</c:v>
                </c:pt>
                <c:pt idx="1">
                  <c:v>-2.9554466451491831E-2</c:v>
                </c:pt>
                <c:pt idx="2">
                  <c:v>-3.9210560847676684E-2</c:v>
                </c:pt>
                <c:pt idx="3">
                  <c:v>-4.8770575499285589E-2</c:v>
                </c:pt>
                <c:pt idx="4">
                  <c:v>-4.8770575499285589E-2</c:v>
                </c:pt>
                <c:pt idx="5">
                  <c:v>-4.8770575499285589E-2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5D-4542-8E18-E17138DD961F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'RCP45'!$K$32:$K$37</c:f>
              <c:numCache>
                <c:formatCode>0.00%</c:formatCode>
                <c:ptCount val="6"/>
                <c:pt idx="0">
                  <c:v>0</c:v>
                </c:pt>
                <c:pt idx="1">
                  <c:v>-2.9554466451491831E-2</c:v>
                </c:pt>
                <c:pt idx="2">
                  <c:v>-4.8770575499285589E-2</c:v>
                </c:pt>
                <c:pt idx="3">
                  <c:v>-6.760618009405113E-2</c:v>
                </c:pt>
                <c:pt idx="4">
                  <c:v>-6.760618009405113E-2</c:v>
                </c:pt>
                <c:pt idx="5">
                  <c:v>-6.760618009405113E-2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5D-4542-8E18-E17138DD961F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'RCP60'!$K$32:$K$37</c:f>
              <c:numCache>
                <c:formatCode>0.00%</c:formatCode>
                <c:ptCount val="6"/>
                <c:pt idx="0">
                  <c:v>0</c:v>
                </c:pt>
                <c:pt idx="1">
                  <c:v>-3.9210560847676684E-2</c:v>
                </c:pt>
                <c:pt idx="2">
                  <c:v>-5.8235466415750788E-2</c:v>
                </c:pt>
                <c:pt idx="3">
                  <c:v>-6.760618009405113E-2</c:v>
                </c:pt>
                <c:pt idx="4">
                  <c:v>-7.6883653613364092E-2</c:v>
                </c:pt>
                <c:pt idx="5">
                  <c:v>-7.6883653613364092E-2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85D-4542-8E18-E17138DD961F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'RCP85'!$K$32:$K$37</c:f>
              <c:numCache>
                <c:formatCode>0.00%</c:formatCode>
                <c:ptCount val="6"/>
                <c:pt idx="0">
                  <c:v>0</c:v>
                </c:pt>
                <c:pt idx="1">
                  <c:v>-2.9554466451491831E-2</c:v>
                </c:pt>
                <c:pt idx="2">
                  <c:v>-5.8235466415750788E-2</c:v>
                </c:pt>
                <c:pt idx="3">
                  <c:v>-7.6883653613364092E-2</c:v>
                </c:pt>
                <c:pt idx="4">
                  <c:v>-6.760618009405113E-2</c:v>
                </c:pt>
                <c:pt idx="5">
                  <c:v>-4.8770575499285589E-2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85D-4542-8E18-E17138DD9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'RCP26'!$K$44:$K$49</c:f>
              <c:numCache>
                <c:formatCode>0.00%</c:formatCode>
                <c:ptCount val="6"/>
                <c:pt idx="0">
                  <c:v>0</c:v>
                </c:pt>
                <c:pt idx="1">
                  <c:v>-4.8770575499285866E-2</c:v>
                </c:pt>
                <c:pt idx="2">
                  <c:v>-5.8235466415750857E-2</c:v>
                </c:pt>
                <c:pt idx="3">
                  <c:v>-6.7606180094052004E-2</c:v>
                </c:pt>
                <c:pt idx="4">
                  <c:v>-6.7606180094052004E-2</c:v>
                </c:pt>
                <c:pt idx="5">
                  <c:v>-6.7606180094052004E-2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BD-46B8-800A-06767A45D308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'RCP45'!$K$44:$K$49</c:f>
              <c:numCache>
                <c:formatCode>0.00%</c:formatCode>
                <c:ptCount val="6"/>
                <c:pt idx="0">
                  <c:v>0</c:v>
                </c:pt>
                <c:pt idx="1">
                  <c:v>-3.9210560847676941E-2</c:v>
                </c:pt>
                <c:pt idx="2">
                  <c:v>-7.6883653613364342E-2</c:v>
                </c:pt>
                <c:pt idx="3">
                  <c:v>-0.10416586470347206</c:v>
                </c:pt>
                <c:pt idx="4">
                  <c:v>-0.12190456907943861</c:v>
                </c:pt>
                <c:pt idx="5">
                  <c:v>-0.13064176460119398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BD-46B8-800A-06767A45D308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'RCP60'!$K$44:$K$49</c:f>
              <c:numCache>
                <c:formatCode>0.00%</c:formatCode>
                <c:ptCount val="6"/>
                <c:pt idx="0">
                  <c:v>0</c:v>
                </c:pt>
                <c:pt idx="1">
                  <c:v>-5.8235466415750857E-2</c:v>
                </c:pt>
                <c:pt idx="2">
                  <c:v>-7.6883653613364342E-2</c:v>
                </c:pt>
                <c:pt idx="3">
                  <c:v>-0.11307956328284277</c:v>
                </c:pt>
                <c:pt idx="4">
                  <c:v>-0.13929202357494247</c:v>
                </c:pt>
                <c:pt idx="5">
                  <c:v>-0.15633518340361624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BD-46B8-800A-06767A45D308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'RCP85'!$K$44:$K$49</c:f>
              <c:numCache>
                <c:formatCode>0.00%</c:formatCode>
                <c:ptCount val="6"/>
                <c:pt idx="0">
                  <c:v>0</c:v>
                </c:pt>
                <c:pt idx="1">
                  <c:v>-3.9210560847676941E-2</c:v>
                </c:pt>
                <c:pt idx="2">
                  <c:v>-8.6068814728771814E-2</c:v>
                </c:pt>
                <c:pt idx="3">
                  <c:v>-0.13064176460119398</c:v>
                </c:pt>
                <c:pt idx="4">
                  <c:v>-0.1647297885887278</c:v>
                </c:pt>
                <c:pt idx="5">
                  <c:v>-0.18126924692201832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BD-46B8-800A-06767A45D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643513812130299"/>
          <c:y val="0.13051418572678417"/>
          <c:w val="0.38399996032346656"/>
          <c:h val="0.31674915635545559"/>
        </c:manualLayout>
      </c:layout>
      <c:overlay val="0"/>
      <c:txPr>
        <a:bodyPr/>
        <a:lstStyle/>
        <a:p>
          <a:pPr>
            <a:defRPr sz="22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775476268441134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'RCP26'!$G$44:$G$49</c:f>
              <c:numCache>
                <c:formatCode>0.00%</c:formatCode>
                <c:ptCount val="6"/>
                <c:pt idx="0">
                  <c:v>0</c:v>
                </c:pt>
                <c:pt idx="1">
                  <c:v>1.2036280333434058E-2</c:v>
                </c:pt>
                <c:pt idx="2">
                  <c:v>1.6221811005958067E-2</c:v>
                </c:pt>
                <c:pt idx="3">
                  <c:v>2.0497143644039567E-2</c:v>
                </c:pt>
                <c:pt idx="4">
                  <c:v>2.4864646808436294E-2</c:v>
                </c:pt>
                <c:pt idx="5">
                  <c:v>2.0497143644039567E-2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3-43EB-AB5F-E97B2B967ED9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'RCP45'!$G$44:$G$49</c:f>
              <c:numCache>
                <c:formatCode>0.00%</c:formatCode>
                <c:ptCount val="6"/>
                <c:pt idx="0">
                  <c:v>0</c:v>
                </c:pt>
                <c:pt idx="1">
                  <c:v>1.2036280333434058E-2</c:v>
                </c:pt>
                <c:pt idx="2">
                  <c:v>2.4864646808436294E-2</c:v>
                </c:pt>
                <c:pt idx="3">
                  <c:v>3.851225233280163E-2</c:v>
                </c:pt>
                <c:pt idx="4">
                  <c:v>4.3251138691467295E-2</c:v>
                </c:pt>
                <c:pt idx="5">
                  <c:v>4.8081300180176187E-2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3-43EB-AB5F-E97B2B967ED9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'RCP60'!$G$44:$G$49</c:f>
              <c:numCache>
                <c:formatCode>0.00%</c:formatCode>
                <c:ptCount val="6"/>
                <c:pt idx="0">
                  <c:v>0</c:v>
                </c:pt>
                <c:pt idx="1">
                  <c:v>1.6221811005958067E-2</c:v>
                </c:pt>
                <c:pt idx="2">
                  <c:v>2.4864646808436294E-2</c:v>
                </c:pt>
                <c:pt idx="3">
                  <c:v>4.3251138691467295E-2</c:v>
                </c:pt>
                <c:pt idx="4">
                  <c:v>5.8037794552257167E-2</c:v>
                </c:pt>
                <c:pt idx="5">
                  <c:v>6.8390045075733555E-2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73-43EB-AB5F-E97B2B967ED9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'RCP85'!$G$44:$G$49</c:f>
              <c:numCache>
                <c:formatCode>0.00%</c:formatCode>
                <c:ptCount val="6"/>
                <c:pt idx="0">
                  <c:v>0</c:v>
                </c:pt>
                <c:pt idx="1">
                  <c:v>7.9383767386919935E-3</c:v>
                </c:pt>
                <c:pt idx="2">
                  <c:v>2.4864646808436294E-2</c:v>
                </c:pt>
                <c:pt idx="3">
                  <c:v>5.3011348617822147E-2</c:v>
                </c:pt>
                <c:pt idx="4">
                  <c:v>8.4677987978686947E-2</c:v>
                </c:pt>
                <c:pt idx="5">
                  <c:v>0.12012955931913738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73-43EB-AB5F-E97B2B967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'RCP26'!$K$56:$K$61</c:f>
              <c:numCache>
                <c:formatCode>0.00%</c:formatCode>
                <c:ptCount val="6"/>
                <c:pt idx="0">
                  <c:v>0</c:v>
                </c:pt>
                <c:pt idx="1">
                  <c:v>-1.9801326693244446E-2</c:v>
                </c:pt>
                <c:pt idx="2">
                  <c:v>-1.9801326693244446E-2</c:v>
                </c:pt>
                <c:pt idx="3">
                  <c:v>-1.9801326693244446E-2</c:v>
                </c:pt>
                <c:pt idx="4">
                  <c:v>-1.9801326693244446E-2</c:v>
                </c:pt>
                <c:pt idx="5">
                  <c:v>-1.9801326693244446E-2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B4-4983-9884-50CC6D1CBE55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'RCP45'!$K$56:$K$61</c:f>
              <c:numCache>
                <c:formatCode>0.00%</c:formatCode>
                <c:ptCount val="6"/>
                <c:pt idx="0">
                  <c:v>0</c:v>
                </c:pt>
                <c:pt idx="1">
                  <c:v>-9.9501662508318413E-3</c:v>
                </c:pt>
                <c:pt idx="2">
                  <c:v>-1.9801326693244446E-2</c:v>
                </c:pt>
                <c:pt idx="3">
                  <c:v>-2.9554466451492109E-2</c:v>
                </c:pt>
                <c:pt idx="4">
                  <c:v>-2.9554466451492109E-2</c:v>
                </c:pt>
                <c:pt idx="5">
                  <c:v>-2.9554466451492109E-2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B4-4983-9884-50CC6D1CBE55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'RCP60'!$K$56:$K$61</c:f>
              <c:numCache>
                <c:formatCode>0.00%</c:formatCode>
                <c:ptCount val="6"/>
                <c:pt idx="0">
                  <c:v>0</c:v>
                </c:pt>
                <c:pt idx="1">
                  <c:v>-1.9801326693244446E-2</c:v>
                </c:pt>
                <c:pt idx="2">
                  <c:v>-1.9801326693244446E-2</c:v>
                </c:pt>
                <c:pt idx="3">
                  <c:v>-2.9554466451492109E-2</c:v>
                </c:pt>
                <c:pt idx="4">
                  <c:v>-2.9554466451492109E-2</c:v>
                </c:pt>
                <c:pt idx="5">
                  <c:v>-2.9554466451492109E-2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B4-4983-9884-50CC6D1CBE55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'RCP85'!$K$56:$K$61</c:f>
              <c:numCache>
                <c:formatCode>0.00%</c:formatCode>
                <c:ptCount val="6"/>
                <c:pt idx="0">
                  <c:v>0</c:v>
                </c:pt>
                <c:pt idx="1">
                  <c:v>-9.9501662508318413E-3</c:v>
                </c:pt>
                <c:pt idx="2">
                  <c:v>-1.9801326693244446E-2</c:v>
                </c:pt>
                <c:pt idx="3">
                  <c:v>-2.9554466451492109E-2</c:v>
                </c:pt>
                <c:pt idx="4">
                  <c:v>-1.9801326693244446E-2</c:v>
                </c:pt>
                <c:pt idx="5">
                  <c:v>-9.9501662508318413E-3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B4-4983-9884-50CC6D1CB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909093775399961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'RCP26'!$G$56:$G$61</c:f>
              <c:numCache>
                <c:formatCode>0.00%</c:formatCode>
                <c:ptCount val="6"/>
                <c:pt idx="0">
                  <c:v>0</c:v>
                </c:pt>
                <c:pt idx="1">
                  <c:v>1.0350636059265863E-2</c:v>
                </c:pt>
                <c:pt idx="2">
                  <c:v>1.5674236046366117E-2</c:v>
                </c:pt>
                <c:pt idx="3">
                  <c:v>2.1098980390618787E-2</c:v>
                </c:pt>
                <c:pt idx="4">
                  <c:v>2.1098980390618787E-2</c:v>
                </c:pt>
                <c:pt idx="5">
                  <c:v>2.1098980390618787E-2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5-4F7B-A16B-8318E2977B9A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'RCP45'!$G$56:$G$61</c:f>
              <c:numCache>
                <c:formatCode>0.00%</c:formatCode>
                <c:ptCount val="6"/>
                <c:pt idx="0">
                  <c:v>0</c:v>
                </c:pt>
                <c:pt idx="1">
                  <c:v>1.0350636059265863E-2</c:v>
                </c:pt>
                <c:pt idx="2">
                  <c:v>2.1098980390618787E-2</c:v>
                </c:pt>
                <c:pt idx="3">
                  <c:v>3.2250120645858492E-2</c:v>
                </c:pt>
                <c:pt idx="4">
                  <c:v>3.7979318151607641E-2</c:v>
                </c:pt>
                <c:pt idx="5">
                  <c:v>4.3815805980595798E-2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5-4F7B-A16B-8318E2977B9A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'RCP60'!$G$56:$G$61</c:f>
              <c:numCache>
                <c:formatCode>0.00%</c:formatCode>
                <c:ptCount val="6"/>
                <c:pt idx="0">
                  <c:v>0</c:v>
                </c:pt>
                <c:pt idx="1">
                  <c:v>1.5674236046366117E-2</c:v>
                </c:pt>
                <c:pt idx="2">
                  <c:v>2.6622517470541479E-2</c:v>
                </c:pt>
                <c:pt idx="3">
                  <c:v>3.7979318151607641E-2</c:v>
                </c:pt>
                <c:pt idx="4">
                  <c:v>4.9759753150070758E-2</c:v>
                </c:pt>
                <c:pt idx="5">
                  <c:v>6.1973915031336646E-2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5-4F7B-A16B-8318E2977B9A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'RCP85'!$G$56:$G$61</c:f>
              <c:numCache>
                <c:formatCode>0.00%</c:formatCode>
                <c:ptCount val="6"/>
                <c:pt idx="0">
                  <c:v>0</c:v>
                </c:pt>
                <c:pt idx="1">
                  <c:v>5.1277631317301134E-3</c:v>
                </c:pt>
                <c:pt idx="2">
                  <c:v>2.6622517470541479E-2</c:v>
                </c:pt>
                <c:pt idx="3">
                  <c:v>4.3815805980595798E-2</c:v>
                </c:pt>
                <c:pt idx="4">
                  <c:v>7.4629628391417305E-2</c:v>
                </c:pt>
                <c:pt idx="5">
                  <c:v>0.10132947360391004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35-4F7B-A16B-8318E2977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9329696048835"/>
          <c:y val="0.12864273865661999"/>
          <c:w val="0.83353130062073433"/>
          <c:h val="0.71878266184550033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'RCP26'!$G$68:$G$73</c:f>
              <c:numCache>
                <c:formatCode>0.00%</c:formatCode>
                <c:ptCount val="6"/>
                <c:pt idx="0">
                  <c:v>0</c:v>
                </c:pt>
                <c:pt idx="1">
                  <c:v>1.4173630214615944E-2</c:v>
                </c:pt>
                <c:pt idx="2">
                  <c:v>1.9086856965338912E-2</c:v>
                </c:pt>
                <c:pt idx="3">
                  <c:v>2.4096696808591622E-2</c:v>
                </c:pt>
                <c:pt idx="4">
                  <c:v>2.9200362067923341E-2</c:v>
                </c:pt>
                <c:pt idx="5">
                  <c:v>2.4096696808591622E-2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1-445E-90B2-CE3B39EDB747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'RCP45'!$G$68:$G$73</c:f>
              <c:numCache>
                <c:formatCode>0.00%</c:formatCode>
                <c:ptCount val="6"/>
                <c:pt idx="0">
                  <c:v>0</c:v>
                </c:pt>
                <c:pt idx="1">
                  <c:v>1.4173630214615944E-2</c:v>
                </c:pt>
                <c:pt idx="2">
                  <c:v>2.9200362067923341E-2</c:v>
                </c:pt>
                <c:pt idx="3">
                  <c:v>4.5111940516758341E-2</c:v>
                </c:pt>
                <c:pt idx="4">
                  <c:v>5.0618699966877567E-2</c:v>
                </c:pt>
                <c:pt idx="5">
                  <c:v>5.623008366486007E-2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31-445E-90B2-CE3B39EDB747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'RCP60'!$G$68:$G$73</c:f>
              <c:numCache>
                <c:formatCode>0.00%</c:formatCode>
                <c:ptCount val="6"/>
                <c:pt idx="0">
                  <c:v>0</c:v>
                </c:pt>
                <c:pt idx="1">
                  <c:v>1.9086856965338912E-2</c:v>
                </c:pt>
                <c:pt idx="2">
                  <c:v>2.9200362067923341E-2</c:v>
                </c:pt>
                <c:pt idx="3">
                  <c:v>4.5111940516758341E-2</c:v>
                </c:pt>
                <c:pt idx="4">
                  <c:v>6.7764881006685554E-2</c:v>
                </c:pt>
                <c:pt idx="5">
                  <c:v>7.9728485929763449E-2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31-445E-90B2-CE3B39EDB747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'RCP85'!$G$68:$G$73</c:f>
              <c:numCache>
                <c:formatCode>0.00%</c:formatCode>
                <c:ptCount val="6"/>
                <c:pt idx="0">
                  <c:v>0</c:v>
                </c:pt>
                <c:pt idx="1">
                  <c:v>9.3555708346476588E-3</c:v>
                </c:pt>
                <c:pt idx="2">
                  <c:v>2.9200362067923341E-2</c:v>
                </c:pt>
                <c:pt idx="3">
                  <c:v>6.1943659081242206E-2</c:v>
                </c:pt>
                <c:pt idx="4">
                  <c:v>9.8511328151898211E-2</c:v>
                </c:pt>
                <c:pt idx="5">
                  <c:v>0.14643249198682928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31-445E-90B2-CE3B39EDB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7101309192306442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'RCP26'!$K$68:$K$73</c:f>
              <c:numCache>
                <c:formatCode>0.00%</c:formatCode>
                <c:ptCount val="6"/>
                <c:pt idx="0">
                  <c:v>0</c:v>
                </c:pt>
                <c:pt idx="1">
                  <c:v>-2.9554466451491831E-2</c:v>
                </c:pt>
                <c:pt idx="2">
                  <c:v>-3.9210560847676684E-2</c:v>
                </c:pt>
                <c:pt idx="3">
                  <c:v>-4.8770575499285589E-2</c:v>
                </c:pt>
                <c:pt idx="4">
                  <c:v>-4.8770575499285589E-2</c:v>
                </c:pt>
                <c:pt idx="5">
                  <c:v>-3.9210560847676684E-2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3-4158-A27B-039C2A771867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'RCP45'!$K$68:$K$73</c:f>
              <c:numCache>
                <c:formatCode>0.00%</c:formatCode>
                <c:ptCount val="6"/>
                <c:pt idx="0">
                  <c:v>0</c:v>
                </c:pt>
                <c:pt idx="1">
                  <c:v>-2.9554466451491831E-2</c:v>
                </c:pt>
                <c:pt idx="2">
                  <c:v>-4.8770575499285589E-2</c:v>
                </c:pt>
                <c:pt idx="3">
                  <c:v>-5.8235466415750788E-2</c:v>
                </c:pt>
                <c:pt idx="4">
                  <c:v>-6.760618009405113E-2</c:v>
                </c:pt>
                <c:pt idx="5">
                  <c:v>-6.760618009405113E-2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63-4158-A27B-039C2A771867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'RCP60'!$K$68:$K$73</c:f>
              <c:numCache>
                <c:formatCode>0.00%</c:formatCode>
                <c:ptCount val="6"/>
                <c:pt idx="0">
                  <c:v>0</c:v>
                </c:pt>
                <c:pt idx="1">
                  <c:v>-3.9210560847676684E-2</c:v>
                </c:pt>
                <c:pt idx="2">
                  <c:v>-4.8770575499285589E-2</c:v>
                </c:pt>
                <c:pt idx="3">
                  <c:v>-6.760618009405113E-2</c:v>
                </c:pt>
                <c:pt idx="4">
                  <c:v>-7.6883653613364092E-2</c:v>
                </c:pt>
                <c:pt idx="5">
                  <c:v>-7.6883653613364092E-2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63-4158-A27B-039C2A771867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'RCP85'!$K$68:$K$73</c:f>
              <c:numCache>
                <c:formatCode>0.00%</c:formatCode>
                <c:ptCount val="6"/>
                <c:pt idx="0">
                  <c:v>0</c:v>
                </c:pt>
                <c:pt idx="1">
                  <c:v>-1.9801326693244147E-2</c:v>
                </c:pt>
                <c:pt idx="2">
                  <c:v>-4.8770575499285589E-2</c:v>
                </c:pt>
                <c:pt idx="3">
                  <c:v>-6.760618009405113E-2</c:v>
                </c:pt>
                <c:pt idx="4">
                  <c:v>-7.6883653613364092E-2</c:v>
                </c:pt>
                <c:pt idx="5">
                  <c:v>-4.8770575499285589E-2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63-4158-A27B-039C2A77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'RCP26'!$K$80:$K$85</c:f>
              <c:numCache>
                <c:formatCode>0.00%</c:formatCode>
                <c:ptCount val="6"/>
                <c:pt idx="0">
                  <c:v>0</c:v>
                </c:pt>
                <c:pt idx="1">
                  <c:v>-2.9554466451492088E-2</c:v>
                </c:pt>
                <c:pt idx="2">
                  <c:v>-4.8770575499285845E-2</c:v>
                </c:pt>
                <c:pt idx="3">
                  <c:v>-5.8235466415751745E-2</c:v>
                </c:pt>
                <c:pt idx="4">
                  <c:v>-5.8235466415751745E-2</c:v>
                </c:pt>
                <c:pt idx="5">
                  <c:v>-5.8235466415751745E-2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5-49C9-BD20-6CF5DC10B82F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'RCP45'!$K$80:$K$85</c:f>
              <c:numCache>
                <c:formatCode>0.00%</c:formatCode>
                <c:ptCount val="6"/>
                <c:pt idx="0">
                  <c:v>0</c:v>
                </c:pt>
                <c:pt idx="1">
                  <c:v>-2.9554466451492088E-2</c:v>
                </c:pt>
                <c:pt idx="2">
                  <c:v>-5.8235466415751745E-2</c:v>
                </c:pt>
                <c:pt idx="3">
                  <c:v>-8.6068814728771717E-2</c:v>
                </c:pt>
                <c:pt idx="4">
                  <c:v>-9.5162581964040857E-2</c:v>
                </c:pt>
                <c:pt idx="5">
                  <c:v>-0.10416586470347206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5-49C9-BD20-6CF5DC10B82F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'RCP60'!$K$80:$K$85</c:f>
              <c:numCache>
                <c:formatCode>0.00%</c:formatCode>
                <c:ptCount val="6"/>
                <c:pt idx="0">
                  <c:v>0</c:v>
                </c:pt>
                <c:pt idx="1">
                  <c:v>-3.921056084767692E-2</c:v>
                </c:pt>
                <c:pt idx="2">
                  <c:v>-6.7606180094052198E-2</c:v>
                </c:pt>
                <c:pt idx="3">
                  <c:v>-8.6068814728771717E-2</c:v>
                </c:pt>
                <c:pt idx="4">
                  <c:v>-0.11307956328284252</c:v>
                </c:pt>
                <c:pt idx="5">
                  <c:v>-0.12190456907943861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5-49C9-BD20-6CF5DC10B82F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'RCP85'!$K$80:$K$85</c:f>
              <c:numCache>
                <c:formatCode>0.00%</c:formatCode>
                <c:ptCount val="6"/>
                <c:pt idx="0">
                  <c:v>0</c:v>
                </c:pt>
                <c:pt idx="1">
                  <c:v>-2.9554466451492088E-2</c:v>
                </c:pt>
                <c:pt idx="2">
                  <c:v>-6.7606180094052198E-2</c:v>
                </c:pt>
                <c:pt idx="3">
                  <c:v>-0.10416586470347206</c:v>
                </c:pt>
                <c:pt idx="4">
                  <c:v>-0.13064176460119398</c:v>
                </c:pt>
                <c:pt idx="5">
                  <c:v>-0.13929202357494247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5-49C9-BD20-6CF5DC10B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643513812130299"/>
          <c:y val="0.13051418572678417"/>
          <c:w val="0.38399996032346656"/>
          <c:h val="0.31674915635545559"/>
        </c:manualLayout>
      </c:layout>
      <c:overlay val="0"/>
      <c:txPr>
        <a:bodyPr/>
        <a:lstStyle/>
        <a:p>
          <a:pPr>
            <a:defRPr sz="22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775476268441134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'RCP26'!$G$80:$G$85</c:f>
              <c:numCache>
                <c:formatCode>0.00%</c:formatCode>
                <c:ptCount val="6"/>
                <c:pt idx="0">
                  <c:v>0</c:v>
                </c:pt>
                <c:pt idx="1">
                  <c:v>1.2675797028517292E-2</c:v>
                </c:pt>
                <c:pt idx="2">
                  <c:v>2.1574515964021032E-2</c:v>
                </c:pt>
                <c:pt idx="3">
                  <c:v>2.6161089788840942E-2</c:v>
                </c:pt>
                <c:pt idx="4">
                  <c:v>2.6161089788840942E-2</c:v>
                </c:pt>
                <c:pt idx="5">
                  <c:v>2.1574515964021032E-2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9-4B4C-A0BE-89E34610689D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'RCP45'!$G$80:$G$85</c:f>
              <c:numCache>
                <c:formatCode>0.00%</c:formatCode>
                <c:ptCount val="6"/>
                <c:pt idx="0">
                  <c:v>0</c:v>
                </c:pt>
                <c:pt idx="1">
                  <c:v>1.2675797028517292E-2</c:v>
                </c:pt>
                <c:pt idx="2">
                  <c:v>2.6161089788840942E-2</c:v>
                </c:pt>
                <c:pt idx="3">
                  <c:v>3.5616331694024284E-2</c:v>
                </c:pt>
                <c:pt idx="4">
                  <c:v>4.5454412171535057E-2</c:v>
                </c:pt>
                <c:pt idx="5">
                  <c:v>5.0519180601232401E-2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39-4B4C-A0BE-89E34610689D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'RCP60'!$G$80:$G$85</c:f>
              <c:numCache>
                <c:formatCode>0.00%</c:formatCode>
                <c:ptCount val="6"/>
                <c:pt idx="0">
                  <c:v>0</c:v>
                </c:pt>
                <c:pt idx="1">
                  <c:v>1.7080356339112732E-2</c:v>
                </c:pt>
                <c:pt idx="2">
                  <c:v>2.6161089788840942E-2</c:v>
                </c:pt>
                <c:pt idx="3">
                  <c:v>4.0487746418426909E-2</c:v>
                </c:pt>
                <c:pt idx="4">
                  <c:v>6.0944622771108937E-2</c:v>
                </c:pt>
                <c:pt idx="5">
                  <c:v>6.6309985251082393E-2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39-4B4C-A0BE-89E34610689D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'RCP85'!$G$80:$G$85</c:f>
              <c:numCache>
                <c:formatCode>0.00%</c:formatCode>
                <c:ptCount val="6"/>
                <c:pt idx="0">
                  <c:v>0</c:v>
                </c:pt>
                <c:pt idx="1">
                  <c:v>1.2675797028517292E-2</c:v>
                </c:pt>
                <c:pt idx="2">
                  <c:v>3.0843615949962707E-2</c:v>
                </c:pt>
                <c:pt idx="3">
                  <c:v>5.568354202058122E-2</c:v>
                </c:pt>
                <c:pt idx="4">
                  <c:v>8.880803872021599E-2</c:v>
                </c:pt>
                <c:pt idx="5">
                  <c:v>0.11936930689863184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39-4B4C-A0BE-89E346106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'RCP26'!$K$92:$K$97</c:f>
              <c:numCache>
                <c:formatCode>0.00%</c:formatCode>
                <c:ptCount val="6"/>
                <c:pt idx="0">
                  <c:v>0</c:v>
                </c:pt>
                <c:pt idx="1">
                  <c:v>-9.9501662508318413E-3</c:v>
                </c:pt>
                <c:pt idx="2">
                  <c:v>-9.9501662508318413E-3</c:v>
                </c:pt>
                <c:pt idx="3">
                  <c:v>-1.9801326693244446E-2</c:v>
                </c:pt>
                <c:pt idx="4">
                  <c:v>-1.9801326693244446E-2</c:v>
                </c:pt>
                <c:pt idx="5">
                  <c:v>-1.9801326693244446E-2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35-4438-AF64-7A35B4E104F5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'RCP45'!$K$92:$K$97</c:f>
              <c:numCache>
                <c:formatCode>0.00%</c:formatCode>
                <c:ptCount val="6"/>
                <c:pt idx="0">
                  <c:v>0</c:v>
                </c:pt>
                <c:pt idx="1">
                  <c:v>-9.9501662508318413E-3</c:v>
                </c:pt>
                <c:pt idx="2">
                  <c:v>-1.9801326693244446E-2</c:v>
                </c:pt>
                <c:pt idx="3">
                  <c:v>-1.9801326693244446E-2</c:v>
                </c:pt>
                <c:pt idx="4">
                  <c:v>-2.9554466451492109E-2</c:v>
                </c:pt>
                <c:pt idx="5">
                  <c:v>-2.9554466451492109E-2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35-4438-AF64-7A35B4E104F5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'RCP60'!$K$92:$K$97</c:f>
              <c:numCache>
                <c:formatCode>0.00%</c:formatCode>
                <c:ptCount val="6"/>
                <c:pt idx="0">
                  <c:v>0</c:v>
                </c:pt>
                <c:pt idx="1">
                  <c:v>-9.9501662508318413E-3</c:v>
                </c:pt>
                <c:pt idx="2">
                  <c:v>-1.9801326693244446E-2</c:v>
                </c:pt>
                <c:pt idx="3">
                  <c:v>-2.9554466451492109E-2</c:v>
                </c:pt>
                <c:pt idx="4">
                  <c:v>-2.9554466451492109E-2</c:v>
                </c:pt>
                <c:pt idx="5">
                  <c:v>-2.9554466451492109E-2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35-4438-AF64-7A35B4E104F5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'RCP85'!$K$92:$K$97</c:f>
              <c:numCache>
                <c:formatCode>0.00%</c:formatCode>
                <c:ptCount val="6"/>
                <c:pt idx="0">
                  <c:v>0</c:v>
                </c:pt>
                <c:pt idx="1">
                  <c:v>-9.9501662508318413E-3</c:v>
                </c:pt>
                <c:pt idx="2">
                  <c:v>-1.9801326693244446E-2</c:v>
                </c:pt>
                <c:pt idx="3">
                  <c:v>-2.9554466451492109E-2</c:v>
                </c:pt>
                <c:pt idx="4">
                  <c:v>-1.9801326693244446E-2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35-4438-AF64-7A35B4E10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909093775399961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'RCP26'!$G$92:$G$97</c:f>
              <c:numCache>
                <c:formatCode>0.00%</c:formatCode>
                <c:ptCount val="6"/>
                <c:pt idx="0">
                  <c:v>0</c:v>
                </c:pt>
                <c:pt idx="1">
                  <c:v>1.5245315115041919E-2</c:v>
                </c:pt>
                <c:pt idx="2">
                  <c:v>1.5245315115041919E-2</c:v>
                </c:pt>
                <c:pt idx="3">
                  <c:v>2.5897948153662514E-2</c:v>
                </c:pt>
                <c:pt idx="4">
                  <c:v>2.5897948153662514E-2</c:v>
                </c:pt>
                <c:pt idx="5">
                  <c:v>2.5897948153662514E-2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B4-4799-BBE1-C9C47255ABFB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'RCP45'!$G$92:$G$97</c:f>
              <c:numCache>
                <c:formatCode>0.00%</c:formatCode>
                <c:ptCount val="6"/>
                <c:pt idx="0">
                  <c:v>0</c:v>
                </c:pt>
                <c:pt idx="1">
                  <c:v>1.0065936246540451E-2</c:v>
                </c:pt>
                <c:pt idx="2">
                  <c:v>2.5897948153662514E-2</c:v>
                </c:pt>
                <c:pt idx="3">
                  <c:v>3.6956434280662809E-2</c:v>
                </c:pt>
                <c:pt idx="4">
                  <c:v>4.8427551793349254E-2</c:v>
                </c:pt>
                <c:pt idx="5">
                  <c:v>4.8427551793349254E-2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B4-4799-BBE1-C9C47255ABFB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'RCP60'!$G$92:$G$97</c:f>
              <c:numCache>
                <c:formatCode>0.00%</c:formatCode>
                <c:ptCount val="6"/>
                <c:pt idx="0">
                  <c:v>0</c:v>
                </c:pt>
                <c:pt idx="1">
                  <c:v>1.5245315115041919E-2</c:v>
                </c:pt>
                <c:pt idx="2">
                  <c:v>2.5897948153662514E-2</c:v>
                </c:pt>
                <c:pt idx="3">
                  <c:v>4.2640684550763391E-2</c:v>
                </c:pt>
                <c:pt idx="4">
                  <c:v>6.0326567899463411E-2</c:v>
                </c:pt>
                <c:pt idx="5">
                  <c:v>7.2663676755531051E-2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B4-4799-BBE1-C9C47255ABFB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'RCP85'!$G$92:$G$97</c:f>
              <c:numCache>
                <c:formatCode>0.00%</c:formatCode>
                <c:ptCount val="6"/>
                <c:pt idx="0">
                  <c:v>0</c:v>
                </c:pt>
                <c:pt idx="1">
                  <c:v>1.0065936246540451E-2</c:v>
                </c:pt>
                <c:pt idx="2">
                  <c:v>3.1377297628638209E-2</c:v>
                </c:pt>
                <c:pt idx="3">
                  <c:v>5.4322789336727711E-2</c:v>
                </c:pt>
                <c:pt idx="4">
                  <c:v>8.5446781719448764E-2</c:v>
                </c:pt>
                <c:pt idx="5">
                  <c:v>0.11945726957178418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B4-4799-BBE1-C9C47255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93269487185839"/>
          <c:y val="0.12864273865661999"/>
          <c:w val="0.82996846552118597"/>
          <c:h val="0.70802092794520832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'RCP26'!$G$104:$G$109</c:f>
              <c:numCache>
                <c:formatCode>0.00%</c:formatCode>
                <c:ptCount val="6"/>
                <c:pt idx="0">
                  <c:v>0</c:v>
                </c:pt>
                <c:pt idx="1">
                  <c:v>1.6105182528257576E-2</c:v>
                </c:pt>
                <c:pt idx="2">
                  <c:v>2.7345637352299459E-2</c:v>
                </c:pt>
                <c:pt idx="3">
                  <c:v>3.3122332710014656E-2</c:v>
                </c:pt>
                <c:pt idx="4">
                  <c:v>3.3122332710014656E-2</c:v>
                </c:pt>
                <c:pt idx="5">
                  <c:v>2.7345637352299459E-2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8-448B-BABC-5C13677E6F71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'RCP45'!$G$104:$G$109</c:f>
              <c:numCache>
                <c:formatCode>0.00%</c:formatCode>
                <c:ptCount val="6"/>
                <c:pt idx="0">
                  <c:v>0</c:v>
                </c:pt>
                <c:pt idx="1">
                  <c:v>2.1675133171597302E-2</c:v>
                </c:pt>
                <c:pt idx="2">
                  <c:v>3.3122332710014656E-2</c:v>
                </c:pt>
                <c:pt idx="3">
                  <c:v>5.1094419233920919E-2</c:v>
                </c:pt>
                <c:pt idx="4">
                  <c:v>5.7302895860257053E-2</c:v>
                </c:pt>
                <c:pt idx="5">
                  <c:v>6.3620479898803095E-2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C8-448B-BABC-5C13677E6F71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'RCP60'!$G$104:$G$109</c:f>
              <c:numCache>
                <c:formatCode>0.00%</c:formatCode>
                <c:ptCount val="6"/>
                <c:pt idx="0">
                  <c:v>0</c:v>
                </c:pt>
                <c:pt idx="1">
                  <c:v>2.1675133171597302E-2</c:v>
                </c:pt>
                <c:pt idx="2">
                  <c:v>3.9005386530476936E-2</c:v>
                </c:pt>
                <c:pt idx="3">
                  <c:v>5.7302895860257053E-2</c:v>
                </c:pt>
                <c:pt idx="4">
                  <c:v>7.6598468673578904E-2</c:v>
                </c:pt>
                <c:pt idx="5">
                  <c:v>9.0046795931652657E-2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C8-448B-BABC-5C13677E6F71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'RCP85'!$G$104:$G$109</c:f>
              <c:numCache>
                <c:formatCode>0.00%</c:formatCode>
                <c:ptCount val="6"/>
                <c:pt idx="0">
                  <c:v>0</c:v>
                </c:pt>
                <c:pt idx="1">
                  <c:v>1.6105182528257576E-2</c:v>
                </c:pt>
                <c:pt idx="2">
                  <c:v>3.9005386530476936E-2</c:v>
                </c:pt>
                <c:pt idx="3">
                  <c:v>7.0052479930478861E-2</c:v>
                </c:pt>
                <c:pt idx="4">
                  <c:v>0.11111359603419008</c:v>
                </c:pt>
                <c:pt idx="5">
                  <c:v>0.15667943121049507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C8-448B-BABC-5C13677E6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71043176950379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S1'!$V$2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'RCP26'!$K$104:$K$109</c:f>
              <c:numCache>
                <c:formatCode>0.00%</c:formatCode>
                <c:ptCount val="6"/>
                <c:pt idx="0">
                  <c:v>0</c:v>
                </c:pt>
                <c:pt idx="1">
                  <c:v>-9.9501662508324935E-3</c:v>
                </c:pt>
                <c:pt idx="2">
                  <c:v>-9.9501662508324935E-3</c:v>
                </c:pt>
                <c:pt idx="3">
                  <c:v>-9.9501662508324935E-3</c:v>
                </c:pt>
                <c:pt idx="4">
                  <c:v>-9.9501662508324935E-3</c:v>
                </c:pt>
                <c:pt idx="5">
                  <c:v>-9.9501662508324935E-3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6E-40E9-9DDA-5EB1EE0657C1}"/>
            </c:ext>
          </c:extLst>
        </c:ser>
        <c:ser>
          <c:idx val="0"/>
          <c:order val="1"/>
          <c:tx>
            <c:strRef>
              <c:f>'Figure S1'!$V$3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'RCP45'!$K$104:$K$109</c:f>
              <c:numCache>
                <c:formatCode>0.00%</c:formatCode>
                <c:ptCount val="6"/>
                <c:pt idx="0">
                  <c:v>0</c:v>
                </c:pt>
                <c:pt idx="1">
                  <c:v>-9.9501662508324935E-3</c:v>
                </c:pt>
                <c:pt idx="2">
                  <c:v>-9.9501662508324935E-3</c:v>
                </c:pt>
                <c:pt idx="3">
                  <c:v>-9.9501662508324935E-3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6E-40E9-9DDA-5EB1EE0657C1}"/>
            </c:ext>
          </c:extLst>
        </c:ser>
        <c:ser>
          <c:idx val="3"/>
          <c:order val="2"/>
          <c:tx>
            <c:strRef>
              <c:f>'Figure S1'!$V$4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'RCP60'!$K$104:$K$109</c:f>
              <c:numCache>
                <c:formatCode>0.00%</c:formatCode>
                <c:ptCount val="6"/>
                <c:pt idx="0">
                  <c:v>0</c:v>
                </c:pt>
                <c:pt idx="1">
                  <c:v>-9.9501662508324935E-3</c:v>
                </c:pt>
                <c:pt idx="2">
                  <c:v>-9.9501662508324935E-3</c:v>
                </c:pt>
                <c:pt idx="3">
                  <c:v>0</c:v>
                </c:pt>
                <c:pt idx="4">
                  <c:v>0</c:v>
                </c:pt>
                <c:pt idx="5">
                  <c:v>1.0050167084167906E-2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6E-40E9-9DDA-5EB1EE0657C1}"/>
            </c:ext>
          </c:extLst>
        </c:ser>
        <c:ser>
          <c:idx val="1"/>
          <c:order val="3"/>
          <c:tx>
            <c:strRef>
              <c:f>'Figure S1'!$V$5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'RCP85'!$K$104:$K$109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-9.9501662508324935E-3</c:v>
                </c:pt>
                <c:pt idx="3">
                  <c:v>0</c:v>
                </c:pt>
                <c:pt idx="4">
                  <c:v>4.081077419238751E-2</c:v>
                </c:pt>
                <c:pt idx="5">
                  <c:v>8.328706767495779E-2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6E-40E9-9DDA-5EB1EE065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'RCP26'!$Q$8:$Q$13</c:f>
              <c:numCache>
                <c:formatCode>0.00%</c:formatCode>
                <c:ptCount val="6"/>
                <c:pt idx="0">
                  <c:v>0</c:v>
                </c:pt>
                <c:pt idx="1">
                  <c:v>3.8692739862432159E-3</c:v>
                </c:pt>
                <c:pt idx="2">
                  <c:v>5.2205807315776967E-3</c:v>
                </c:pt>
                <c:pt idx="3">
                  <c:v>5.2205807315778606E-3</c:v>
                </c:pt>
                <c:pt idx="4">
                  <c:v>4.0419346383660654E-3</c:v>
                </c:pt>
                <c:pt idx="5">
                  <c:v>4.0419346383667619E-3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9-4783-ACF7-2D5ED2B03D2A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'RCP45'!$Q$8:$Q$13</c:f>
              <c:numCache>
                <c:formatCode>0.00%</c:formatCode>
                <c:ptCount val="6"/>
                <c:pt idx="0">
                  <c:v>0</c:v>
                </c:pt>
                <c:pt idx="1">
                  <c:v>3.8692739862432159E-3</c:v>
                </c:pt>
                <c:pt idx="2">
                  <c:v>4.0419346383664661E-3</c:v>
                </c:pt>
                <c:pt idx="3">
                  <c:v>6.6571213626900484E-3</c:v>
                </c:pt>
                <c:pt idx="4">
                  <c:v>6.6571213626899278E-3</c:v>
                </c:pt>
                <c:pt idx="5">
                  <c:v>5.4237248683410774E-3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9-4783-ACF7-2D5ED2B03D2A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'RCP60'!$Q$8:$Q$13</c:f>
              <c:numCache>
                <c:formatCode>0.00%</c:formatCode>
                <c:ptCount val="6"/>
                <c:pt idx="0">
                  <c:v>0</c:v>
                </c:pt>
                <c:pt idx="1">
                  <c:v>2.7106679779373985E-3</c:v>
                </c:pt>
                <c:pt idx="2">
                  <c:v>4.0419346383668104E-3</c:v>
                </c:pt>
                <c:pt idx="3">
                  <c:v>5.3575774959828326E-3</c:v>
                </c:pt>
                <c:pt idx="4">
                  <c:v>6.6885383233291646E-3</c:v>
                </c:pt>
                <c:pt idx="5">
                  <c:v>7.936494731817666E-3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99-4783-ACF7-2D5ED2B03D2A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'RCP85'!$Q$8:$Q$13</c:f>
              <c:numCache>
                <c:formatCode>0.00%</c:formatCode>
                <c:ptCount val="6"/>
                <c:pt idx="0">
                  <c:v>0</c:v>
                </c:pt>
                <c:pt idx="1">
                  <c:v>3.8692739862432159E-3</c:v>
                </c:pt>
                <c:pt idx="2">
                  <c:v>5.3575774959834406E-3</c:v>
                </c:pt>
                <c:pt idx="3">
                  <c:v>6.6885383233291655E-3</c:v>
                </c:pt>
                <c:pt idx="4">
                  <c:v>7.8615486152681779E-3</c:v>
                </c:pt>
                <c:pt idx="5">
                  <c:v>4.9822862574573556E-3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99-4783-ACF7-2D5ED2B0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643513812130299"/>
          <c:y val="0.13051418572678417"/>
          <c:w val="0.38399996032346656"/>
          <c:h val="0.31674915635545559"/>
        </c:manualLayout>
      </c:layout>
      <c:overlay val="0"/>
      <c:txPr>
        <a:bodyPr/>
        <a:lstStyle/>
        <a:p>
          <a:pPr>
            <a:defRPr sz="22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775476268441134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'RCP26'!$W$8:$W$13</c:f>
              <c:numCache>
                <c:formatCode>0.00%</c:formatCode>
                <c:ptCount val="6"/>
                <c:pt idx="0">
                  <c:v>0</c:v>
                </c:pt>
                <c:pt idx="1">
                  <c:v>-4.5424214581831083E-3</c:v>
                </c:pt>
                <c:pt idx="2">
                  <c:v>-9.1300625683609846E-3</c:v>
                </c:pt>
                <c:pt idx="3">
                  <c:v>-9.130062568360648E-3</c:v>
                </c:pt>
                <c:pt idx="4">
                  <c:v>-1.3769173811898379E-2</c:v>
                </c:pt>
                <c:pt idx="5">
                  <c:v>-1.3769173811897529E-2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04-47FD-8569-572D04685C5A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'RCP45'!$W$8:$W$13</c:f>
              <c:numCache>
                <c:formatCode>0.00%</c:formatCode>
                <c:ptCount val="6"/>
                <c:pt idx="0">
                  <c:v>0</c:v>
                </c:pt>
                <c:pt idx="1">
                  <c:v>-4.5424214581831083E-3</c:v>
                </c:pt>
                <c:pt idx="2">
                  <c:v>-1.3769173811898709E-2</c:v>
                </c:pt>
                <c:pt idx="3">
                  <c:v>-2.3186716875032126E-2</c:v>
                </c:pt>
                <c:pt idx="4">
                  <c:v>-2.3186716875031797E-2</c:v>
                </c:pt>
                <c:pt idx="5">
                  <c:v>-2.7965248160669847E-2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04-47FD-8569-572D04685C5A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'RCP60'!$W$8:$W$13</c:f>
              <c:numCache>
                <c:formatCode>0.00%</c:formatCode>
                <c:ptCount val="6"/>
                <c:pt idx="0">
                  <c:v>0</c:v>
                </c:pt>
                <c:pt idx="1">
                  <c:v>-9.1300625683621711E-3</c:v>
                </c:pt>
                <c:pt idx="2">
                  <c:v>-1.3769173811898709E-2</c:v>
                </c:pt>
                <c:pt idx="3">
                  <c:v>-1.8454484631825877E-2</c:v>
                </c:pt>
                <c:pt idx="4">
                  <c:v>-3.2785436898125526E-2</c:v>
                </c:pt>
                <c:pt idx="5">
                  <c:v>-3.7652179964146722E-2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04-47FD-8569-572D04685C5A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'RCP85'!$W$8:$W$13</c:f>
              <c:numCache>
                <c:formatCode>0.00%</c:formatCode>
                <c:ptCount val="6"/>
                <c:pt idx="0">
                  <c:v>0</c:v>
                </c:pt>
                <c:pt idx="1">
                  <c:v>-4.5424214581831083E-3</c:v>
                </c:pt>
                <c:pt idx="2">
                  <c:v>-1.8454484631826213E-2</c:v>
                </c:pt>
                <c:pt idx="3">
                  <c:v>-3.2785436898126526E-2</c:v>
                </c:pt>
                <c:pt idx="4">
                  <c:v>-4.7511046472580303E-2</c:v>
                </c:pt>
                <c:pt idx="5">
                  <c:v>-6.7718374851115953E-2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04-47FD-8569-572D04685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'RCP26'!$Q$20:$Q$25</c:f>
              <c:numCache>
                <c:formatCode>0.00%</c:formatCode>
                <c:ptCount val="6"/>
                <c:pt idx="0">
                  <c:v>0</c:v>
                </c:pt>
                <c:pt idx="1">
                  <c:v>2.8167223830231148E-3</c:v>
                </c:pt>
                <c:pt idx="2">
                  <c:v>4.2016496841714331E-3</c:v>
                </c:pt>
                <c:pt idx="3">
                  <c:v>5.5701107005800728E-3</c:v>
                </c:pt>
                <c:pt idx="4">
                  <c:v>5.570110700579731E-3</c:v>
                </c:pt>
                <c:pt idx="5">
                  <c:v>5.5701107005788446E-3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8-4658-92DA-CDF159658DE3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'RCP45'!$Q$20:$Q$25</c:f>
              <c:numCache>
                <c:formatCode>0.00%</c:formatCode>
                <c:ptCount val="6"/>
                <c:pt idx="0">
                  <c:v>0</c:v>
                </c:pt>
                <c:pt idx="1">
                  <c:v>2.8167223830231148E-3</c:v>
                </c:pt>
                <c:pt idx="2">
                  <c:v>5.5701107005800641E-3</c:v>
                </c:pt>
                <c:pt idx="3">
                  <c:v>8.2605671159340765E-3</c:v>
                </c:pt>
                <c:pt idx="4">
                  <c:v>9.5817378439485221E-3</c:v>
                </c:pt>
                <c:pt idx="5">
                  <c:v>1.0886741938732163E-2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88-4658-92DA-CDF159658DE3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'RCP60'!$Q$20:$Q$25</c:f>
              <c:numCache>
                <c:formatCode>0.00%</c:formatCode>
                <c:ptCount val="6"/>
                <c:pt idx="0">
                  <c:v>0</c:v>
                </c:pt>
                <c:pt idx="1">
                  <c:v>4.2016496841711711E-3</c:v>
                </c:pt>
                <c:pt idx="2">
                  <c:v>5.5701107005802367E-3</c:v>
                </c:pt>
                <c:pt idx="3">
                  <c:v>9.5817378439487164E-3</c:v>
                </c:pt>
                <c:pt idx="4">
                  <c:v>9.6481631443925183E-3</c:v>
                </c:pt>
                <c:pt idx="5">
                  <c:v>1.2171490786571555E-2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88-4658-92DA-CDF159658DE3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'RCP85'!$Q$20:$Q$25</c:f>
              <c:numCache>
                <c:formatCode>0.00%</c:formatCode>
                <c:ptCount val="6"/>
                <c:pt idx="0">
                  <c:v>0</c:v>
                </c:pt>
                <c:pt idx="1">
                  <c:v>2.8167223830231148E-3</c:v>
                </c:pt>
                <c:pt idx="2">
                  <c:v>9.444165467131789E-3</c:v>
                </c:pt>
                <c:pt idx="3">
                  <c:v>9.6481631443918626E-3</c:v>
                </c:pt>
                <c:pt idx="4">
                  <c:v>1.2096229772696306E-2</c:v>
                </c:pt>
                <c:pt idx="5">
                  <c:v>7.8093842587415386E-3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88-4658-92DA-CDF159658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909093775399961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'RCP26'!$W$20:$W$25</c:f>
              <c:numCache>
                <c:formatCode>0.00%</c:formatCode>
                <c:ptCount val="6"/>
                <c:pt idx="0">
                  <c:v>0</c:v>
                </c:pt>
                <c:pt idx="1">
                  <c:v>-8.7107879028358263E-3</c:v>
                </c:pt>
                <c:pt idx="2">
                  <c:v>-1.3141496880474656E-2</c:v>
                </c:pt>
                <c:pt idx="3">
                  <c:v>-1.762422412123392E-2</c:v>
                </c:pt>
                <c:pt idx="4">
                  <c:v>-1.7624224121234412E-2</c:v>
                </c:pt>
                <c:pt idx="5">
                  <c:v>-1.7624224121233757E-2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A3-4D23-BE4F-472AE9025102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'RCP45'!$W$20:$W$25</c:f>
              <c:numCache>
                <c:formatCode>0.00%</c:formatCode>
                <c:ptCount val="6"/>
                <c:pt idx="0">
                  <c:v>0</c:v>
                </c:pt>
                <c:pt idx="1">
                  <c:v>-8.7107879028358263E-3</c:v>
                </c:pt>
                <c:pt idx="2">
                  <c:v>-1.7624224121234416E-2</c:v>
                </c:pt>
                <c:pt idx="3">
                  <c:v>-2.67297231376766E-2</c:v>
                </c:pt>
                <c:pt idx="4">
                  <c:v>-3.1353461960079626E-2</c:v>
                </c:pt>
                <c:pt idx="5">
                  <c:v>-3.602350558802446E-2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A3-4D23-BE4F-472AE9025102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'RCP60'!$W$20:$W$25</c:f>
              <c:numCache>
                <c:formatCode>0.00%</c:formatCode>
                <c:ptCount val="6"/>
                <c:pt idx="0">
                  <c:v>0</c:v>
                </c:pt>
                <c:pt idx="1">
                  <c:v>-1.3141496880474822E-2</c:v>
                </c:pt>
                <c:pt idx="2">
                  <c:v>-1.762422412123358E-2</c:v>
                </c:pt>
                <c:pt idx="3">
                  <c:v>-3.1353461960079647E-2</c:v>
                </c:pt>
                <c:pt idx="4">
                  <c:v>-4.073923981967853E-2</c:v>
                </c:pt>
                <c:pt idx="5">
                  <c:v>-5.0298870839079843E-2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A3-4D23-BE4F-472AE9025102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'RCP85'!$W$20:$W$25</c:f>
              <c:numCache>
                <c:formatCode>0.00%</c:formatCode>
                <c:ptCount val="6"/>
                <c:pt idx="0">
                  <c:v>0</c:v>
                </c:pt>
                <c:pt idx="1">
                  <c:v>-8.7107879028358263E-3</c:v>
                </c:pt>
                <c:pt idx="2">
                  <c:v>-2.2151576760074995E-2</c:v>
                </c:pt>
                <c:pt idx="3">
                  <c:v>-4.0739239819678211E-2</c:v>
                </c:pt>
                <c:pt idx="4">
                  <c:v>-6.0028177084047792E-2</c:v>
                </c:pt>
                <c:pt idx="5">
                  <c:v>-8.5048119405586264E-2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A3-4D23-BE4F-472AE9025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64281682724646"/>
          <c:y val="0.12864273865661999"/>
          <c:w val="0.83582146341287489"/>
          <c:h val="0.71623055118110235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'RCP26'!$W$32:$W$37</c:f>
              <c:numCache>
                <c:formatCode>0.00%</c:formatCode>
                <c:ptCount val="6"/>
                <c:pt idx="0">
                  <c:v>0</c:v>
                </c:pt>
                <c:pt idx="1">
                  <c:v>-1.3975545993654845E-2</c:v>
                </c:pt>
                <c:pt idx="2">
                  <c:v>-2.352970855553399E-2</c:v>
                </c:pt>
                <c:pt idx="3">
                  <c:v>-2.8371892533396378E-2</c:v>
                </c:pt>
                <c:pt idx="4">
                  <c:v>-2.8371892533395195E-2</c:v>
                </c:pt>
                <c:pt idx="5">
                  <c:v>-2.8371892533395362E-2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4-441C-99D6-61E293B9CF6F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'RCP45'!$W$32:$W$37</c:f>
              <c:numCache>
                <c:formatCode>0.00%</c:formatCode>
                <c:ptCount val="6"/>
                <c:pt idx="0">
                  <c:v>0</c:v>
                </c:pt>
                <c:pt idx="1">
                  <c:v>-1.3975545993654845E-2</c:v>
                </c:pt>
                <c:pt idx="2">
                  <c:v>-3.3260843274171469E-2</c:v>
                </c:pt>
                <c:pt idx="3">
                  <c:v>-4.8179896253962518E-2</c:v>
                </c:pt>
                <c:pt idx="4">
                  <c:v>-5.3236585981109939E-2</c:v>
                </c:pt>
                <c:pt idx="5">
                  <c:v>-5.8330457130685145E-2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24-441C-99D6-61E293B9CF6F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'RCP60'!$W$32:$W$37</c:f>
              <c:numCache>
                <c:formatCode>0.00%</c:formatCode>
                <c:ptCount val="6"/>
                <c:pt idx="0">
                  <c:v>0</c:v>
                </c:pt>
                <c:pt idx="1">
                  <c:v>-2.3529708555534854E-2</c:v>
                </c:pt>
                <c:pt idx="2">
                  <c:v>-3.3260843274171469E-2</c:v>
                </c:pt>
                <c:pt idx="3">
                  <c:v>-5.3236585981110432E-2</c:v>
                </c:pt>
                <c:pt idx="4">
                  <c:v>-7.3841235985460371E-2</c:v>
                </c:pt>
                <c:pt idx="5">
                  <c:v>-8.4363902562030996E-2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24-441C-99D6-61E293B9CF6F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'RCP85'!$W$32:$W$37</c:f>
              <c:numCache>
                <c:formatCode>0.00%</c:formatCode>
                <c:ptCount val="6"/>
                <c:pt idx="0">
                  <c:v>0</c:v>
                </c:pt>
                <c:pt idx="1">
                  <c:v>-1.3975545993654845E-2</c:v>
                </c:pt>
                <c:pt idx="2">
                  <c:v>-3.8192762964075498E-2</c:v>
                </c:pt>
                <c:pt idx="3">
                  <c:v>-6.3464234694435809E-2</c:v>
                </c:pt>
                <c:pt idx="4">
                  <c:v>-9.5022527144397781E-2</c:v>
                </c:pt>
                <c:pt idx="5">
                  <c:v>-0.12772883969212434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24-441C-99D6-61E293B9C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71669428277986991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'RCP26'!$Q$32:$Q$37</c:f>
              <c:numCache>
                <c:formatCode>0.00%</c:formatCode>
                <c:ptCount val="6"/>
                <c:pt idx="0">
                  <c:v>0</c:v>
                </c:pt>
                <c:pt idx="1">
                  <c:v>3.9894057119240732E-3</c:v>
                </c:pt>
                <c:pt idx="2">
                  <c:v>4.0554630655947662E-3</c:v>
                </c:pt>
                <c:pt idx="3">
                  <c:v>5.318555260287571E-3</c:v>
                </c:pt>
                <c:pt idx="4">
                  <c:v>5.3185552602880489E-3</c:v>
                </c:pt>
                <c:pt idx="5">
                  <c:v>5.3185552602874921E-3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2-4A72-AFD5-1D1A61ABA161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'RCP45'!$Q$32:$Q$37</c:f>
              <c:numCache>
                <c:formatCode>0.00%</c:formatCode>
                <c:ptCount val="6"/>
                <c:pt idx="0">
                  <c:v>0</c:v>
                </c:pt>
                <c:pt idx="1">
                  <c:v>3.9894057119240732E-3</c:v>
                </c:pt>
                <c:pt idx="2">
                  <c:v>4.051544210954397E-3</c:v>
                </c:pt>
                <c:pt idx="3">
                  <c:v>5.1685036949321228E-3</c:v>
                </c:pt>
                <c:pt idx="4">
                  <c:v>3.8308079067433565E-3</c:v>
                </c:pt>
                <c:pt idx="5">
                  <c:v>2.4778473771454746E-3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F2-4A72-AFD5-1D1A61ABA161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'RCP60'!$Q$32:$Q$37</c:f>
              <c:numCache>
                <c:formatCode>0.00%</c:formatCode>
                <c:ptCount val="6"/>
                <c:pt idx="0">
                  <c:v>0</c:v>
                </c:pt>
                <c:pt idx="1">
                  <c:v>4.0554630655950099E-3</c:v>
                </c:pt>
                <c:pt idx="2">
                  <c:v>6.5648133489103651E-3</c:v>
                </c:pt>
                <c:pt idx="3">
                  <c:v>3.8308079067427663E-3</c:v>
                </c:pt>
                <c:pt idx="4">
                  <c:v>8.2293652348370942E-4</c:v>
                </c:pt>
                <c:pt idx="5">
                  <c:v>-2.0319993836054777E-3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F2-4A72-AFD5-1D1A61ABA161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'RCP85'!$Q$32:$Q$37</c:f>
              <c:numCache>
                <c:formatCode>0.00%</c:formatCode>
                <c:ptCount val="6"/>
                <c:pt idx="0">
                  <c:v>0</c:v>
                </c:pt>
                <c:pt idx="1">
                  <c:v>3.9894057119240732E-3</c:v>
                </c:pt>
                <c:pt idx="2">
                  <c:v>5.2785764274733207E-3</c:v>
                </c:pt>
                <c:pt idx="3">
                  <c:v>3.6146252000238783E-3</c:v>
                </c:pt>
                <c:pt idx="4">
                  <c:v>-7.433540416912042E-3</c:v>
                </c:pt>
                <c:pt idx="5">
                  <c:v>-2.1430761623542571E-2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F2-4A72-AFD5-1D1A61ABA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'RCP26'!$Q$44:$Q$49</c:f>
              <c:numCache>
                <c:formatCode>0.00%</c:formatCode>
                <c:ptCount val="6"/>
                <c:pt idx="0">
                  <c:v>0</c:v>
                </c:pt>
                <c:pt idx="1">
                  <c:v>9.554248091478203E-3</c:v>
                </c:pt>
                <c:pt idx="2">
                  <c:v>1.1037558488028804E-2</c:v>
                </c:pt>
                <c:pt idx="3">
                  <c:v>1.250506649151252E-2</c:v>
                </c:pt>
                <c:pt idx="4">
                  <c:v>1.1424630258719199E-2</c:v>
                </c:pt>
                <c:pt idx="5">
                  <c:v>1.2505066491512421E-2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38-43AE-970A-63EADFE863EF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'RCP45'!$Q$44:$Q$49</c:f>
              <c:numCache>
                <c:formatCode>0.00%</c:formatCode>
                <c:ptCount val="6"/>
                <c:pt idx="0">
                  <c:v>0</c:v>
                </c:pt>
                <c:pt idx="1">
                  <c:v>7.0335147008695909E-3</c:v>
                </c:pt>
                <c:pt idx="2">
                  <c:v>1.3956355171901448E-2</c:v>
                </c:pt>
                <c:pt idx="3">
                  <c:v>1.8216644571372963E-2</c:v>
                </c:pt>
                <c:pt idx="4">
                  <c:v>2.215640374657216E-2</c:v>
                </c:pt>
                <c:pt idx="5">
                  <c:v>2.3532326766594353E-2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38-43AE-970A-63EADFE863EF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'RCP60'!$Q$44:$Q$49</c:f>
              <c:numCache>
                <c:formatCode>0.00%</c:formatCode>
                <c:ptCount val="6"/>
                <c:pt idx="0">
                  <c:v>0</c:v>
                </c:pt>
                <c:pt idx="1">
                  <c:v>1.1037558488029125E-2</c:v>
                </c:pt>
                <c:pt idx="2">
                  <c:v>1.3956355171901275E-2</c:v>
                </c:pt>
                <c:pt idx="3">
                  <c:v>1.9604204315765216E-2</c:v>
                </c:pt>
                <c:pt idx="4">
                  <c:v>2.3671819152363448E-2</c:v>
                </c:pt>
                <c:pt idx="5">
                  <c:v>2.6301721289227878E-2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38-43AE-970A-63EADFE863EF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'RCP85'!$Q$44:$Q$49</c:f>
              <c:numCache>
                <c:formatCode>0.00%</c:formatCode>
                <c:ptCount val="6"/>
                <c:pt idx="0">
                  <c:v>0</c:v>
                </c:pt>
                <c:pt idx="1">
                  <c:v>8.0555140569138744E-3</c:v>
                </c:pt>
                <c:pt idx="2">
                  <c:v>1.6494417315603537E-2</c:v>
                </c:pt>
                <c:pt idx="3">
                  <c:v>2.2332209696427251E-2</c:v>
                </c:pt>
                <c:pt idx="4">
                  <c:v>2.4986263034019962E-2</c:v>
                </c:pt>
                <c:pt idx="5">
                  <c:v>2.1874729971032437E-2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38-43AE-970A-63EADFE86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643513812130299"/>
          <c:y val="0.13051418572678417"/>
          <c:w val="0.38399996032346656"/>
          <c:h val="0.31674915635545559"/>
        </c:manualLayout>
      </c:layout>
      <c:overlay val="0"/>
      <c:txPr>
        <a:bodyPr/>
        <a:lstStyle/>
        <a:p>
          <a:pPr>
            <a:defRPr sz="22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775476268441134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'RCP26'!$W$44:$W$49</c:f>
              <c:numCache>
                <c:formatCode>0.00%</c:formatCode>
                <c:ptCount val="6"/>
                <c:pt idx="0">
                  <c:v>0</c:v>
                </c:pt>
                <c:pt idx="1">
                  <c:v>-1.1893131271408126E-2</c:v>
                </c:pt>
                <c:pt idx="2">
                  <c:v>-1.5962864435964088E-2</c:v>
                </c:pt>
                <c:pt idx="3">
                  <c:v>-2.0085449304488277E-2</c:v>
                </c:pt>
                <c:pt idx="4">
                  <c:v>-2.4261395771498266E-2</c:v>
                </c:pt>
                <c:pt idx="5">
                  <c:v>-2.0085449304489897E-2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5-4163-81B9-F7C9C35346EF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'RCP45'!$W$44:$W$49</c:f>
              <c:numCache>
                <c:formatCode>0.00%</c:formatCode>
                <c:ptCount val="6"/>
                <c:pt idx="0">
                  <c:v>0</c:v>
                </c:pt>
                <c:pt idx="1">
                  <c:v>-1.1893131271408616E-2</c:v>
                </c:pt>
                <c:pt idx="2">
                  <c:v>-2.426139577149811E-2</c:v>
                </c:pt>
                <c:pt idx="3">
                  <c:v>-3.7084061595123896E-2</c:v>
                </c:pt>
                <c:pt idx="4">
                  <c:v>-4.1458031616161503E-2</c:v>
                </c:pt>
                <c:pt idx="5">
                  <c:v>-4.5875544360833229E-2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95-4163-81B9-F7C9C35346EF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'RCP60'!$W$44:$W$49</c:f>
              <c:numCache>
                <c:formatCode>0.00%</c:formatCode>
                <c:ptCount val="6"/>
                <c:pt idx="0">
                  <c:v>0</c:v>
                </c:pt>
                <c:pt idx="1">
                  <c:v>-1.5962864435963762E-2</c:v>
                </c:pt>
                <c:pt idx="2">
                  <c:v>-2.4261395771498436E-2</c:v>
                </c:pt>
                <c:pt idx="3">
                  <c:v>-4.145803161616024E-2</c:v>
                </c:pt>
                <c:pt idx="4">
                  <c:v>-5.4854178982157303E-2</c:v>
                </c:pt>
                <c:pt idx="5">
                  <c:v>-6.4012244770480967E-2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95-4163-81B9-F7C9C35346EF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'RCP85'!$W$44:$W$49</c:f>
              <c:numCache>
                <c:formatCode>0.00%</c:formatCode>
                <c:ptCount val="6"/>
                <c:pt idx="0">
                  <c:v>0</c:v>
                </c:pt>
                <c:pt idx="1">
                  <c:v>-7.8758552327148103E-3</c:v>
                </c:pt>
                <c:pt idx="2">
                  <c:v>-2.426139577149811E-2</c:v>
                </c:pt>
                <c:pt idx="3">
                  <c:v>-5.0342618517268019E-2</c:v>
                </c:pt>
                <c:pt idx="4">
                  <c:v>-7.8067397805763328E-2</c:v>
                </c:pt>
                <c:pt idx="5">
                  <c:v>-0.10724612909256447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95-4163-81B9-F7C9C3534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'RCP26'!$Q$56:$Q$61</c:f>
              <c:numCache>
                <c:formatCode>0.00%</c:formatCode>
                <c:ptCount val="6"/>
                <c:pt idx="0">
                  <c:v>0</c:v>
                </c:pt>
                <c:pt idx="1">
                  <c:v>2.42858549264069E-3</c:v>
                </c:pt>
                <c:pt idx="2">
                  <c:v>1.1124523341628926E-3</c:v>
                </c:pt>
                <c:pt idx="3">
                  <c:v>-2.1984559008457537E-4</c:v>
                </c:pt>
                <c:pt idx="4">
                  <c:v>-2.19845590083245E-4</c:v>
                </c:pt>
                <c:pt idx="5">
                  <c:v>-2.198455900834121E-4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BA-4FA3-B0F2-BE0732623486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'RCP45'!$Q$56:$Q$61</c:f>
              <c:numCache>
                <c:formatCode>0.00%</c:formatCode>
                <c:ptCount val="6"/>
                <c:pt idx="0">
                  <c:v>0</c:v>
                </c:pt>
                <c:pt idx="1">
                  <c:v>-7.4355990621507244E-5</c:v>
                </c:pt>
                <c:pt idx="2">
                  <c:v>-2.1984559008489437E-4</c:v>
                </c:pt>
                <c:pt idx="3">
                  <c:v>-4.351559573312612E-4</c:v>
                </c:pt>
                <c:pt idx="4">
                  <c:v>-1.817311644771362E-3</c:v>
                </c:pt>
                <c:pt idx="5">
                  <c:v>-3.2155796244587422E-3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BA-4FA3-B0F2-BE0732623486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'RCP60'!$Q$56:$Q$61</c:f>
              <c:numCache>
                <c:formatCode>0.00%</c:formatCode>
                <c:ptCount val="6"/>
                <c:pt idx="0">
                  <c:v>0</c:v>
                </c:pt>
                <c:pt idx="1">
                  <c:v>1.1124523341636096E-3</c:v>
                </c:pt>
                <c:pt idx="2">
                  <c:v>-1.567346659525425E-3</c:v>
                </c:pt>
                <c:pt idx="3">
                  <c:v>-1.8173116447725477E-3</c:v>
                </c:pt>
                <c:pt idx="4">
                  <c:v>-4.6295831556549816E-3</c:v>
                </c:pt>
                <c:pt idx="5">
                  <c:v>-7.5040431185542829E-3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BA-4FA3-B0F2-BE0732623486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'RCP85'!$Q$56:$Q$61</c:f>
              <c:numCache>
                <c:formatCode>0.00%</c:formatCode>
                <c:ptCount val="6"/>
                <c:pt idx="0">
                  <c:v>0</c:v>
                </c:pt>
                <c:pt idx="1">
                  <c:v>1.2220809017162743E-3</c:v>
                </c:pt>
                <c:pt idx="2">
                  <c:v>-1.567346659525425E-3</c:v>
                </c:pt>
                <c:pt idx="3">
                  <c:v>-3.2155796244591694E-3</c:v>
                </c:pt>
                <c:pt idx="4">
                  <c:v>-1.2909959851146787E-2</c:v>
                </c:pt>
                <c:pt idx="5">
                  <c:v>-2.139727505492536E-2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BA-4FA3-B0F2-BE0732623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909093775399961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'RCP26'!$W$56:$W$61</c:f>
              <c:numCache>
                <c:formatCode>0.00%</c:formatCode>
                <c:ptCount val="6"/>
                <c:pt idx="0">
                  <c:v>0</c:v>
                </c:pt>
                <c:pt idx="1">
                  <c:v>-1.0244597954268362E-2</c:v>
                </c:pt>
                <c:pt idx="2">
                  <c:v>-1.5432345815307801E-2</c:v>
                </c:pt>
                <c:pt idx="3">
                  <c:v>-2.0663011907569105E-2</c:v>
                </c:pt>
                <c:pt idx="4">
                  <c:v>-2.0663011907569633E-2</c:v>
                </c:pt>
                <c:pt idx="5">
                  <c:v>-2.0663011907569976E-2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5B-446E-B42A-609090821B75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'RCP45'!$W$56:$W$61</c:f>
              <c:numCache>
                <c:formatCode>0.00%</c:formatCode>
                <c:ptCount val="6"/>
                <c:pt idx="0">
                  <c:v>0</c:v>
                </c:pt>
                <c:pt idx="1">
                  <c:v>-1.024459795426748E-2</c:v>
                </c:pt>
                <c:pt idx="2">
                  <c:v>-2.066301190757067E-2</c:v>
                </c:pt>
                <c:pt idx="3">
                  <c:v>-3.1242544806562699E-2</c:v>
                </c:pt>
                <c:pt idx="4">
                  <c:v>-3.6589667527518098E-2</c:v>
                </c:pt>
                <c:pt idx="5">
                  <c:v>-4.1976568786898011E-2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5B-446E-B42A-609090821B75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'RCP60'!$W$56:$W$61</c:f>
              <c:numCache>
                <c:formatCode>0.00%</c:formatCode>
                <c:ptCount val="6"/>
                <c:pt idx="0">
                  <c:v>0</c:v>
                </c:pt>
                <c:pt idx="1">
                  <c:v>-1.5432345815307452E-2</c:v>
                </c:pt>
                <c:pt idx="2">
                  <c:v>-2.5932138656120981E-2</c:v>
                </c:pt>
                <c:pt idx="3">
                  <c:v>-3.658966752751705E-2</c:v>
                </c:pt>
                <c:pt idx="4">
                  <c:v>-4.740108677319102E-2</c:v>
                </c:pt>
                <c:pt idx="5">
                  <c:v>-5.8357285573731064E-2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5B-446E-B42A-609090821B75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'RCP85'!$W$56:$W$61</c:f>
              <c:numCache>
                <c:formatCode>0.00%</c:formatCode>
                <c:ptCount val="6"/>
                <c:pt idx="0">
                  <c:v>0</c:v>
                </c:pt>
                <c:pt idx="1">
                  <c:v>-5.1016033183210185E-3</c:v>
                </c:pt>
                <c:pt idx="2">
                  <c:v>-2.5932138656120981E-2</c:v>
                </c:pt>
                <c:pt idx="3">
                  <c:v>-4.197656878689715E-2</c:v>
                </c:pt>
                <c:pt idx="4">
                  <c:v>-6.9446836770290912E-2</c:v>
                </c:pt>
                <c:pt idx="5">
                  <c:v>-9.2006503078798291E-2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5B-446E-B42A-609090821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9329696048835"/>
          <c:y val="0.12864273865661999"/>
          <c:w val="0.83353130062073433"/>
          <c:h val="0.71878266184550033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'RCP26'!$W$68:$W$73</c:f>
              <c:numCache>
                <c:formatCode>0.00%</c:formatCode>
                <c:ptCount val="6"/>
                <c:pt idx="0">
                  <c:v>0</c:v>
                </c:pt>
                <c:pt idx="1">
                  <c:v>-1.3975545993654845E-2</c:v>
                </c:pt>
                <c:pt idx="2">
                  <c:v>-1.8729372118659618E-2</c:v>
                </c:pt>
                <c:pt idx="3">
                  <c:v>-2.3529708555534851E-2</c:v>
                </c:pt>
                <c:pt idx="4">
                  <c:v>-2.8371892533395192E-2</c:v>
                </c:pt>
                <c:pt idx="5">
                  <c:v>-2.3529708555533841E-2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BB-4372-847D-AAE96FC1560C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'RCP45'!$W$68:$W$73</c:f>
              <c:numCache>
                <c:formatCode>0.00%</c:formatCode>
                <c:ptCount val="6"/>
                <c:pt idx="0">
                  <c:v>0</c:v>
                </c:pt>
                <c:pt idx="1">
                  <c:v>-1.3975545993654845E-2</c:v>
                </c:pt>
                <c:pt idx="2">
                  <c:v>-2.8371892533395868E-2</c:v>
                </c:pt>
                <c:pt idx="3">
                  <c:v>-4.3164697261474497E-2</c:v>
                </c:pt>
                <c:pt idx="4">
                  <c:v>-4.8179896253963038E-2</c:v>
                </c:pt>
                <c:pt idx="5">
                  <c:v>-5.3236585981110099E-2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BB-4372-847D-AAE96FC1560C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'RCP60'!$W$68:$W$73</c:f>
              <c:numCache>
                <c:formatCode>0.00%</c:formatCode>
                <c:ptCount val="6"/>
                <c:pt idx="0">
                  <c:v>0</c:v>
                </c:pt>
                <c:pt idx="1">
                  <c:v>-1.8729372118659104E-2</c:v>
                </c:pt>
                <c:pt idx="2">
                  <c:v>-2.8371892533395868E-2</c:v>
                </c:pt>
                <c:pt idx="3">
                  <c:v>-4.3164697261474663E-2</c:v>
                </c:pt>
                <c:pt idx="4">
                  <c:v>-6.3464234694436669E-2</c:v>
                </c:pt>
                <c:pt idx="5">
                  <c:v>-7.3841235985459858E-2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BB-4372-847D-AAE96FC1560C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'RCP85'!$W$68:$W$73</c:f>
              <c:numCache>
                <c:formatCode>0.00%</c:formatCode>
                <c:ptCount val="6"/>
                <c:pt idx="0">
                  <c:v>0</c:v>
                </c:pt>
                <c:pt idx="1">
                  <c:v>-9.2688554013834693E-3</c:v>
                </c:pt>
                <c:pt idx="2">
                  <c:v>-2.8371892533395868E-2</c:v>
                </c:pt>
                <c:pt idx="3">
                  <c:v>-5.8330457130686138E-2</c:v>
                </c:pt>
                <c:pt idx="4">
                  <c:v>-8.9677116318527136E-2</c:v>
                </c:pt>
                <c:pt idx="5">
                  <c:v>-0.12772883969212434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BB-4372-847D-AAE96FC15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7101309192306442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'RCP26'!$Q$68:$Q$73</c:f>
              <c:numCache>
                <c:formatCode>0.00%</c:formatCode>
                <c:ptCount val="6"/>
                <c:pt idx="0">
                  <c:v>0</c:v>
                </c:pt>
                <c:pt idx="1">
                  <c:v>3.9894057119234314E-3</c:v>
                </c:pt>
                <c:pt idx="2">
                  <c:v>5.2871810543858649E-3</c:v>
                </c:pt>
                <c:pt idx="3">
                  <c:v>6.5687420129429122E-3</c:v>
                </c:pt>
                <c:pt idx="4">
                  <c:v>5.3185552602878494E-3</c:v>
                </c:pt>
                <c:pt idx="5">
                  <c:v>4.0554630655952988E-3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8B-4859-A543-720A1D87C12C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'RCP45'!$Q$68:$Q$73</c:f>
              <c:numCache>
                <c:formatCode>0.00%</c:formatCode>
                <c:ptCount val="6"/>
                <c:pt idx="0">
                  <c:v>0</c:v>
                </c:pt>
                <c:pt idx="1">
                  <c:v>3.9894057119234314E-3</c:v>
                </c:pt>
                <c:pt idx="2">
                  <c:v>5.3185552602880099E-3</c:v>
                </c:pt>
                <c:pt idx="3">
                  <c:v>3.9768869637496025E-3</c:v>
                </c:pt>
                <c:pt idx="4">
                  <c:v>5.1685036949326111E-3</c:v>
                </c:pt>
                <c:pt idx="5">
                  <c:v>3.8308079067431305E-3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8B-4859-A543-720A1D87C12C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'RCP60'!$Q$68:$Q$73</c:f>
              <c:numCache>
                <c:formatCode>0.00%</c:formatCode>
                <c:ptCount val="6"/>
                <c:pt idx="0">
                  <c:v>0</c:v>
                </c:pt>
                <c:pt idx="1">
                  <c:v>5.2871810543857652E-3</c:v>
                </c:pt>
                <c:pt idx="2">
                  <c:v>5.3185552602883542E-3</c:v>
                </c:pt>
                <c:pt idx="3">
                  <c:v>6.4899692250893716E-3</c:v>
                </c:pt>
                <c:pt idx="4">
                  <c:v>3.6146252000235921E-3</c:v>
                </c:pt>
                <c:pt idx="5">
                  <c:v>8.2293652348383595E-4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8B-4859-A543-720A1D87C12C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'RCP85'!$Q$68:$Q$73</c:f>
              <c:numCache>
                <c:formatCode>0.00%</c:formatCode>
                <c:ptCount val="6"/>
                <c:pt idx="0">
                  <c:v>0</c:v>
                </c:pt>
                <c:pt idx="1">
                  <c:v>2.6755532873579901E-3</c:v>
                </c:pt>
                <c:pt idx="2">
                  <c:v>5.3185552602880099E-3</c:v>
                </c:pt>
                <c:pt idx="3">
                  <c:v>2.4778473771447547E-3</c:v>
                </c:pt>
                <c:pt idx="4">
                  <c:v>-3.4829018700555069E-3</c:v>
                </c:pt>
                <c:pt idx="5">
                  <c:v>-2.1430761623542356E-2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8B-4859-A543-720A1D87C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'RCP26'!$Q$80:$Q$85</c:f>
              <c:numCache>
                <c:formatCode>0.00%</c:formatCode>
                <c:ptCount val="6"/>
                <c:pt idx="0">
                  <c:v>0</c:v>
                </c:pt>
                <c:pt idx="1">
                  <c:v>4.3604462947337682E-3</c:v>
                </c:pt>
                <c:pt idx="2">
                  <c:v>7.1894508444361694E-3</c:v>
                </c:pt>
                <c:pt idx="3">
                  <c:v>8.5804170467025237E-3</c:v>
                </c:pt>
                <c:pt idx="4">
                  <c:v>8.5804170467028065E-3</c:v>
                </c:pt>
                <c:pt idx="5">
                  <c:v>9.7105745631103618E-3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D1-4E9F-AA7A-02E895D20593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'RCP45'!$Q$80:$Q$85</c:f>
              <c:numCache>
                <c:formatCode>0.00%</c:formatCode>
                <c:ptCount val="6"/>
                <c:pt idx="0">
                  <c:v>0</c:v>
                </c:pt>
                <c:pt idx="1">
                  <c:v>4.3604462947337682E-3</c:v>
                </c:pt>
                <c:pt idx="2">
                  <c:v>8.5804170467020657E-3</c:v>
                </c:pt>
                <c:pt idx="3">
                  <c:v>1.3845792538184158E-2</c:v>
                </c:pt>
                <c:pt idx="4">
                  <c:v>1.3983964791961064E-2</c:v>
                </c:pt>
                <c:pt idx="5">
                  <c:v>1.5294659287014709E-2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D1-4E9F-AA7A-02E895D20593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'RCP60'!$Q$80:$Q$85</c:f>
              <c:numCache>
                <c:formatCode>0.00%</c:formatCode>
                <c:ptCount val="6"/>
                <c:pt idx="0">
                  <c:v>0</c:v>
                </c:pt>
                <c:pt idx="1">
                  <c:v>5.7826234252569501E-3</c:v>
                </c:pt>
                <c:pt idx="2">
                  <c:v>1.1105022531276048E-2</c:v>
                </c:pt>
                <c:pt idx="3">
                  <c:v>1.2657033169942272E-2</c:v>
                </c:pt>
                <c:pt idx="4">
                  <c:v>1.5326345818279484E-2</c:v>
                </c:pt>
                <c:pt idx="5">
                  <c:v>1.6585010213208067E-2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D1-4E9F-AA7A-02E895D20593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'RCP85'!$Q$80:$Q$85</c:f>
              <c:numCache>
                <c:formatCode>0.00%</c:formatCode>
                <c:ptCount val="6"/>
                <c:pt idx="0">
                  <c:v>0</c:v>
                </c:pt>
                <c:pt idx="1">
                  <c:v>4.3604462947337682E-3</c:v>
                </c:pt>
                <c:pt idx="2">
                  <c:v>9.9548451638794781E-3</c:v>
                </c:pt>
                <c:pt idx="3">
                  <c:v>1.4050679736360386E-2</c:v>
                </c:pt>
                <c:pt idx="4">
                  <c:v>1.3823788170187028E-2</c:v>
                </c:pt>
                <c:pt idx="5">
                  <c:v>9.352108247511183E-3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D1-4E9F-AA7A-02E895D20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643513812130299"/>
          <c:y val="0.13051418572678417"/>
          <c:w val="0.38399996032346656"/>
          <c:h val="0.31674915635545559"/>
        </c:manualLayout>
      </c:layout>
      <c:overlay val="0"/>
      <c:txPr>
        <a:bodyPr/>
        <a:lstStyle/>
        <a:p>
          <a:pPr>
            <a:defRPr sz="22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775476268441134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'RCP26'!$W$80:$W$85</c:f>
              <c:numCache>
                <c:formatCode>0.00%</c:formatCode>
                <c:ptCount val="6"/>
                <c:pt idx="0">
                  <c:v>0</c:v>
                </c:pt>
                <c:pt idx="1">
                  <c:v>-1.2517132398850137E-2</c:v>
                </c:pt>
                <c:pt idx="2">
                  <c:v>-2.1118886216207687E-2</c:v>
                </c:pt>
                <c:pt idx="3">
                  <c:v>-2.5494135422951657E-2</c:v>
                </c:pt>
                <c:pt idx="4">
                  <c:v>-2.5494135422951984E-2</c:v>
                </c:pt>
                <c:pt idx="5">
                  <c:v>-2.1118886216207194E-2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2C-4502-84E2-BD9486E3F296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'RCP45'!$W$80:$W$85</c:f>
              <c:numCache>
                <c:formatCode>0.00%</c:formatCode>
                <c:ptCount val="6"/>
                <c:pt idx="0">
                  <c:v>0</c:v>
                </c:pt>
                <c:pt idx="1">
                  <c:v>-1.2517132398850137E-2</c:v>
                </c:pt>
                <c:pt idx="2">
                  <c:v>-2.5494135422952636E-2</c:v>
                </c:pt>
                <c:pt idx="3">
                  <c:v>-3.4391434939776477E-2</c:v>
                </c:pt>
                <c:pt idx="4">
                  <c:v>-4.3478138924413302E-2</c:v>
                </c:pt>
                <c:pt idx="5">
                  <c:v>-4.8089726997958541E-2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2C-4502-84E2-BD9486E3F296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'RCP60'!$W$80:$W$85</c:f>
              <c:numCache>
                <c:formatCode>0.00%</c:formatCode>
                <c:ptCount val="6"/>
                <c:pt idx="0">
                  <c:v>0</c:v>
                </c:pt>
                <c:pt idx="1">
                  <c:v>-1.6793517083144922E-2</c:v>
                </c:pt>
                <c:pt idx="2">
                  <c:v>-2.549413542295181E-2</c:v>
                </c:pt>
                <c:pt idx="3">
                  <c:v>-3.8912276053027661E-2</c:v>
                </c:pt>
                <c:pt idx="4">
                  <c:v>-5.7443735952896362E-2</c:v>
                </c:pt>
                <c:pt idx="5">
                  <c:v>-6.2186405612124837E-2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2C-4502-84E2-BD9486E3F296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'RCP85'!$W$80:$W$85</c:f>
              <c:numCache>
                <c:formatCode>0.00%</c:formatCode>
                <c:ptCount val="6"/>
                <c:pt idx="0">
                  <c:v>0</c:v>
                </c:pt>
                <c:pt idx="1">
                  <c:v>-1.2517132398850137E-2</c:v>
                </c:pt>
                <c:pt idx="2">
                  <c:v>-2.9920751773332536E-2</c:v>
                </c:pt>
                <c:pt idx="3">
                  <c:v>-5.2746433759876921E-2</c:v>
                </c:pt>
                <c:pt idx="4">
                  <c:v>-8.1564459080042034E-2</c:v>
                </c:pt>
                <c:pt idx="5">
                  <c:v>-0.10663978917678331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2C-4502-84E2-BD9486E3F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'RCP26'!$Q$92:$Q$97</c:f>
              <c:numCache>
                <c:formatCode>0.00%</c:formatCode>
                <c:ptCount val="6"/>
                <c:pt idx="0">
                  <c:v>0</c:v>
                </c:pt>
                <c:pt idx="1">
                  <c:v>-1.2817461258430793E-3</c:v>
                </c:pt>
                <c:pt idx="2">
                  <c:v>-1.2817461258433237E-3</c:v>
                </c:pt>
                <c:pt idx="3">
                  <c:v>-1.3911005374665289E-3</c:v>
                </c:pt>
                <c:pt idx="4">
                  <c:v>-1.3911005374655481E-3</c:v>
                </c:pt>
                <c:pt idx="5">
                  <c:v>-1.3911005374660369E-3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2-4A92-8EE1-C0E747FE354C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'RCP45'!$B$20:$B$25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'RCP45'!$Q$92:$Q$97</c:f>
              <c:numCache>
                <c:formatCode>0.00%</c:formatCode>
                <c:ptCount val="6"/>
                <c:pt idx="0">
                  <c:v>0</c:v>
                </c:pt>
                <c:pt idx="1">
                  <c:v>-3.9030260620169123E-6</c:v>
                </c:pt>
                <c:pt idx="2">
                  <c:v>-1.3911005374665671E-3</c:v>
                </c:pt>
                <c:pt idx="3">
                  <c:v>-4.0641979678579911E-3</c:v>
                </c:pt>
                <c:pt idx="4">
                  <c:v>-4.3135378479478726E-3</c:v>
                </c:pt>
                <c:pt idx="5">
                  <c:v>-4.3135378479487027E-3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32-4A92-8EE1-C0E747FE354C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'RCP60'!$Q$92:$Q$97</c:f>
              <c:numCache>
                <c:formatCode>0.00%</c:formatCode>
                <c:ptCount val="6"/>
                <c:pt idx="0">
                  <c:v>0</c:v>
                </c:pt>
                <c:pt idx="1">
                  <c:v>-1.2817461258430793E-3</c:v>
                </c:pt>
                <c:pt idx="2">
                  <c:v>-1.3911005374663949E-3</c:v>
                </c:pt>
                <c:pt idx="3">
                  <c:v>-2.9348386152066828E-3</c:v>
                </c:pt>
                <c:pt idx="4">
                  <c:v>-7.1187765121214887E-3</c:v>
                </c:pt>
                <c:pt idx="5">
                  <c:v>-9.986048109240947E-3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32-4A92-8EE1-C0E747FE354C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'RCP85'!$Q$92:$Q$97</c:f>
              <c:numCache>
                <c:formatCode>0.00%</c:formatCode>
                <c:ptCount val="6"/>
                <c:pt idx="0">
                  <c:v>0</c:v>
                </c:pt>
                <c:pt idx="1">
                  <c:v>-3.9030260620169123E-6</c:v>
                </c:pt>
                <c:pt idx="2">
                  <c:v>-2.7200666898571351E-3</c:v>
                </c:pt>
                <c:pt idx="3">
                  <c:v>-5.7083090797845132E-3</c:v>
                </c:pt>
                <c:pt idx="4">
                  <c:v>-1.5378445882670393E-2</c:v>
                </c:pt>
                <c:pt idx="5">
                  <c:v>-2.781678236947099E-2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32-4A92-8EE1-C0E747FE3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909093775399961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'RCP26'!$W$92:$W$97</c:f>
              <c:numCache>
                <c:formatCode>0.00%</c:formatCode>
                <c:ptCount val="6"/>
                <c:pt idx="0">
                  <c:v>0</c:v>
                </c:pt>
                <c:pt idx="1">
                  <c:v>-1.5016385584910282E-2</c:v>
                </c:pt>
                <c:pt idx="2">
                  <c:v>-1.5016385584910981E-2</c:v>
                </c:pt>
                <c:pt idx="3">
                  <c:v>-2.5244175797673789E-2</c:v>
                </c:pt>
                <c:pt idx="4">
                  <c:v>-2.5244175797672928E-2</c:v>
                </c:pt>
                <c:pt idx="5">
                  <c:v>-2.5244175797672401E-2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B-4B02-9BA0-CBA31F9EC215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'RCP45'!$W$92:$W$97</c:f>
              <c:numCache>
                <c:formatCode>0.00%</c:formatCode>
                <c:ptCount val="6"/>
                <c:pt idx="0">
                  <c:v>0</c:v>
                </c:pt>
                <c:pt idx="1">
                  <c:v>-9.9656229215546524E-3</c:v>
                </c:pt>
                <c:pt idx="2">
                  <c:v>-2.5244175797671894E-2</c:v>
                </c:pt>
                <c:pt idx="3">
                  <c:v>-3.5639331662279755E-2</c:v>
                </c:pt>
                <c:pt idx="4">
                  <c:v>-4.6190651619669461E-2</c:v>
                </c:pt>
                <c:pt idx="5">
                  <c:v>-4.6190651619669801E-2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B-4B02-9BA0-CBA31F9EC215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'RCP60'!$W$92:$W$97</c:f>
              <c:numCache>
                <c:formatCode>0.00%</c:formatCode>
                <c:ptCount val="6"/>
                <c:pt idx="0">
                  <c:v>0</c:v>
                </c:pt>
                <c:pt idx="1">
                  <c:v>-1.5016385584910282E-2</c:v>
                </c:pt>
                <c:pt idx="2">
                  <c:v>-2.5244175797672245E-2</c:v>
                </c:pt>
                <c:pt idx="3">
                  <c:v>-4.0896816307466707E-2</c:v>
                </c:pt>
                <c:pt idx="4">
                  <c:v>-5.6894328337892978E-2</c:v>
                </c:pt>
                <c:pt idx="5">
                  <c:v>-6.774134179253273E-2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7B-4B02-9BA0-CBA31F9EC215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'RCP85'!$W$92:$W$97</c:f>
              <c:numCache>
                <c:formatCode>0.00%</c:formatCode>
                <c:ptCount val="6"/>
                <c:pt idx="0">
                  <c:v>0</c:v>
                </c:pt>
                <c:pt idx="1">
                  <c:v>-9.9656229215546524E-3</c:v>
                </c:pt>
                <c:pt idx="2">
                  <c:v>-3.0422715044030015E-2</c:v>
                </c:pt>
                <c:pt idx="3">
                  <c:v>-5.1523869052383243E-2</c:v>
                </c:pt>
                <c:pt idx="4">
                  <c:v>-7.8720378703498364E-2</c:v>
                </c:pt>
                <c:pt idx="5">
                  <c:v>-0.10670998600730876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7B-4B02-9BA0-CBA31F9EC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93269487185839"/>
          <c:y val="0.12864273865661999"/>
          <c:w val="0.82996846552118597"/>
          <c:h val="0.70802092794520832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'RCP26'!$W$104:$W$109</c:f>
              <c:numCache>
                <c:formatCode>0.00%</c:formatCode>
                <c:ptCount val="6"/>
                <c:pt idx="0">
                  <c:v>0</c:v>
                </c:pt>
                <c:pt idx="1">
                  <c:v>-1.5849916726322424E-2</c:v>
                </c:pt>
                <c:pt idx="2">
                  <c:v>-2.6617757800359527E-2</c:v>
                </c:pt>
                <c:pt idx="3">
                  <c:v>-3.2060416914161949E-2</c:v>
                </c:pt>
                <c:pt idx="4">
                  <c:v>-3.2060416914161449E-2</c:v>
                </c:pt>
                <c:pt idx="5">
                  <c:v>-2.6617757800359538E-2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E-4F31-A36C-3BADB5D3189C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'RCP45'!$W$104:$W$109</c:f>
              <c:numCache>
                <c:formatCode>0.00%</c:formatCode>
                <c:ptCount val="6"/>
                <c:pt idx="0">
                  <c:v>0</c:v>
                </c:pt>
                <c:pt idx="1">
                  <c:v>-2.1215288958155821E-2</c:v>
                </c:pt>
                <c:pt idx="2">
                  <c:v>-3.2060416914161775E-2</c:v>
                </c:pt>
                <c:pt idx="3">
                  <c:v>-4.8610684538845941E-2</c:v>
                </c:pt>
                <c:pt idx="4">
                  <c:v>-5.4197237219929695E-2</c:v>
                </c:pt>
                <c:pt idx="5">
                  <c:v>-5.9815019643902158E-2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E-4F31-A36C-3BADB5D3189C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'RCP60'!$W$104:$W$109</c:f>
              <c:numCache>
                <c:formatCode>0.00%</c:formatCode>
                <c:ptCount val="6"/>
                <c:pt idx="0">
                  <c:v>0</c:v>
                </c:pt>
                <c:pt idx="1">
                  <c:v>-2.1215288958155821E-2</c:v>
                </c:pt>
                <c:pt idx="2">
                  <c:v>-3.7541082111929608E-2</c:v>
                </c:pt>
                <c:pt idx="3">
                  <c:v>-5.4197237219930347E-2</c:v>
                </c:pt>
                <c:pt idx="4">
                  <c:v>-7.1148595230634992E-2</c:v>
                </c:pt>
                <c:pt idx="5">
                  <c:v>-8.2608192847987219E-2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E-4F31-A36C-3BADB5D3189C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'RCP85'!$W$104:$W$109</c:f>
              <c:numCache>
                <c:formatCode>0.00%</c:formatCode>
                <c:ptCount val="6"/>
                <c:pt idx="0">
                  <c:v>0</c:v>
                </c:pt>
                <c:pt idx="1">
                  <c:v>-1.5849916726322782E-2</c:v>
                </c:pt>
                <c:pt idx="2">
                  <c:v>-3.7541082111928893E-2</c:v>
                </c:pt>
                <c:pt idx="3">
                  <c:v>-6.5466396503310209E-2</c:v>
                </c:pt>
                <c:pt idx="4">
                  <c:v>-0.10000201278319182</c:v>
                </c:pt>
                <c:pt idx="5">
                  <c:v>-0.1354562266630138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E-4F31-A36C-3BADB5D31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07332664220438"/>
          <c:h val="0.71043176950379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S2'!$V$2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'RCP26'!$Q$104:$Q$109</c:f>
              <c:numCache>
                <c:formatCode>0.00%</c:formatCode>
                <c:ptCount val="6"/>
                <c:pt idx="0">
                  <c:v>0</c:v>
                </c:pt>
                <c:pt idx="1">
                  <c:v>-1.4931016899581854E-3</c:v>
                </c:pt>
                <c:pt idx="2">
                  <c:v>-4.2356105949690843E-3</c:v>
                </c:pt>
                <c:pt idx="3">
                  <c:v>-5.6304909883686987E-3</c:v>
                </c:pt>
                <c:pt idx="4">
                  <c:v>-5.6304909883687481E-3</c:v>
                </c:pt>
                <c:pt idx="5">
                  <c:v>-4.2356105949702414E-3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4E-402B-AABF-AE8CB51C91EE}"/>
            </c:ext>
          </c:extLst>
        </c:ser>
        <c:ser>
          <c:idx val="0"/>
          <c:order val="1"/>
          <c:tx>
            <c:strRef>
              <c:f>'Figure S2'!$V$3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'RCP45'!$Q$104:$Q$109</c:f>
              <c:numCache>
                <c:formatCode>0.00%</c:formatCode>
                <c:ptCount val="6"/>
                <c:pt idx="0">
                  <c:v>0</c:v>
                </c:pt>
                <c:pt idx="1">
                  <c:v>-2.856803458537473E-3</c:v>
                </c:pt>
                <c:pt idx="2">
                  <c:v>-5.6304909883688531E-3</c:v>
                </c:pt>
                <c:pt idx="3">
                  <c:v>-9.908564814434119E-3</c:v>
                </c:pt>
                <c:pt idx="4">
                  <c:v>-1.3833729165449241E-2</c:v>
                </c:pt>
                <c:pt idx="5">
                  <c:v>-1.5301384623075764E-2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4E-402B-AABF-AE8CB51C91EE}"/>
            </c:ext>
          </c:extLst>
        </c:ser>
        <c:ser>
          <c:idx val="3"/>
          <c:order val="2"/>
          <c:tx>
            <c:strRef>
              <c:f>'Figure S2'!$V$4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'RCP60'!$Q$104:$Q$109</c:f>
              <c:numCache>
                <c:formatCode>0.00%</c:formatCode>
                <c:ptCount val="6"/>
                <c:pt idx="0">
                  <c:v>0</c:v>
                </c:pt>
                <c:pt idx="1">
                  <c:v>-2.856803458537473E-3</c:v>
                </c:pt>
                <c:pt idx="2">
                  <c:v>-7.0410688107298749E-3</c:v>
                </c:pt>
                <c:pt idx="3">
                  <c:v>-1.3833729165448984E-2</c:v>
                </c:pt>
                <c:pt idx="4">
                  <c:v>-1.8282437140660586E-2</c:v>
                </c:pt>
                <c:pt idx="5">
                  <c:v>-2.3768137593420086E-2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4E-402B-AABF-AE8CB51C91EE}"/>
            </c:ext>
          </c:extLst>
        </c:ser>
        <c:ser>
          <c:idx val="1"/>
          <c:order val="3"/>
          <c:tx>
            <c:strRef>
              <c:f>'Figure S2'!$V$5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'RCP85'!$Q$104:$Q$109</c:f>
              <c:numCache>
                <c:formatCode>0.00%</c:formatCode>
                <c:ptCount val="6"/>
                <c:pt idx="0">
                  <c:v>0</c:v>
                </c:pt>
                <c:pt idx="1">
                  <c:v>-3.9862512003300092E-3</c:v>
                </c:pt>
                <c:pt idx="2">
                  <c:v>-7.0410688107300475E-3</c:v>
                </c:pt>
                <c:pt idx="3">
                  <c:v>-1.6784468024515671E-2</c:v>
                </c:pt>
                <c:pt idx="4">
                  <c:v>-3.5688291934210602E-2</c:v>
                </c:pt>
                <c:pt idx="5">
                  <c:v>-5.4827978966434626E-2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4E-402B-AABF-AE8CB51C9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18.0549994</c:v>
                </c:pt>
                <c:pt idx="2">
                  <c:v>18.325375709999999</c:v>
                </c:pt>
                <c:pt idx="3">
                  <c:v>18.56457399</c:v>
                </c:pt>
                <c:pt idx="4">
                  <c:v>18.554772239999998</c:v>
                </c:pt>
                <c:pt idx="5">
                  <c:v>18.497632930000002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9DE-4BE6-8EF6-7017E9586DA9}"/>
            </c:ext>
          </c:extLst>
        </c:ser>
        <c:ser>
          <c:idx val="2"/>
          <c:order val="1"/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18.038191579999999</c:v>
                </c:pt>
                <c:pt idx="2">
                  <c:v>18.603739640000001</c:v>
                </c:pt>
                <c:pt idx="3">
                  <c:v>19.164979110000001</c:v>
                </c:pt>
                <c:pt idx="4">
                  <c:v>19.45193622</c:v>
                </c:pt>
                <c:pt idx="5">
                  <c:v>19.607758270000001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9DE-4BE6-8EF6-7017E9586DA9}"/>
            </c:ext>
          </c:extLst>
        </c:ser>
        <c:ser>
          <c:idx val="1"/>
          <c:order val="2"/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18.23406022</c:v>
                </c:pt>
                <c:pt idx="2">
                  <c:v>18.683535670000001</c:v>
                </c:pt>
                <c:pt idx="3">
                  <c:v>19.29096251</c:v>
                </c:pt>
                <c:pt idx="4">
                  <c:v>19.984736860000002</c:v>
                </c:pt>
                <c:pt idx="5">
                  <c:v>20.412206680000001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99DE-4BE6-8EF6-7017E9586DA9}"/>
            </c:ext>
          </c:extLst>
        </c:ser>
        <c:ser>
          <c:idx val="3"/>
          <c:order val="3"/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'RCP85'!$C$116:$C$121</c:f>
              <c:numCache>
                <c:formatCode>General</c:formatCode>
                <c:ptCount val="6"/>
                <c:pt idx="0">
                  <c:v>17.474866370000001</c:v>
                </c:pt>
                <c:pt idx="1">
                  <c:v>17.947823400000001</c:v>
                </c:pt>
                <c:pt idx="2">
                  <c:v>18.790946000000002</c:v>
                </c:pt>
                <c:pt idx="3">
                  <c:v>19.843035539999999</c:v>
                </c:pt>
                <c:pt idx="4">
                  <c:v>21.022310900000001</c:v>
                </c:pt>
                <c:pt idx="5">
                  <c:v>22.185305060000001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99DE-4BE6-8EF6-7017E9586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nextTo"/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1205142529392602"/>
          <c:y val="0.13439420072490937"/>
          <c:w val="0.20681464821199527"/>
          <c:h val="0.24976477940257469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'RCP26'!$C$8:$C$13</c:f>
              <c:numCache>
                <c:formatCode>General</c:formatCode>
                <c:ptCount val="6"/>
                <c:pt idx="0">
                  <c:v>17.178609999999999</c:v>
                </c:pt>
                <c:pt idx="1">
                  <c:v>17.55029</c:v>
                </c:pt>
                <c:pt idx="2">
                  <c:v>17.814419999999998</c:v>
                </c:pt>
                <c:pt idx="3">
                  <c:v>17.840879999999999</c:v>
                </c:pt>
                <c:pt idx="4">
                  <c:v>17.90551</c:v>
                </c:pt>
                <c:pt idx="5">
                  <c:v>17.986930000000001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D17-48BF-8320-EFA3B90F66B8}"/>
            </c:ext>
          </c:extLst>
        </c:ser>
        <c:ser>
          <c:idx val="2"/>
          <c:order val="1"/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'RCP45'!$C$8:$C$13</c:f>
              <c:numCache>
                <c:formatCode>General</c:formatCode>
                <c:ptCount val="6"/>
                <c:pt idx="0">
                  <c:v>17.178609999999999</c:v>
                </c:pt>
                <c:pt idx="1">
                  <c:v>17.54879</c:v>
                </c:pt>
                <c:pt idx="2">
                  <c:v>17.980550000000001</c:v>
                </c:pt>
                <c:pt idx="3">
                  <c:v>18.356870000000001</c:v>
                </c:pt>
                <c:pt idx="4">
                  <c:v>18.469449999999998</c:v>
                </c:pt>
                <c:pt idx="5">
                  <c:v>18.660360000000001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D17-48BF-8320-EFA3B90F66B8}"/>
            </c:ext>
          </c:extLst>
        </c:ser>
        <c:ser>
          <c:idx val="1"/>
          <c:order val="2"/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'RCP60'!$C$8:$C$13</c:f>
              <c:numCache>
                <c:formatCode>General</c:formatCode>
                <c:ptCount val="6"/>
                <c:pt idx="0">
                  <c:v>17.178609999999999</c:v>
                </c:pt>
                <c:pt idx="1">
                  <c:v>17.660730000000001</c:v>
                </c:pt>
                <c:pt idx="2">
                  <c:v>17.866330000000001</c:v>
                </c:pt>
                <c:pt idx="3">
                  <c:v>18.27337</c:v>
                </c:pt>
                <c:pt idx="4">
                  <c:v>18.78472</c:v>
                </c:pt>
                <c:pt idx="5">
                  <c:v>19.125910000000001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D17-48BF-8320-EFA3B90F66B8}"/>
            </c:ext>
          </c:extLst>
        </c:ser>
        <c:ser>
          <c:idx val="3"/>
          <c:order val="3"/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'RCP85'!$C$8:$C$13</c:f>
              <c:numCache>
                <c:formatCode>General</c:formatCode>
                <c:ptCount val="6"/>
                <c:pt idx="0">
                  <c:v>17.178609999999999</c:v>
                </c:pt>
                <c:pt idx="1">
                  <c:v>17.57141</c:v>
                </c:pt>
                <c:pt idx="2">
                  <c:v>18.19323</c:v>
                </c:pt>
                <c:pt idx="3">
                  <c:v>18.91656</c:v>
                </c:pt>
                <c:pt idx="4">
                  <c:v>19.61712</c:v>
                </c:pt>
                <c:pt idx="5">
                  <c:v>20.436979999999998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D17-48BF-8320-EFA3B90F6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nextTo"/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090828769785144"/>
          <c:w val="0.80408691751425154"/>
          <c:h val="0.70301248085722645"/>
        </c:manualLayout>
      </c:layout>
      <c:scatterChart>
        <c:scatterStyle val="lineMarker"/>
        <c:varyColors val="0"/>
        <c:ser>
          <c:idx val="0"/>
          <c:order val="0"/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'RCP26'!$C$20:$C$25</c:f>
              <c:numCache>
                <c:formatCode>General</c:formatCode>
                <c:ptCount val="6"/>
                <c:pt idx="0">
                  <c:v>16.550899999999999</c:v>
                </c:pt>
                <c:pt idx="1">
                  <c:v>17.06277</c:v>
                </c:pt>
                <c:pt idx="2">
                  <c:v>17.28012</c:v>
                </c:pt>
                <c:pt idx="3">
                  <c:v>17.430140000000002</c:v>
                </c:pt>
                <c:pt idx="4">
                  <c:v>17.446470000000001</c:v>
                </c:pt>
                <c:pt idx="5">
                  <c:v>17.441220000000001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84-409B-A693-421059787BC5}"/>
            </c:ext>
          </c:extLst>
        </c:ser>
        <c:ser>
          <c:idx val="2"/>
          <c:order val="1"/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'RCP45'!$C$20:$C$25</c:f>
              <c:numCache>
                <c:formatCode>General</c:formatCode>
                <c:ptCount val="6"/>
                <c:pt idx="0">
                  <c:v>16.550899999999999</c:v>
                </c:pt>
                <c:pt idx="1">
                  <c:v>16.94595</c:v>
                </c:pt>
                <c:pt idx="2">
                  <c:v>17.492909999999998</c:v>
                </c:pt>
                <c:pt idx="3">
                  <c:v>18.010770000000001</c:v>
                </c:pt>
                <c:pt idx="4">
                  <c:v>18.25863</c:v>
                </c:pt>
                <c:pt idx="5">
                  <c:v>18.38879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84-409B-A693-421059787BC5}"/>
            </c:ext>
          </c:extLst>
        </c:ser>
        <c:ser>
          <c:idx val="1"/>
          <c:order val="2"/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'RCP60'!$C$20:$C$25</c:f>
              <c:numCache>
                <c:formatCode>General</c:formatCode>
                <c:ptCount val="6"/>
                <c:pt idx="0">
                  <c:v>16.550899999999999</c:v>
                </c:pt>
                <c:pt idx="1">
                  <c:v>17.264430000000001</c:v>
                </c:pt>
                <c:pt idx="2">
                  <c:v>17.478200000000001</c:v>
                </c:pt>
                <c:pt idx="3">
                  <c:v>18.166740000000001</c:v>
                </c:pt>
                <c:pt idx="4">
                  <c:v>18.697600000000001</c:v>
                </c:pt>
                <c:pt idx="5">
                  <c:v>19.139150000000001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84-409B-A693-421059787BC5}"/>
            </c:ext>
          </c:extLst>
        </c:ser>
        <c:ser>
          <c:idx val="3"/>
          <c:order val="3"/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'RCP85'!$C$20:$C$25</c:f>
              <c:numCache>
                <c:formatCode>General</c:formatCode>
                <c:ptCount val="6"/>
                <c:pt idx="0">
                  <c:v>16.550899999999999</c:v>
                </c:pt>
                <c:pt idx="1">
                  <c:v>16.946950000000001</c:v>
                </c:pt>
                <c:pt idx="2">
                  <c:v>17.74896</c:v>
                </c:pt>
                <c:pt idx="3">
                  <c:v>18.64874</c:v>
                </c:pt>
                <c:pt idx="4">
                  <c:v>19.60134</c:v>
                </c:pt>
                <c:pt idx="5">
                  <c:v>20.590199999999999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7C84-409B-A693-421059787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nextTo"/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'RCP26'!$C$32:$C$37</c:f>
              <c:numCache>
                <c:formatCode>General</c:formatCode>
                <c:ptCount val="6"/>
                <c:pt idx="0">
                  <c:v>17.447839999999999</c:v>
                </c:pt>
                <c:pt idx="1">
                  <c:v>18.29449</c:v>
                </c:pt>
                <c:pt idx="2">
                  <c:v>18.535789999999999</c:v>
                </c:pt>
                <c:pt idx="3">
                  <c:v>18.776509999999998</c:v>
                </c:pt>
                <c:pt idx="4">
                  <c:v>18.875209999999999</c:v>
                </c:pt>
                <c:pt idx="5">
                  <c:v>18.801290000000002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44-4AF8-8461-8DD4777997A7}"/>
            </c:ext>
          </c:extLst>
        </c:ser>
        <c:ser>
          <c:idx val="2"/>
          <c:order val="1"/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'RCP45'!$C$32:$C$37</c:f>
              <c:numCache>
                <c:formatCode>General</c:formatCode>
                <c:ptCount val="6"/>
                <c:pt idx="0">
                  <c:v>17.447839999999999</c:v>
                </c:pt>
                <c:pt idx="1">
                  <c:v>18.266200000000001</c:v>
                </c:pt>
                <c:pt idx="2">
                  <c:v>19.079370000000001</c:v>
                </c:pt>
                <c:pt idx="3">
                  <c:v>19.696829999999999</c:v>
                </c:pt>
                <c:pt idx="4">
                  <c:v>20.011869999999998</c:v>
                </c:pt>
                <c:pt idx="5">
                  <c:v>20.236989999999999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944-4AF8-8461-8DD4777997A7}"/>
            </c:ext>
          </c:extLst>
        </c:ser>
        <c:ser>
          <c:idx val="1"/>
          <c:order val="2"/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'RCP60'!$C$32:$C$37</c:f>
              <c:numCache>
                <c:formatCode>General</c:formatCode>
                <c:ptCount val="6"/>
                <c:pt idx="0">
                  <c:v>17.447839999999999</c:v>
                </c:pt>
                <c:pt idx="1">
                  <c:v>18.638359999999999</c:v>
                </c:pt>
                <c:pt idx="2">
                  <c:v>19.118860000000002</c:v>
                </c:pt>
                <c:pt idx="3">
                  <c:v>19.971399999999999</c:v>
                </c:pt>
                <c:pt idx="4">
                  <c:v>20.8019</c:v>
                </c:pt>
                <c:pt idx="5">
                  <c:v>21.297689999999999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E944-4AF8-8461-8DD4777997A7}"/>
            </c:ext>
          </c:extLst>
        </c:ser>
        <c:ser>
          <c:idx val="3"/>
          <c:order val="3"/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'RCP85'!$C$32:$C$37</c:f>
              <c:numCache>
                <c:formatCode>General</c:formatCode>
                <c:ptCount val="6"/>
                <c:pt idx="0">
                  <c:v>17.447839999999999</c:v>
                </c:pt>
                <c:pt idx="1">
                  <c:v>18.11337</c:v>
                </c:pt>
                <c:pt idx="2">
                  <c:v>19.21679</c:v>
                </c:pt>
                <c:pt idx="3">
                  <c:v>20.49081</c:v>
                </c:pt>
                <c:pt idx="4">
                  <c:v>21.925709999999999</c:v>
                </c:pt>
                <c:pt idx="5">
                  <c:v>23.287559999999999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E944-4AF8-8461-8DD477799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nextTo"/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'RCP26'!$C$44:$C$49</c:f>
              <c:numCache>
                <c:formatCode>General</c:formatCode>
                <c:ptCount val="6"/>
                <c:pt idx="0">
                  <c:v>15.19354</c:v>
                </c:pt>
                <c:pt idx="1">
                  <c:v>15.944699999999999</c:v>
                </c:pt>
                <c:pt idx="2">
                  <c:v>16.16488</c:v>
                </c:pt>
                <c:pt idx="3">
                  <c:v>16.470389999999998</c:v>
                </c:pt>
                <c:pt idx="4">
                  <c:v>16.497669999999999</c:v>
                </c:pt>
                <c:pt idx="5">
                  <c:v>16.468319999999999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E9A-494B-8D63-D6B365EE0E0F}"/>
            </c:ext>
          </c:extLst>
        </c:ser>
        <c:ser>
          <c:idx val="2"/>
          <c:order val="1"/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'RCP45'!$C$44:$C$49</c:f>
              <c:numCache>
                <c:formatCode>General</c:formatCode>
                <c:ptCount val="6"/>
                <c:pt idx="0">
                  <c:v>15.19354</c:v>
                </c:pt>
                <c:pt idx="1">
                  <c:v>15.86791</c:v>
                </c:pt>
                <c:pt idx="2">
                  <c:v>16.55575</c:v>
                </c:pt>
                <c:pt idx="3">
                  <c:v>17.244319999999998</c:v>
                </c:pt>
                <c:pt idx="4">
                  <c:v>17.58325</c:v>
                </c:pt>
                <c:pt idx="5">
                  <c:v>17.732389999999999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E9A-494B-8D63-D6B365EE0E0F}"/>
            </c:ext>
          </c:extLst>
        </c:ser>
        <c:ser>
          <c:idx val="1"/>
          <c:order val="2"/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'RCP60'!$C$44:$C$49</c:f>
              <c:numCache>
                <c:formatCode>General</c:formatCode>
                <c:ptCount val="6"/>
                <c:pt idx="0">
                  <c:v>15.19354</c:v>
                </c:pt>
                <c:pt idx="1">
                  <c:v>16.158560000000001</c:v>
                </c:pt>
                <c:pt idx="2">
                  <c:v>16.665310000000002</c:v>
                </c:pt>
                <c:pt idx="3">
                  <c:v>17.403829999999999</c:v>
                </c:pt>
                <c:pt idx="4">
                  <c:v>18.285209999999999</c:v>
                </c:pt>
                <c:pt idx="5">
                  <c:v>18.743490000000001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E9A-494B-8D63-D6B365EE0E0F}"/>
            </c:ext>
          </c:extLst>
        </c:ser>
        <c:ser>
          <c:idx val="3"/>
          <c:order val="3"/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'RCP85'!$C$44:$C$49</c:f>
              <c:numCache>
                <c:formatCode>General</c:formatCode>
                <c:ptCount val="6"/>
                <c:pt idx="0">
                  <c:v>15.19354</c:v>
                </c:pt>
                <c:pt idx="1">
                  <c:v>15.7546</c:v>
                </c:pt>
                <c:pt idx="2">
                  <c:v>16.701039999999999</c:v>
                </c:pt>
                <c:pt idx="3">
                  <c:v>17.93713</c:v>
                </c:pt>
                <c:pt idx="4">
                  <c:v>19.343160000000001</c:v>
                </c:pt>
                <c:pt idx="5">
                  <c:v>20.68487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E9A-494B-8D63-D6B365EE0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nextTo"/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'RCP26'!$C$56:$C$61</c:f>
              <c:numCache>
                <c:formatCode>General</c:formatCode>
                <c:ptCount val="6"/>
                <c:pt idx="0">
                  <c:v>19.07366</c:v>
                </c:pt>
                <c:pt idx="1">
                  <c:v>19.53613</c:v>
                </c:pt>
                <c:pt idx="2">
                  <c:v>19.71838</c:v>
                </c:pt>
                <c:pt idx="3">
                  <c:v>19.98104</c:v>
                </c:pt>
                <c:pt idx="4">
                  <c:v>19.97167</c:v>
                </c:pt>
                <c:pt idx="5">
                  <c:v>19.934529999999999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DF7-4E61-A9DA-9116F232C48F}"/>
            </c:ext>
          </c:extLst>
        </c:ser>
        <c:ser>
          <c:idx val="2"/>
          <c:order val="1"/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'RCP45'!$C$56:$C$61</c:f>
              <c:numCache>
                <c:formatCode>General</c:formatCode>
                <c:ptCount val="6"/>
                <c:pt idx="0">
                  <c:v>19.07366</c:v>
                </c:pt>
                <c:pt idx="1">
                  <c:v>19.495840000000001</c:v>
                </c:pt>
                <c:pt idx="2">
                  <c:v>20.00198</c:v>
                </c:pt>
                <c:pt idx="3">
                  <c:v>20.50189</c:v>
                </c:pt>
                <c:pt idx="4">
                  <c:v>20.769770000000001</c:v>
                </c:pt>
                <c:pt idx="5">
                  <c:v>20.883690000000001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DF7-4E61-A9DA-9116F232C48F}"/>
            </c:ext>
          </c:extLst>
        </c:ser>
        <c:ser>
          <c:idx val="1"/>
          <c:order val="2"/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'RCP60'!$C$56:$C$61</c:f>
              <c:numCache>
                <c:formatCode>General</c:formatCode>
                <c:ptCount val="6"/>
                <c:pt idx="0">
                  <c:v>19.07366</c:v>
                </c:pt>
                <c:pt idx="1">
                  <c:v>19.79382</c:v>
                </c:pt>
                <c:pt idx="2">
                  <c:v>20.130880000000001</c:v>
                </c:pt>
                <c:pt idx="3">
                  <c:v>20.70025</c:v>
                </c:pt>
                <c:pt idx="4">
                  <c:v>21.235320000000002</c:v>
                </c:pt>
                <c:pt idx="5">
                  <c:v>21.62518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0DF7-4E61-A9DA-9116F232C48F}"/>
            </c:ext>
          </c:extLst>
        </c:ser>
        <c:ser>
          <c:idx val="3"/>
          <c:order val="3"/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'RCP85'!$C$56:$C$61</c:f>
              <c:numCache>
                <c:formatCode>General</c:formatCode>
                <c:ptCount val="6"/>
                <c:pt idx="0">
                  <c:v>19.07366</c:v>
                </c:pt>
                <c:pt idx="1">
                  <c:v>19.379049999999999</c:v>
                </c:pt>
                <c:pt idx="2">
                  <c:v>20.165400000000002</c:v>
                </c:pt>
                <c:pt idx="3">
                  <c:v>21.018370000000001</c:v>
                </c:pt>
                <c:pt idx="4">
                  <c:v>22.066310000000001</c:v>
                </c:pt>
                <c:pt idx="5">
                  <c:v>23.01595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0DF7-4E61-A9DA-9116F232C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nextTo"/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'RCP26'!$C$68:$C$73</c:f>
              <c:numCache>
                <c:formatCode>General</c:formatCode>
                <c:ptCount val="6"/>
                <c:pt idx="0">
                  <c:v>17.39819</c:v>
                </c:pt>
                <c:pt idx="1">
                  <c:v>18.142510000000001</c:v>
                </c:pt>
                <c:pt idx="2">
                  <c:v>18.467829999999999</c:v>
                </c:pt>
                <c:pt idx="3">
                  <c:v>18.746179999999999</c:v>
                </c:pt>
                <c:pt idx="4">
                  <c:v>18.77139</c:v>
                </c:pt>
                <c:pt idx="5">
                  <c:v>18.62368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94C-4CC8-9794-CB072E53A1FC}"/>
            </c:ext>
          </c:extLst>
        </c:ser>
        <c:ser>
          <c:idx val="2"/>
          <c:order val="1"/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'RCP45'!$C$68:$C$73</c:f>
              <c:numCache>
                <c:formatCode>General</c:formatCode>
                <c:ptCount val="6"/>
                <c:pt idx="0">
                  <c:v>17.39819</c:v>
                </c:pt>
                <c:pt idx="1">
                  <c:v>18.115749999999998</c:v>
                </c:pt>
                <c:pt idx="2">
                  <c:v>18.783930000000002</c:v>
                </c:pt>
                <c:pt idx="3">
                  <c:v>19.455220000000001</c:v>
                </c:pt>
                <c:pt idx="4">
                  <c:v>19.808800000000002</c:v>
                </c:pt>
                <c:pt idx="5">
                  <c:v>19.994959999999999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C94C-4CC8-9794-CB072E53A1FC}"/>
            </c:ext>
          </c:extLst>
        </c:ser>
        <c:ser>
          <c:idx val="1"/>
          <c:order val="2"/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'RCP60'!$C$68:$C$73</c:f>
              <c:numCache>
                <c:formatCode>General</c:formatCode>
                <c:ptCount val="6"/>
                <c:pt idx="0">
                  <c:v>17.39819</c:v>
                </c:pt>
                <c:pt idx="1">
                  <c:v>18.31606</c:v>
                </c:pt>
                <c:pt idx="2">
                  <c:v>18.960840000000001</c:v>
                </c:pt>
                <c:pt idx="3">
                  <c:v>19.620480000000001</c:v>
                </c:pt>
                <c:pt idx="4">
                  <c:v>20.564869999999999</c:v>
                </c:pt>
                <c:pt idx="5">
                  <c:v>20.97579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C94C-4CC8-9794-CB072E53A1FC}"/>
            </c:ext>
          </c:extLst>
        </c:ser>
        <c:ser>
          <c:idx val="3"/>
          <c:order val="3"/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'RCP85'!$C$68:$C$73</c:f>
              <c:numCache>
                <c:formatCode>General</c:formatCode>
                <c:ptCount val="6"/>
                <c:pt idx="0">
                  <c:v>17.39819</c:v>
                </c:pt>
                <c:pt idx="1">
                  <c:v>17.954029999999999</c:v>
                </c:pt>
                <c:pt idx="2">
                  <c:v>18.92239</c:v>
                </c:pt>
                <c:pt idx="3">
                  <c:v>20.179099999999998</c:v>
                </c:pt>
                <c:pt idx="4">
                  <c:v>21.695489999999999</c:v>
                </c:pt>
                <c:pt idx="5">
                  <c:v>23.121759999999998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C94C-4CC8-9794-CB072E5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nextTo"/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'RCP26'!$C$80:$C$85</c:f>
              <c:numCache>
                <c:formatCode>General</c:formatCode>
                <c:ptCount val="6"/>
                <c:pt idx="0">
                  <c:v>16.019739999999999</c:v>
                </c:pt>
                <c:pt idx="1">
                  <c:v>16.609369999999998</c:v>
                </c:pt>
                <c:pt idx="2">
                  <c:v>16.96264</c:v>
                </c:pt>
                <c:pt idx="3">
                  <c:v>17.221920000000001</c:v>
                </c:pt>
                <c:pt idx="4">
                  <c:v>17.214169999999999</c:v>
                </c:pt>
                <c:pt idx="5">
                  <c:v>17.119350000000001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429-4077-8B3D-8B54C06C3E6C}"/>
            </c:ext>
          </c:extLst>
        </c:ser>
        <c:ser>
          <c:idx val="2"/>
          <c:order val="1"/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'RCP45'!$C$80:$C$85</c:f>
              <c:numCache>
                <c:formatCode>General</c:formatCode>
                <c:ptCount val="6"/>
                <c:pt idx="0">
                  <c:v>16.019739999999999</c:v>
                </c:pt>
                <c:pt idx="1">
                  <c:v>16.610320000000002</c:v>
                </c:pt>
                <c:pt idx="2">
                  <c:v>17.204160000000002</c:v>
                </c:pt>
                <c:pt idx="3">
                  <c:v>17.840479999999999</c:v>
                </c:pt>
                <c:pt idx="4">
                  <c:v>18.162960000000002</c:v>
                </c:pt>
                <c:pt idx="5">
                  <c:v>18.315390000000001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429-4077-8B3D-8B54C06C3E6C}"/>
            </c:ext>
          </c:extLst>
        </c:ser>
        <c:ser>
          <c:idx val="1"/>
          <c:order val="2"/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'RCP60'!$C$80:$C$85</c:f>
              <c:numCache>
                <c:formatCode>General</c:formatCode>
                <c:ptCount val="6"/>
                <c:pt idx="0">
                  <c:v>16.019739999999999</c:v>
                </c:pt>
                <c:pt idx="1">
                  <c:v>16.80425</c:v>
                </c:pt>
                <c:pt idx="2">
                  <c:v>17.36627</c:v>
                </c:pt>
                <c:pt idx="3">
                  <c:v>17.966239999999999</c:v>
                </c:pt>
                <c:pt idx="4">
                  <c:v>18.792439999999999</c:v>
                </c:pt>
                <c:pt idx="5">
                  <c:v>19.200099999999999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429-4077-8B3D-8B54C06C3E6C}"/>
            </c:ext>
          </c:extLst>
        </c:ser>
        <c:ser>
          <c:idx val="3"/>
          <c:order val="3"/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'RCP85'!$C$80:$C$85</c:f>
              <c:numCache>
                <c:formatCode>General</c:formatCode>
                <c:ptCount val="6"/>
                <c:pt idx="0">
                  <c:v>16.019739999999999</c:v>
                </c:pt>
                <c:pt idx="1">
                  <c:v>16.511040000000001</c:v>
                </c:pt>
                <c:pt idx="2">
                  <c:v>17.407769999999999</c:v>
                </c:pt>
                <c:pt idx="3">
                  <c:v>18.60061</c:v>
                </c:pt>
                <c:pt idx="4">
                  <c:v>19.922999999999998</c:v>
                </c:pt>
                <c:pt idx="5">
                  <c:v>21.237359999999999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7429-4077-8B3D-8B54C06C3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out"/>
        <c:minorTickMark val="none"/>
        <c:tickLblPos val="nextTo"/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'RCP26'!$C$92:$C$97</c:f>
              <c:numCache>
                <c:formatCode>General</c:formatCode>
                <c:ptCount val="6"/>
                <c:pt idx="0">
                  <c:v>18.701260000000001</c:v>
                </c:pt>
                <c:pt idx="1">
                  <c:v>19.223690000000001</c:v>
                </c:pt>
                <c:pt idx="2">
                  <c:v>19.433769999999999</c:v>
                </c:pt>
                <c:pt idx="3">
                  <c:v>19.762260000000001</c:v>
                </c:pt>
                <c:pt idx="4">
                  <c:v>19.68939</c:v>
                </c:pt>
                <c:pt idx="5">
                  <c:v>19.674620000000001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6C8-470D-BDCB-1A32B22C1AF1}"/>
            </c:ext>
          </c:extLst>
        </c:ser>
        <c:ser>
          <c:idx val="2"/>
          <c:order val="1"/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'RCP45'!$C$92:$C$97</c:f>
              <c:numCache>
                <c:formatCode>General</c:formatCode>
                <c:ptCount val="6"/>
                <c:pt idx="0">
                  <c:v>18.701260000000001</c:v>
                </c:pt>
                <c:pt idx="1">
                  <c:v>19.175070000000002</c:v>
                </c:pt>
                <c:pt idx="2">
                  <c:v>19.72289</c:v>
                </c:pt>
                <c:pt idx="3">
                  <c:v>20.29449</c:v>
                </c:pt>
                <c:pt idx="4">
                  <c:v>20.581810000000001</c:v>
                </c:pt>
                <c:pt idx="5">
                  <c:v>20.699369999999998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6C8-470D-BDCB-1A32B22C1AF1}"/>
            </c:ext>
          </c:extLst>
        </c:ser>
        <c:ser>
          <c:idx val="1"/>
          <c:order val="2"/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'RCP60'!$C$92:$C$97</c:f>
              <c:numCache>
                <c:formatCode>General</c:formatCode>
                <c:ptCount val="6"/>
                <c:pt idx="0">
                  <c:v>18.701260000000001</c:v>
                </c:pt>
                <c:pt idx="1">
                  <c:v>19.381889999999999</c:v>
                </c:pt>
                <c:pt idx="2">
                  <c:v>19.878499999999999</c:v>
                </c:pt>
                <c:pt idx="3">
                  <c:v>20.472930000000002</c:v>
                </c:pt>
                <c:pt idx="4">
                  <c:v>21.093440000000001</c:v>
                </c:pt>
                <c:pt idx="5">
                  <c:v>21.501149999999999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6C8-470D-BDCB-1A32B22C1AF1}"/>
            </c:ext>
          </c:extLst>
        </c:ser>
        <c:ser>
          <c:idx val="3"/>
          <c:order val="3"/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'RCP85'!$C$92:$C$97</c:f>
              <c:numCache>
                <c:formatCode>General</c:formatCode>
                <c:ptCount val="6"/>
                <c:pt idx="0">
                  <c:v>18.701260000000001</c:v>
                </c:pt>
                <c:pt idx="1">
                  <c:v>19.1127</c:v>
                </c:pt>
                <c:pt idx="2">
                  <c:v>19.930350000000001</c:v>
                </c:pt>
                <c:pt idx="3">
                  <c:v>20.93582</c:v>
                </c:pt>
                <c:pt idx="4">
                  <c:v>22.111229999999999</c:v>
                </c:pt>
                <c:pt idx="5">
                  <c:v>23.246210000000001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B6C8-470D-BDCB-1A32B22C1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spPr>
            <a:ln w="22225">
              <a:solidFill>
                <a:schemeClr val="accent6"/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'RCP26'!$C$104:$C$109</c:f>
              <c:numCache>
                <c:formatCode>General</c:formatCode>
                <c:ptCount val="6"/>
                <c:pt idx="0">
                  <c:v>19.567530000000001</c:v>
                </c:pt>
                <c:pt idx="1">
                  <c:v>20.30819</c:v>
                </c:pt>
                <c:pt idx="2">
                  <c:v>20.607230000000001</c:v>
                </c:pt>
                <c:pt idx="3">
                  <c:v>20.968589999999999</c:v>
                </c:pt>
                <c:pt idx="4">
                  <c:v>20.846430000000002</c:v>
                </c:pt>
                <c:pt idx="5">
                  <c:v>20.650020000000001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E80-431C-A029-4286F35A7B57}"/>
            </c:ext>
          </c:extLst>
        </c:ser>
        <c:ser>
          <c:idx val="2"/>
          <c:order val="1"/>
          <c:spPr>
            <a:ln w="2222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'RCP45'!$C$104:$C$109</c:f>
              <c:numCache>
                <c:formatCode>General</c:formatCode>
                <c:ptCount val="6"/>
                <c:pt idx="0">
                  <c:v>19.567530000000001</c:v>
                </c:pt>
                <c:pt idx="1">
                  <c:v>20.402729999999998</c:v>
                </c:pt>
                <c:pt idx="2">
                  <c:v>20.956689999999998</c:v>
                </c:pt>
                <c:pt idx="3">
                  <c:v>21.555199999999999</c:v>
                </c:pt>
                <c:pt idx="4">
                  <c:v>21.901420000000002</c:v>
                </c:pt>
                <c:pt idx="5">
                  <c:v>22.09066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E80-431C-A029-4286F35A7B57}"/>
            </c:ext>
          </c:extLst>
        </c:ser>
        <c:ser>
          <c:idx val="1"/>
          <c:order val="2"/>
          <c:spPr>
            <a:ln w="2222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'RCP60'!$C$104:$C$109</c:f>
              <c:numCache>
                <c:formatCode>General</c:formatCode>
                <c:ptCount val="6"/>
                <c:pt idx="0">
                  <c:v>19.567530000000001</c:v>
                </c:pt>
                <c:pt idx="1">
                  <c:v>20.391470000000002</c:v>
                </c:pt>
                <c:pt idx="2">
                  <c:v>21.110589999999998</c:v>
                </c:pt>
                <c:pt idx="3">
                  <c:v>21.723960000000002</c:v>
                </c:pt>
                <c:pt idx="4">
                  <c:v>22.424309999999998</c:v>
                </c:pt>
                <c:pt idx="5">
                  <c:v>22.96969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4E80-431C-A029-4286F35A7B57}"/>
            </c:ext>
          </c:extLst>
        </c:ser>
        <c:ser>
          <c:idx val="3"/>
          <c:order val="3"/>
          <c:spPr>
            <a:ln w="2222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'RCP85'!$C$104:$C$109</c:f>
              <c:numCache>
                <c:formatCode>General</c:formatCode>
                <c:ptCount val="6"/>
                <c:pt idx="0">
                  <c:v>19.567530000000001</c:v>
                </c:pt>
                <c:pt idx="1">
                  <c:v>20.251180000000002</c:v>
                </c:pt>
                <c:pt idx="2">
                  <c:v>21.106159999999999</c:v>
                </c:pt>
                <c:pt idx="3">
                  <c:v>22.328240000000001</c:v>
                </c:pt>
                <c:pt idx="4">
                  <c:v>23.701589999999999</c:v>
                </c:pt>
                <c:pt idx="5">
                  <c:v>25.04955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'Figure S3'!#REF!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4E80-431C-A029-4286F35A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3120"/>
        <c:axId val="167693696"/>
      </c:scatterChart>
      <c:valAx>
        <c:axId val="167693120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696"/>
        <c:crosses val="autoZero"/>
        <c:crossBetween val="midCat"/>
        <c:majorUnit val="20"/>
      </c:valAx>
      <c:valAx>
        <c:axId val="167693696"/>
        <c:scaling>
          <c:orientation val="minMax"/>
          <c:max val="25"/>
          <c:min val="15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93120"/>
        <c:crosses val="autoZero"/>
        <c:crossBetween val="midCat"/>
        <c:majorUnit val="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6723588515848604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(3a)'!$V$2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'RCP26'!$Q$8:$Q$13</c:f>
              <c:numCache>
                <c:formatCode>0.00%</c:formatCode>
                <c:ptCount val="6"/>
                <c:pt idx="0">
                  <c:v>0</c:v>
                </c:pt>
                <c:pt idx="1">
                  <c:v>3.8692739862432159E-3</c:v>
                </c:pt>
                <c:pt idx="2">
                  <c:v>5.2205807315776967E-3</c:v>
                </c:pt>
                <c:pt idx="3">
                  <c:v>5.2205807315778606E-3</c:v>
                </c:pt>
                <c:pt idx="4">
                  <c:v>4.0419346383660654E-3</c:v>
                </c:pt>
                <c:pt idx="5">
                  <c:v>4.0419346383667619E-3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90-4F6C-A8FB-4B573519BA35}"/>
            </c:ext>
          </c:extLst>
        </c:ser>
        <c:ser>
          <c:idx val="0"/>
          <c:order val="1"/>
          <c:tx>
            <c:strRef>
              <c:f>'Figure (3a)'!$V$3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'RCP45'!$Q$8:$Q$13</c:f>
              <c:numCache>
                <c:formatCode>0.00%</c:formatCode>
                <c:ptCount val="6"/>
                <c:pt idx="0">
                  <c:v>0</c:v>
                </c:pt>
                <c:pt idx="1">
                  <c:v>3.8692739862432159E-3</c:v>
                </c:pt>
                <c:pt idx="2">
                  <c:v>4.0419346383664661E-3</c:v>
                </c:pt>
                <c:pt idx="3">
                  <c:v>6.6571213626900484E-3</c:v>
                </c:pt>
                <c:pt idx="4">
                  <c:v>6.6571213626899278E-3</c:v>
                </c:pt>
                <c:pt idx="5">
                  <c:v>5.4237248683410774E-3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90-4F6C-A8FB-4B573519BA35}"/>
            </c:ext>
          </c:extLst>
        </c:ser>
        <c:ser>
          <c:idx val="3"/>
          <c:order val="2"/>
          <c:tx>
            <c:strRef>
              <c:f>'Figure (3a)'!$V$4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'RCP60'!$Q$8:$Q$13</c:f>
              <c:numCache>
                <c:formatCode>0.00%</c:formatCode>
                <c:ptCount val="6"/>
                <c:pt idx="0">
                  <c:v>0</c:v>
                </c:pt>
                <c:pt idx="1">
                  <c:v>2.7106679779373985E-3</c:v>
                </c:pt>
                <c:pt idx="2">
                  <c:v>4.0419346383668104E-3</c:v>
                </c:pt>
                <c:pt idx="3">
                  <c:v>5.3575774959828326E-3</c:v>
                </c:pt>
                <c:pt idx="4">
                  <c:v>6.6885383233291646E-3</c:v>
                </c:pt>
                <c:pt idx="5">
                  <c:v>7.936494731817666E-3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90-4F6C-A8FB-4B573519BA35}"/>
            </c:ext>
          </c:extLst>
        </c:ser>
        <c:ser>
          <c:idx val="1"/>
          <c:order val="3"/>
          <c:tx>
            <c:strRef>
              <c:f>'Figure (3a)'!$V$5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'RCP85'!$Q$8:$Q$13</c:f>
              <c:numCache>
                <c:formatCode>0.00%</c:formatCode>
                <c:ptCount val="6"/>
                <c:pt idx="0">
                  <c:v>0</c:v>
                </c:pt>
                <c:pt idx="1">
                  <c:v>3.8692739862432159E-3</c:v>
                </c:pt>
                <c:pt idx="2">
                  <c:v>5.3575774959834406E-3</c:v>
                </c:pt>
                <c:pt idx="3">
                  <c:v>6.6885383233291655E-3</c:v>
                </c:pt>
                <c:pt idx="4">
                  <c:v>7.8615486152681779E-3</c:v>
                </c:pt>
                <c:pt idx="5">
                  <c:v>4.9822862574573556E-3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90-4F6C-A8FB-4B573519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643513812130299"/>
          <c:y val="0.13051418572678417"/>
          <c:w val="0.35833879497959592"/>
          <c:h val="0.3103999500062492"/>
        </c:manualLayout>
      </c:layout>
      <c:overlay val="0"/>
      <c:txPr>
        <a:bodyPr/>
        <a:lstStyle/>
        <a:p>
          <a:pPr>
            <a:defRPr sz="220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919362046635072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(3a)'!$V$2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'RCP26'!$W$8:$W$13</c:f>
              <c:numCache>
                <c:formatCode>0.00%</c:formatCode>
                <c:ptCount val="6"/>
                <c:pt idx="0">
                  <c:v>0</c:v>
                </c:pt>
                <c:pt idx="1">
                  <c:v>-4.5424214581831083E-3</c:v>
                </c:pt>
                <c:pt idx="2">
                  <c:v>-9.1300625683609846E-3</c:v>
                </c:pt>
                <c:pt idx="3">
                  <c:v>-9.130062568360648E-3</c:v>
                </c:pt>
                <c:pt idx="4">
                  <c:v>-1.3769173811898379E-2</c:v>
                </c:pt>
                <c:pt idx="5">
                  <c:v>-1.3769173811897529E-2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4-438C-B830-E632F880EA3A}"/>
            </c:ext>
          </c:extLst>
        </c:ser>
        <c:ser>
          <c:idx val="0"/>
          <c:order val="1"/>
          <c:tx>
            <c:strRef>
              <c:f>'Figure (3a)'!$V$3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'RCP45'!$W$8:$W$13</c:f>
              <c:numCache>
                <c:formatCode>0.00%</c:formatCode>
                <c:ptCount val="6"/>
                <c:pt idx="0">
                  <c:v>0</c:v>
                </c:pt>
                <c:pt idx="1">
                  <c:v>-4.5424214581831083E-3</c:v>
                </c:pt>
                <c:pt idx="2">
                  <c:v>-1.3769173811898709E-2</c:v>
                </c:pt>
                <c:pt idx="3">
                  <c:v>-2.3186716875032126E-2</c:v>
                </c:pt>
                <c:pt idx="4">
                  <c:v>-2.3186716875031797E-2</c:v>
                </c:pt>
                <c:pt idx="5">
                  <c:v>-2.7965248160669847E-2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14-438C-B830-E632F880EA3A}"/>
            </c:ext>
          </c:extLst>
        </c:ser>
        <c:ser>
          <c:idx val="3"/>
          <c:order val="2"/>
          <c:tx>
            <c:strRef>
              <c:f>'Figure (3a)'!$V$4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'RCP60'!$W$8:$W$13</c:f>
              <c:numCache>
                <c:formatCode>0.00%</c:formatCode>
                <c:ptCount val="6"/>
                <c:pt idx="0">
                  <c:v>0</c:v>
                </c:pt>
                <c:pt idx="1">
                  <c:v>-9.1300625683621711E-3</c:v>
                </c:pt>
                <c:pt idx="2">
                  <c:v>-1.3769173811898709E-2</c:v>
                </c:pt>
                <c:pt idx="3">
                  <c:v>-1.8454484631825877E-2</c:v>
                </c:pt>
                <c:pt idx="4">
                  <c:v>-3.2785436898125526E-2</c:v>
                </c:pt>
                <c:pt idx="5">
                  <c:v>-3.7652179964146722E-2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14-438C-B830-E632F880EA3A}"/>
            </c:ext>
          </c:extLst>
        </c:ser>
        <c:ser>
          <c:idx val="1"/>
          <c:order val="3"/>
          <c:tx>
            <c:strRef>
              <c:f>'Figure (3a)'!$V$5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'RCP85'!$W$8:$W$13</c:f>
              <c:numCache>
                <c:formatCode>0.00%</c:formatCode>
                <c:ptCount val="6"/>
                <c:pt idx="0">
                  <c:v>0</c:v>
                </c:pt>
                <c:pt idx="1">
                  <c:v>-4.5424214581831083E-3</c:v>
                </c:pt>
                <c:pt idx="2">
                  <c:v>-1.8454484631826213E-2</c:v>
                </c:pt>
                <c:pt idx="3">
                  <c:v>-3.2785436898126526E-2</c:v>
                </c:pt>
                <c:pt idx="4">
                  <c:v>-4.7511046472580303E-2</c:v>
                </c:pt>
                <c:pt idx="5">
                  <c:v>-6.7718374851115953E-2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14-438C-B830-E632F880E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7014877262129553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(3a)'!$V$2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'RCP26'!$Q$14:$Q$19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F-429C-9BB2-DF8A1A566AEE}"/>
            </c:ext>
          </c:extLst>
        </c:ser>
        <c:ser>
          <c:idx val="0"/>
          <c:order val="1"/>
          <c:tx>
            <c:strRef>
              <c:f>'Figure (3a)'!$V$3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'RCP45'!$Q$14:$Q$19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F-429C-9BB2-DF8A1A566AEE}"/>
            </c:ext>
          </c:extLst>
        </c:ser>
        <c:ser>
          <c:idx val="3"/>
          <c:order val="2"/>
          <c:tx>
            <c:strRef>
              <c:f>'Figure (3a)'!$V$4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'RCP60'!$Q$14:$Q$19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6F-429C-9BB2-DF8A1A566AEE}"/>
            </c:ext>
          </c:extLst>
        </c:ser>
        <c:ser>
          <c:idx val="1"/>
          <c:order val="3"/>
          <c:tx>
            <c:strRef>
              <c:f>'Figure (3a)'!$V$5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'RCP85'!$Q$14:$Q$19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6F-429C-9BB2-DF8A1A566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962438370402863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(3a)'!$V$2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'RCP26'!$W$14:$W$19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1E-4B36-AF25-6DE24F815F07}"/>
            </c:ext>
          </c:extLst>
        </c:ser>
        <c:ser>
          <c:idx val="0"/>
          <c:order val="1"/>
          <c:tx>
            <c:strRef>
              <c:f>'Figure (3a)'!$V$3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'RCP45'!$W$14:$W$19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E-4B36-AF25-6DE24F815F07}"/>
            </c:ext>
          </c:extLst>
        </c:ser>
        <c:ser>
          <c:idx val="3"/>
          <c:order val="2"/>
          <c:tx>
            <c:strRef>
              <c:f>'Figure (3a)'!$V$4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'RCP60'!$W$14:$W$19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1E-4B36-AF25-6DE24F815F07}"/>
            </c:ext>
          </c:extLst>
        </c:ser>
        <c:ser>
          <c:idx val="1"/>
          <c:order val="3"/>
          <c:tx>
            <c:strRef>
              <c:f>'Figure (3a)'!$V$5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'RCP85'!$W$14:$W$19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1E-4B36-AF25-6DE24F815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7014877262129553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(3a)'!$V$2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'RCP26'!$Q$20:$Q$25</c:f>
              <c:numCache>
                <c:formatCode>0.00%</c:formatCode>
                <c:ptCount val="6"/>
                <c:pt idx="0">
                  <c:v>0</c:v>
                </c:pt>
                <c:pt idx="1">
                  <c:v>2.8167223830231148E-3</c:v>
                </c:pt>
                <c:pt idx="2">
                  <c:v>4.2016496841714331E-3</c:v>
                </c:pt>
                <c:pt idx="3">
                  <c:v>5.5701107005800728E-3</c:v>
                </c:pt>
                <c:pt idx="4">
                  <c:v>5.570110700579731E-3</c:v>
                </c:pt>
                <c:pt idx="5">
                  <c:v>5.5701107005788446E-3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24-4F8B-BB7C-A5170EB74C90}"/>
            </c:ext>
          </c:extLst>
        </c:ser>
        <c:ser>
          <c:idx val="0"/>
          <c:order val="1"/>
          <c:tx>
            <c:strRef>
              <c:f>'Figure (3a)'!$V$3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'RCP45'!$Q$20:$Q$25</c:f>
              <c:numCache>
                <c:formatCode>0.00%</c:formatCode>
                <c:ptCount val="6"/>
                <c:pt idx="0">
                  <c:v>0</c:v>
                </c:pt>
                <c:pt idx="1">
                  <c:v>2.8167223830231148E-3</c:v>
                </c:pt>
                <c:pt idx="2">
                  <c:v>5.5701107005800641E-3</c:v>
                </c:pt>
                <c:pt idx="3">
                  <c:v>8.2605671159340765E-3</c:v>
                </c:pt>
                <c:pt idx="4">
                  <c:v>9.5817378439485221E-3</c:v>
                </c:pt>
                <c:pt idx="5">
                  <c:v>1.0886741938732163E-2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24-4F8B-BB7C-A5170EB74C90}"/>
            </c:ext>
          </c:extLst>
        </c:ser>
        <c:ser>
          <c:idx val="3"/>
          <c:order val="2"/>
          <c:tx>
            <c:strRef>
              <c:f>'Figure (3a)'!$V$4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'RCP60'!$Q$20:$Q$25</c:f>
              <c:numCache>
                <c:formatCode>0.00%</c:formatCode>
                <c:ptCount val="6"/>
                <c:pt idx="0">
                  <c:v>0</c:v>
                </c:pt>
                <c:pt idx="1">
                  <c:v>4.2016496841711711E-3</c:v>
                </c:pt>
                <c:pt idx="2">
                  <c:v>5.5701107005802367E-3</c:v>
                </c:pt>
                <c:pt idx="3">
                  <c:v>9.5817378439487164E-3</c:v>
                </c:pt>
                <c:pt idx="4">
                  <c:v>9.6481631443925183E-3</c:v>
                </c:pt>
                <c:pt idx="5">
                  <c:v>1.2171490786571555E-2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24-4F8B-BB7C-A5170EB74C90}"/>
            </c:ext>
          </c:extLst>
        </c:ser>
        <c:ser>
          <c:idx val="1"/>
          <c:order val="3"/>
          <c:tx>
            <c:strRef>
              <c:f>'Figure (3a)'!$V$5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'RCP85'!$Q$20:$Q$25</c:f>
              <c:numCache>
                <c:formatCode>0.00%</c:formatCode>
                <c:ptCount val="6"/>
                <c:pt idx="0">
                  <c:v>0</c:v>
                </c:pt>
                <c:pt idx="1">
                  <c:v>2.8167223830231148E-3</c:v>
                </c:pt>
                <c:pt idx="2">
                  <c:v>9.444165467131789E-3</c:v>
                </c:pt>
                <c:pt idx="3">
                  <c:v>9.6481631443918626E-3</c:v>
                </c:pt>
                <c:pt idx="4">
                  <c:v>1.2096229772696306E-2</c:v>
                </c:pt>
                <c:pt idx="5">
                  <c:v>7.8093842587415386E-3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24-4F8B-BB7C-A5170EB74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8962438370402863"/>
          <c:h val="0.84423047119110106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(3a)'!$V$2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'RCP26'!$W$20:$W$25</c:f>
              <c:numCache>
                <c:formatCode>0.00%</c:formatCode>
                <c:ptCount val="6"/>
                <c:pt idx="0">
                  <c:v>0</c:v>
                </c:pt>
                <c:pt idx="1">
                  <c:v>-8.7107879028358263E-3</c:v>
                </c:pt>
                <c:pt idx="2">
                  <c:v>-1.3141496880474656E-2</c:v>
                </c:pt>
                <c:pt idx="3">
                  <c:v>-1.762422412123392E-2</c:v>
                </c:pt>
                <c:pt idx="4">
                  <c:v>-1.7624224121234412E-2</c:v>
                </c:pt>
                <c:pt idx="5">
                  <c:v>-1.7624224121233757E-2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1-4C28-9293-5B835D84A0E1}"/>
            </c:ext>
          </c:extLst>
        </c:ser>
        <c:ser>
          <c:idx val="0"/>
          <c:order val="1"/>
          <c:tx>
            <c:strRef>
              <c:f>'Figure (3a)'!$V$3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'RCP45'!$W$20:$W$25</c:f>
              <c:numCache>
                <c:formatCode>0.00%</c:formatCode>
                <c:ptCount val="6"/>
                <c:pt idx="0">
                  <c:v>0</c:v>
                </c:pt>
                <c:pt idx="1">
                  <c:v>-8.7107879028358263E-3</c:v>
                </c:pt>
                <c:pt idx="2">
                  <c:v>-1.7624224121234416E-2</c:v>
                </c:pt>
                <c:pt idx="3">
                  <c:v>-2.67297231376766E-2</c:v>
                </c:pt>
                <c:pt idx="4">
                  <c:v>-3.1353461960079626E-2</c:v>
                </c:pt>
                <c:pt idx="5">
                  <c:v>-3.602350558802446E-2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31-4C28-9293-5B835D84A0E1}"/>
            </c:ext>
          </c:extLst>
        </c:ser>
        <c:ser>
          <c:idx val="3"/>
          <c:order val="2"/>
          <c:tx>
            <c:strRef>
              <c:f>'Figure (3a)'!$V$4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'RCP60'!$W$20:$W$25</c:f>
              <c:numCache>
                <c:formatCode>0.00%</c:formatCode>
                <c:ptCount val="6"/>
                <c:pt idx="0">
                  <c:v>0</c:v>
                </c:pt>
                <c:pt idx="1">
                  <c:v>-1.3141496880474822E-2</c:v>
                </c:pt>
                <c:pt idx="2">
                  <c:v>-1.762422412123358E-2</c:v>
                </c:pt>
                <c:pt idx="3">
                  <c:v>-3.1353461960079647E-2</c:v>
                </c:pt>
                <c:pt idx="4">
                  <c:v>-4.073923981967853E-2</c:v>
                </c:pt>
                <c:pt idx="5">
                  <c:v>-5.0298870839079843E-2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31-4C28-9293-5B835D84A0E1}"/>
            </c:ext>
          </c:extLst>
        </c:ser>
        <c:ser>
          <c:idx val="1"/>
          <c:order val="3"/>
          <c:tx>
            <c:strRef>
              <c:f>'Figure (3a)'!$V$5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'RCP85'!$W$20:$W$25</c:f>
              <c:numCache>
                <c:formatCode>0.00%</c:formatCode>
                <c:ptCount val="6"/>
                <c:pt idx="0">
                  <c:v>0</c:v>
                </c:pt>
                <c:pt idx="1">
                  <c:v>-8.7107879028358263E-3</c:v>
                </c:pt>
                <c:pt idx="2">
                  <c:v>-2.2151576760074995E-2</c:v>
                </c:pt>
                <c:pt idx="3">
                  <c:v>-4.0739239819678211E-2</c:v>
                </c:pt>
                <c:pt idx="4">
                  <c:v>-6.0028177084047792E-2</c:v>
                </c:pt>
                <c:pt idx="5">
                  <c:v>-8.5048119405586264E-2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31-4C28-9293-5B835D84A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4776276712226528"/>
          <c:h val="0.68345253581913012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(3a)'!$V$2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'RCP26'!$W$26:$W$31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2B-455C-934F-CC1EE9BFFBBF}"/>
            </c:ext>
          </c:extLst>
        </c:ser>
        <c:ser>
          <c:idx val="0"/>
          <c:order val="1"/>
          <c:tx>
            <c:strRef>
              <c:f>'Figure (3a)'!$V$3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'RCP45'!$W$26:$W$31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2B-455C-934F-CC1EE9BFFBBF}"/>
            </c:ext>
          </c:extLst>
        </c:ser>
        <c:ser>
          <c:idx val="3"/>
          <c:order val="2"/>
          <c:tx>
            <c:strRef>
              <c:f>'Figure (3a)'!$V$4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'RCP60'!$W$26:$W$31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2B-455C-934F-CC1EE9BFFBBF}"/>
            </c:ext>
          </c:extLst>
        </c:ser>
        <c:ser>
          <c:idx val="1"/>
          <c:order val="3"/>
          <c:tx>
            <c:strRef>
              <c:f>'Figure (3a)'!$V$5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'RCP85'!$W$26:$W$31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2B-455C-934F-CC1EE9BFF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72448"/>
        <c:axId val="168273024"/>
      </c:scatterChart>
      <c:valAx>
        <c:axId val="168272448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3024"/>
        <c:crosses val="autoZero"/>
        <c:crossBetween val="midCat"/>
        <c:majorUnit val="20"/>
      </c:valAx>
      <c:valAx>
        <c:axId val="168273024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7244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4776273941003777"/>
          <c:h val="0.68345253581913012"/>
        </c:manualLayout>
      </c:layout>
      <c:scatterChart>
        <c:scatterStyle val="lineMarker"/>
        <c:varyColors val="0"/>
        <c:ser>
          <c:idx val="2"/>
          <c:order val="0"/>
          <c:tx>
            <c:strRef>
              <c:f>'Figure (3a)'!$V$2</c:f>
              <c:strCache>
                <c:ptCount val="1"/>
                <c:pt idx="0">
                  <c:v>RCP 2.6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'RCP26'!$B$8:$B$13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'RCP26'!$Q$26:$Q$31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C6-4B6B-A309-85A909F39672}"/>
            </c:ext>
          </c:extLst>
        </c:ser>
        <c:ser>
          <c:idx val="0"/>
          <c:order val="1"/>
          <c:tx>
            <c:strRef>
              <c:f>'Figure (3a)'!$V$3</c:f>
              <c:strCache>
                <c:ptCount val="1"/>
                <c:pt idx="0">
                  <c:v>RCP 4.5</c:v>
                </c:pt>
              </c:strCache>
            </c:strRef>
          </c:tx>
          <c:spPr>
            <a:ln w="28575">
              <a:solidFill>
                <a:srgbClr val="C00000"/>
              </a:solidFill>
              <a:prstDash val="sysDot"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'RCP45'!$B$8:$B$13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'RCP45'!$Q$26:$Q$31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C6-4B6B-A309-85A909F39672}"/>
            </c:ext>
          </c:extLst>
        </c:ser>
        <c:ser>
          <c:idx val="3"/>
          <c:order val="2"/>
          <c:tx>
            <c:strRef>
              <c:f>'Figure (3a)'!$V$4</c:f>
              <c:strCache>
                <c:ptCount val="1"/>
                <c:pt idx="0">
                  <c:v>RCP 6.0</c:v>
                </c:pt>
              </c:strCache>
            </c:strRef>
          </c:tx>
          <c:spPr>
            <a:ln w="28575">
              <a:solidFill>
                <a:schemeClr val="accent4">
                  <a:lumMod val="75000"/>
                </a:schemeClr>
              </a:solidFill>
              <a:prstDash val="sysDash"/>
            </a:ln>
          </c:spPr>
          <c:marker>
            <c:symbol val="square"/>
            <c:size val="7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'RCP60'!$B$8:$B$13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'RCP60'!$Q$26:$Q$31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C6-4B6B-A309-85A909F39672}"/>
            </c:ext>
          </c:extLst>
        </c:ser>
        <c:ser>
          <c:idx val="1"/>
          <c:order val="3"/>
          <c:tx>
            <c:strRef>
              <c:f>'Figure (3a)'!$V$5</c:f>
              <c:strCache>
                <c:ptCount val="1"/>
                <c:pt idx="0">
                  <c:v>RCP 8.5</c:v>
                </c:pt>
              </c:strCache>
            </c:strRef>
          </c:tx>
          <c:spPr>
            <a:ln w="28575">
              <a:solidFill>
                <a:srgbClr val="0070C0"/>
              </a:solidFill>
              <a:prstDash val="dash"/>
            </a:ln>
          </c:spPr>
          <c:marker>
            <c:symbol val="x"/>
            <c:size val="7"/>
            <c:spPr>
              <a:ln>
                <a:solidFill>
                  <a:srgbClr val="0070C0"/>
                </a:solidFill>
              </a:ln>
            </c:spPr>
          </c:marker>
          <c:xVal>
            <c:numRef>
              <c:f>'RCP85'!$B$8:$B$13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'RCP85'!$Q$26:$Q$31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C6-4B6B-A309-85A909F39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08096"/>
        <c:axId val="167308672"/>
      </c:scatterChart>
      <c:valAx>
        <c:axId val="16730809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>
            <a:prstDash val="das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672"/>
        <c:crosses val="autoZero"/>
        <c:crossBetween val="midCat"/>
        <c:majorUnit val="20"/>
      </c:valAx>
      <c:valAx>
        <c:axId val="167308672"/>
        <c:scaling>
          <c:orientation val="minMax"/>
          <c:max val="0.2"/>
          <c:min val="-0.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0809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13" Type="http://schemas.openxmlformats.org/officeDocument/2006/relationships/chart" Target="../charts/chart61.xml"/><Relationship Id="rId18" Type="http://schemas.openxmlformats.org/officeDocument/2006/relationships/chart" Target="../charts/chart66.xml"/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12" Type="http://schemas.openxmlformats.org/officeDocument/2006/relationships/chart" Target="../charts/chart60.xml"/><Relationship Id="rId17" Type="http://schemas.openxmlformats.org/officeDocument/2006/relationships/chart" Target="../charts/chart65.xml"/><Relationship Id="rId2" Type="http://schemas.openxmlformats.org/officeDocument/2006/relationships/chart" Target="../charts/chart50.xml"/><Relationship Id="rId16" Type="http://schemas.openxmlformats.org/officeDocument/2006/relationships/chart" Target="../charts/chart64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11" Type="http://schemas.openxmlformats.org/officeDocument/2006/relationships/chart" Target="../charts/chart59.xml"/><Relationship Id="rId5" Type="http://schemas.openxmlformats.org/officeDocument/2006/relationships/chart" Target="../charts/chart53.xml"/><Relationship Id="rId15" Type="http://schemas.openxmlformats.org/officeDocument/2006/relationships/chart" Target="../charts/chart63.xml"/><Relationship Id="rId10" Type="http://schemas.openxmlformats.org/officeDocument/2006/relationships/chart" Target="../charts/chart58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Relationship Id="rId14" Type="http://schemas.openxmlformats.org/officeDocument/2006/relationships/chart" Target="../charts/chart62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4.xml"/><Relationship Id="rId3" Type="http://schemas.openxmlformats.org/officeDocument/2006/relationships/chart" Target="../charts/chart69.xml"/><Relationship Id="rId7" Type="http://schemas.openxmlformats.org/officeDocument/2006/relationships/chart" Target="../charts/chart73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5" Type="http://schemas.openxmlformats.org/officeDocument/2006/relationships/chart" Target="../charts/chart71.xml"/><Relationship Id="rId10" Type="http://schemas.openxmlformats.org/officeDocument/2006/relationships/chart" Target="../charts/chart76.xml"/><Relationship Id="rId4" Type="http://schemas.openxmlformats.org/officeDocument/2006/relationships/chart" Target="../charts/chart70.xml"/><Relationship Id="rId9" Type="http://schemas.openxmlformats.org/officeDocument/2006/relationships/chart" Target="../charts/chart75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4.xml"/><Relationship Id="rId3" Type="http://schemas.openxmlformats.org/officeDocument/2006/relationships/chart" Target="../charts/chart79.xml"/><Relationship Id="rId7" Type="http://schemas.openxmlformats.org/officeDocument/2006/relationships/chart" Target="../charts/chart83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6" Type="http://schemas.openxmlformats.org/officeDocument/2006/relationships/chart" Target="../charts/chart82.xml"/><Relationship Id="rId5" Type="http://schemas.openxmlformats.org/officeDocument/2006/relationships/chart" Target="../charts/chart81.xml"/><Relationship Id="rId4" Type="http://schemas.openxmlformats.org/officeDocument/2006/relationships/chart" Target="../charts/chart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6</xdr:row>
      <xdr:rowOff>0</xdr:rowOff>
    </xdr:from>
    <xdr:to>
      <xdr:col>19</xdr:col>
      <xdr:colOff>594932</xdr:colOff>
      <xdr:row>27</xdr:row>
      <xdr:rowOff>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593914</xdr:colOff>
      <xdr:row>27</xdr:row>
      <xdr:rowOff>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324969</xdr:colOff>
      <xdr:row>6</xdr:row>
      <xdr:rowOff>145676</xdr:rowOff>
    </xdr:from>
    <xdr:to>
      <xdr:col>9</xdr:col>
      <xdr:colOff>100853</xdr:colOff>
      <xdr:row>8</xdr:row>
      <xdr:rowOff>112059</xdr:rowOff>
    </xdr:to>
    <xdr:sp macro="" textlink="">
      <xdr:nvSpPr>
        <xdr:cNvPr id="7" name="TextBox 6"/>
        <xdr:cNvSpPr txBox="1"/>
      </xdr:nvSpPr>
      <xdr:spPr>
        <a:xfrm>
          <a:off x="5771028" y="1288676"/>
          <a:ext cx="381001" cy="3473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en-US" sz="1400" b="1"/>
            <a:t>(a)</a:t>
          </a:r>
        </a:p>
      </xdr:txBody>
    </xdr:sp>
    <xdr:clientData/>
  </xdr:twoCellAnchor>
  <xdr:twoCellAnchor>
    <xdr:from>
      <xdr:col>18</xdr:col>
      <xdr:colOff>327211</xdr:colOff>
      <xdr:row>6</xdr:row>
      <xdr:rowOff>136711</xdr:rowOff>
    </xdr:from>
    <xdr:to>
      <xdr:col>19</xdr:col>
      <xdr:colOff>103094</xdr:colOff>
      <xdr:row>8</xdr:row>
      <xdr:rowOff>103094</xdr:rowOff>
    </xdr:to>
    <xdr:sp macro="" textlink="">
      <xdr:nvSpPr>
        <xdr:cNvPr id="13" name="TextBox 12"/>
        <xdr:cNvSpPr txBox="1"/>
      </xdr:nvSpPr>
      <xdr:spPr>
        <a:xfrm>
          <a:off x="11824446" y="1279711"/>
          <a:ext cx="381001" cy="3473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en-US" sz="1400" b="1"/>
            <a:t>(b)</a:t>
          </a:r>
        </a:p>
      </xdr:txBody>
    </xdr:sp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594933</xdr:colOff>
      <xdr:row>27</xdr:row>
      <xdr:rowOff>0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27</xdr:row>
      <xdr:rowOff>0</xdr:rowOff>
    </xdr:from>
    <xdr:to>
      <xdr:col>19</xdr:col>
      <xdr:colOff>594932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9</xdr:col>
      <xdr:colOff>593914</xdr:colOff>
      <xdr:row>48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352184</xdr:colOff>
      <xdr:row>29</xdr:row>
      <xdr:rowOff>118461</xdr:rowOff>
    </xdr:from>
    <xdr:to>
      <xdr:col>9</xdr:col>
      <xdr:colOff>128068</xdr:colOff>
      <xdr:row>31</xdr:row>
      <xdr:rowOff>84844</xdr:rowOff>
    </xdr:to>
    <xdr:sp macro="" textlink="">
      <xdr:nvSpPr>
        <xdr:cNvPr id="10" name="TextBox 9"/>
        <xdr:cNvSpPr txBox="1"/>
      </xdr:nvSpPr>
      <xdr:spPr>
        <a:xfrm>
          <a:off x="5019434" y="5642961"/>
          <a:ext cx="388205" cy="34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en-US" sz="1400" b="1"/>
            <a:t>(a)</a:t>
          </a:r>
        </a:p>
      </xdr:txBody>
    </xdr:sp>
    <xdr:clientData/>
  </xdr:twoCellAnchor>
  <xdr:twoCellAnchor>
    <xdr:from>
      <xdr:col>18</xdr:col>
      <xdr:colOff>327211</xdr:colOff>
      <xdr:row>29</xdr:row>
      <xdr:rowOff>82283</xdr:rowOff>
    </xdr:from>
    <xdr:to>
      <xdr:col>19</xdr:col>
      <xdr:colOff>103094</xdr:colOff>
      <xdr:row>31</xdr:row>
      <xdr:rowOff>48666</xdr:rowOff>
    </xdr:to>
    <xdr:sp macro="" textlink="">
      <xdr:nvSpPr>
        <xdr:cNvPr id="11" name="TextBox 10"/>
        <xdr:cNvSpPr txBox="1"/>
      </xdr:nvSpPr>
      <xdr:spPr>
        <a:xfrm>
          <a:off x="11226532" y="5606783"/>
          <a:ext cx="388205" cy="347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en-US" sz="1400" b="1"/>
            <a:t>(b)</a:t>
          </a:r>
        </a:p>
      </xdr:txBody>
    </xdr:sp>
    <xdr:clientData/>
  </xdr:twoCellAnchor>
  <xdr:twoCellAnchor>
    <xdr:from>
      <xdr:col>21</xdr:col>
      <xdr:colOff>0</xdr:colOff>
      <xdr:row>27</xdr:row>
      <xdr:rowOff>0</xdr:rowOff>
    </xdr:from>
    <xdr:to>
      <xdr:col>29</xdr:col>
      <xdr:colOff>594932</xdr:colOff>
      <xdr:row>48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0.85389</cdr:x>
      <cdr:y>0.0161</cdr:y>
    </cdr:from>
    <cdr:to>
      <cdr:x>0.92455</cdr:x>
      <cdr:y>0.10293</cdr:y>
    </cdr:to>
    <cdr:sp macro="" textlink="">
      <cdr:nvSpPr>
        <cdr:cNvPr id="2" name="TextBox 10"/>
        <cdr:cNvSpPr txBox="1"/>
      </cdr:nvSpPr>
      <cdr:spPr>
        <a:xfrm xmlns:a="http://schemas.openxmlformats.org/drawingml/2006/main">
          <a:off x="4690836" y="64408"/>
          <a:ext cx="388205" cy="347383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 b="1"/>
            <a:t>(c)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0.83806</cdr:x>
      <cdr:y>0.11634</cdr:y>
    </cdr:from>
    <cdr:to>
      <cdr:x>0.90815</cdr:x>
      <cdr:y>0.20317</cdr:y>
    </cdr:to>
    <cdr:sp macro="" textlink="">
      <cdr:nvSpPr>
        <cdr:cNvPr id="2" name="TextBox 10"/>
        <cdr:cNvSpPr txBox="1"/>
      </cdr:nvSpPr>
      <cdr:spPr>
        <a:xfrm xmlns:a="http://schemas.openxmlformats.org/drawingml/2006/main">
          <a:off x="4555565" y="465418"/>
          <a:ext cx="381001" cy="34738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 b="1"/>
            <a:t>(b)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10</xdr:col>
      <xdr:colOff>594933</xdr:colOff>
      <xdr:row>26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19</xdr:col>
      <xdr:colOff>594933</xdr:colOff>
      <xdr:row>26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5</xdr:row>
      <xdr:rowOff>0</xdr:rowOff>
    </xdr:from>
    <xdr:to>
      <xdr:col>28</xdr:col>
      <xdr:colOff>594933</xdr:colOff>
      <xdr:row>26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10</xdr:col>
      <xdr:colOff>594933</xdr:colOff>
      <xdr:row>47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26</xdr:row>
      <xdr:rowOff>0</xdr:rowOff>
    </xdr:from>
    <xdr:to>
      <xdr:col>19</xdr:col>
      <xdr:colOff>594933</xdr:colOff>
      <xdr:row>47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26</xdr:row>
      <xdr:rowOff>0</xdr:rowOff>
    </xdr:from>
    <xdr:to>
      <xdr:col>28</xdr:col>
      <xdr:colOff>594933</xdr:colOff>
      <xdr:row>47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47</xdr:row>
      <xdr:rowOff>0</xdr:rowOff>
    </xdr:from>
    <xdr:to>
      <xdr:col>10</xdr:col>
      <xdr:colOff>594933</xdr:colOff>
      <xdr:row>68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47</xdr:row>
      <xdr:rowOff>0</xdr:rowOff>
    </xdr:from>
    <xdr:to>
      <xdr:col>19</xdr:col>
      <xdr:colOff>594933</xdr:colOff>
      <xdr:row>68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0</xdr:colOff>
      <xdr:row>47</xdr:row>
      <xdr:rowOff>0</xdr:rowOff>
    </xdr:from>
    <xdr:to>
      <xdr:col>28</xdr:col>
      <xdr:colOff>594933</xdr:colOff>
      <xdr:row>68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67</xdr:row>
      <xdr:rowOff>190499</xdr:rowOff>
    </xdr:from>
    <xdr:to>
      <xdr:col>10</xdr:col>
      <xdr:colOff>594933</xdr:colOff>
      <xdr:row>89</xdr:row>
      <xdr:rowOff>198782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68</xdr:row>
      <xdr:rowOff>0</xdr:rowOff>
    </xdr:from>
    <xdr:to>
      <xdr:col>19</xdr:col>
      <xdr:colOff>594933</xdr:colOff>
      <xdr:row>90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68</xdr:row>
      <xdr:rowOff>0</xdr:rowOff>
    </xdr:from>
    <xdr:to>
      <xdr:col>28</xdr:col>
      <xdr:colOff>594933</xdr:colOff>
      <xdr:row>90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0.78519</cdr:x>
      <cdr:y>0.06032</cdr:y>
    </cdr:from>
    <cdr:to>
      <cdr:x>0.92889</cdr:x>
      <cdr:y>0.16883</cdr:y>
    </cdr:to>
    <cdr:sp macro="" textlink="">
      <cdr:nvSpPr>
        <cdr:cNvPr id="2" name="TextBox 13"/>
        <cdr:cNvSpPr txBox="1"/>
      </cdr:nvSpPr>
      <cdr:spPr>
        <a:xfrm xmlns:a="http://schemas.openxmlformats.org/drawingml/2006/main">
          <a:off x="4313464" y="241310"/>
          <a:ext cx="789398" cy="4340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(a0)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0.80749</cdr:x>
      <cdr:y>0.05628</cdr:y>
    </cdr:from>
    <cdr:to>
      <cdr:x>0.93809</cdr:x>
      <cdr:y>0.17262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435928" y="225148"/>
          <a:ext cx="717500" cy="4654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(b0)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0.80749</cdr:x>
      <cdr:y>0.05599</cdr:y>
    </cdr:from>
    <cdr:to>
      <cdr:x>0.93186</cdr:x>
      <cdr:y>0.1645</cdr:y>
    </cdr:to>
    <cdr:sp macro="" textlink="">
      <cdr:nvSpPr>
        <cdr:cNvPr id="3" name="TextBox 13"/>
        <cdr:cNvSpPr txBox="1"/>
      </cdr:nvSpPr>
      <cdr:spPr>
        <a:xfrm xmlns:a="http://schemas.openxmlformats.org/drawingml/2006/main">
          <a:off x="4435928" y="223988"/>
          <a:ext cx="683249" cy="4340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(c0)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0.79758</cdr:x>
      <cdr:y>0.06032</cdr:y>
    </cdr:from>
    <cdr:to>
      <cdr:x>0.94623</cdr:x>
      <cdr:y>0.16883</cdr:y>
    </cdr:to>
    <cdr:sp macro="" textlink="">
      <cdr:nvSpPr>
        <cdr:cNvPr id="2" name="TextBox 13"/>
        <cdr:cNvSpPr txBox="1"/>
      </cdr:nvSpPr>
      <cdr:spPr>
        <a:xfrm xmlns:a="http://schemas.openxmlformats.org/drawingml/2006/main">
          <a:off x="4381501" y="241310"/>
          <a:ext cx="816608" cy="4340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(a1)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0.81739</cdr:x>
      <cdr:y>0.05288</cdr:y>
    </cdr:from>
    <cdr:to>
      <cdr:x>0.9462</cdr:x>
      <cdr:y>0.17857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490357" y="211546"/>
          <a:ext cx="707571" cy="5028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(b1)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0.11631</cdr:x>
      <cdr:y>0.06194</cdr:y>
    </cdr:from>
    <cdr:to>
      <cdr:x>0.24522</cdr:x>
      <cdr:y>0.17045</cdr:y>
    </cdr:to>
    <cdr:sp macro="" textlink="">
      <cdr:nvSpPr>
        <cdr:cNvPr id="3" name="TextBox 13"/>
        <cdr:cNvSpPr txBox="1"/>
      </cdr:nvSpPr>
      <cdr:spPr>
        <a:xfrm xmlns:a="http://schemas.openxmlformats.org/drawingml/2006/main">
          <a:off x="638949" y="247791"/>
          <a:ext cx="708158" cy="4340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(c1)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0.81739</cdr:x>
      <cdr:y>0.06032</cdr:y>
    </cdr:from>
    <cdr:to>
      <cdr:x>0.94867</cdr:x>
      <cdr:y>0.16883</cdr:y>
    </cdr:to>
    <cdr:sp macro="" textlink="">
      <cdr:nvSpPr>
        <cdr:cNvPr id="2" name="TextBox 13"/>
        <cdr:cNvSpPr txBox="1"/>
      </cdr:nvSpPr>
      <cdr:spPr>
        <a:xfrm xmlns:a="http://schemas.openxmlformats.org/drawingml/2006/main">
          <a:off x="4490357" y="241310"/>
          <a:ext cx="721179" cy="4340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(a2)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0.79758</cdr:x>
      <cdr:y>0.05288</cdr:y>
    </cdr:from>
    <cdr:to>
      <cdr:x>0.94305</cdr:x>
      <cdr:y>0.16667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381501" y="211546"/>
          <a:ext cx="799142" cy="455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(b2)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0.77281</cdr:x>
      <cdr:y>0.05599</cdr:y>
    </cdr:from>
    <cdr:to>
      <cdr:x>0.92195</cdr:x>
      <cdr:y>0.1645</cdr:y>
    </cdr:to>
    <cdr:sp macro="" textlink="">
      <cdr:nvSpPr>
        <cdr:cNvPr id="3" name="TextBox 13"/>
        <cdr:cNvSpPr txBox="1"/>
      </cdr:nvSpPr>
      <cdr:spPr>
        <a:xfrm xmlns:a="http://schemas.openxmlformats.org/drawingml/2006/main">
          <a:off x="4245429" y="223988"/>
          <a:ext cx="819320" cy="4340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(c2)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0.81244</cdr:x>
      <cdr:y>0.04083</cdr:y>
    </cdr:from>
    <cdr:to>
      <cdr:x>0.94124</cdr:x>
      <cdr:y>0.14934</cdr:y>
    </cdr:to>
    <cdr:sp macro="" textlink="">
      <cdr:nvSpPr>
        <cdr:cNvPr id="2" name="TextBox 13"/>
        <cdr:cNvSpPr txBox="1"/>
      </cdr:nvSpPr>
      <cdr:spPr>
        <a:xfrm xmlns:a="http://schemas.openxmlformats.org/drawingml/2006/main">
          <a:off x="4463142" y="171083"/>
          <a:ext cx="707572" cy="4546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(a3)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0.79262</cdr:x>
      <cdr:y>0.03665</cdr:y>
    </cdr:from>
    <cdr:to>
      <cdr:x>0.93314</cdr:x>
      <cdr:y>0.14854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354285" y="153585"/>
          <a:ext cx="771928" cy="4689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(b3)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0.80749</cdr:x>
      <cdr:y>0.04625</cdr:y>
    </cdr:from>
    <cdr:to>
      <cdr:x>0.91948</cdr:x>
      <cdr:y>0.15476</cdr:y>
    </cdr:to>
    <cdr:sp macro="" textlink="">
      <cdr:nvSpPr>
        <cdr:cNvPr id="3" name="TextBox 13"/>
        <cdr:cNvSpPr txBox="1"/>
      </cdr:nvSpPr>
      <cdr:spPr>
        <a:xfrm xmlns:a="http://schemas.openxmlformats.org/drawingml/2006/main">
          <a:off x="4435928" y="193833"/>
          <a:ext cx="615213" cy="454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(c3)</a:t>
          </a: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10</xdr:col>
      <xdr:colOff>594933</xdr:colOff>
      <xdr:row>26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19</xdr:col>
      <xdr:colOff>594933</xdr:colOff>
      <xdr:row>26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10</xdr:col>
      <xdr:colOff>594933</xdr:colOff>
      <xdr:row>47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26</xdr:row>
      <xdr:rowOff>0</xdr:rowOff>
    </xdr:from>
    <xdr:to>
      <xdr:col>19</xdr:col>
      <xdr:colOff>594933</xdr:colOff>
      <xdr:row>47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47</xdr:row>
      <xdr:rowOff>0</xdr:rowOff>
    </xdr:from>
    <xdr:to>
      <xdr:col>10</xdr:col>
      <xdr:colOff>594933</xdr:colOff>
      <xdr:row>68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47</xdr:row>
      <xdr:rowOff>0</xdr:rowOff>
    </xdr:from>
    <xdr:to>
      <xdr:col>19</xdr:col>
      <xdr:colOff>594933</xdr:colOff>
      <xdr:row>68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67</xdr:row>
      <xdr:rowOff>190499</xdr:rowOff>
    </xdr:from>
    <xdr:to>
      <xdr:col>10</xdr:col>
      <xdr:colOff>594933</xdr:colOff>
      <xdr:row>89</xdr:row>
      <xdr:rowOff>198782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68</xdr:row>
      <xdr:rowOff>0</xdr:rowOff>
    </xdr:from>
    <xdr:to>
      <xdr:col>19</xdr:col>
      <xdr:colOff>594933</xdr:colOff>
      <xdr:row>90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0</xdr:colOff>
      <xdr:row>5</xdr:row>
      <xdr:rowOff>0</xdr:rowOff>
    </xdr:from>
    <xdr:to>
      <xdr:col>28</xdr:col>
      <xdr:colOff>594933</xdr:colOff>
      <xdr:row>26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26</xdr:row>
      <xdr:rowOff>0</xdr:rowOff>
    </xdr:from>
    <xdr:to>
      <xdr:col>28</xdr:col>
      <xdr:colOff>594933</xdr:colOff>
      <xdr:row>47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47</xdr:row>
      <xdr:rowOff>0</xdr:rowOff>
    </xdr:from>
    <xdr:to>
      <xdr:col>28</xdr:col>
      <xdr:colOff>594933</xdr:colOff>
      <xdr:row>68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606135</xdr:colOff>
      <xdr:row>68</xdr:row>
      <xdr:rowOff>0</xdr:rowOff>
    </xdr:from>
    <xdr:to>
      <xdr:col>29</xdr:col>
      <xdr:colOff>138544</xdr:colOff>
      <xdr:row>90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0.7762</cdr:x>
      <cdr:y>0.06032</cdr:y>
    </cdr:from>
    <cdr:to>
      <cdr:x>0.92889</cdr:x>
      <cdr:y>0.16883</cdr:y>
    </cdr:to>
    <cdr:sp macro="" textlink="">
      <cdr:nvSpPr>
        <cdr:cNvPr id="2" name="TextBox 13"/>
        <cdr:cNvSpPr txBox="1"/>
      </cdr:nvSpPr>
      <cdr:spPr>
        <a:xfrm xmlns:a="http://schemas.openxmlformats.org/drawingml/2006/main">
          <a:off x="4225636" y="241310"/>
          <a:ext cx="831263" cy="4340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(a0)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0.80483</cdr:x>
      <cdr:y>0.06494</cdr:y>
    </cdr:from>
    <cdr:to>
      <cdr:x>0.94798</cdr:x>
      <cdr:y>0.18128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381501" y="259785"/>
          <a:ext cx="779314" cy="4654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(b0)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0.82073</cdr:x>
      <cdr:y>0.06032</cdr:y>
    </cdr:from>
    <cdr:to>
      <cdr:x>0.93632</cdr:x>
      <cdr:y>0.16883</cdr:y>
    </cdr:to>
    <cdr:sp macro="" textlink="">
      <cdr:nvSpPr>
        <cdr:cNvPr id="2" name="TextBox 13"/>
        <cdr:cNvSpPr txBox="1"/>
      </cdr:nvSpPr>
      <cdr:spPr>
        <a:xfrm xmlns:a="http://schemas.openxmlformats.org/drawingml/2006/main">
          <a:off x="4468091" y="241310"/>
          <a:ext cx="629258" cy="4340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(a1)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0.80165</cdr:x>
      <cdr:y>0.05288</cdr:y>
    </cdr:from>
    <cdr:to>
      <cdr:x>0.92571</cdr:x>
      <cdr:y>0.17857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364182" y="211546"/>
          <a:ext cx="675405" cy="5028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(b1)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0.81119</cdr:x>
      <cdr:y>0.06032</cdr:y>
    </cdr:from>
    <cdr:to>
      <cdr:x>0.93632</cdr:x>
      <cdr:y>0.16883</cdr:y>
    </cdr:to>
    <cdr:sp macro="" textlink="">
      <cdr:nvSpPr>
        <cdr:cNvPr id="2" name="TextBox 13"/>
        <cdr:cNvSpPr txBox="1"/>
      </cdr:nvSpPr>
      <cdr:spPr>
        <a:xfrm xmlns:a="http://schemas.openxmlformats.org/drawingml/2006/main">
          <a:off x="4416136" y="241310"/>
          <a:ext cx="681213" cy="4340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(a2)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0.80165</cdr:x>
      <cdr:y>0.05288</cdr:y>
    </cdr:from>
    <cdr:to>
      <cdr:x>0.92571</cdr:x>
      <cdr:y>0.16667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364182" y="211546"/>
          <a:ext cx="675405" cy="455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(b2)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0.80801</cdr:x>
      <cdr:y>0.04379</cdr:y>
    </cdr:from>
    <cdr:to>
      <cdr:x>0.93632</cdr:x>
      <cdr:y>0.1523</cdr:y>
    </cdr:to>
    <cdr:sp macro="" textlink="">
      <cdr:nvSpPr>
        <cdr:cNvPr id="2" name="TextBox 13"/>
        <cdr:cNvSpPr txBox="1"/>
      </cdr:nvSpPr>
      <cdr:spPr>
        <a:xfrm xmlns:a="http://schemas.openxmlformats.org/drawingml/2006/main">
          <a:off x="4398818" y="183453"/>
          <a:ext cx="698531" cy="4546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(a3)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0.79528</cdr:x>
      <cdr:y>0.03635</cdr:y>
    </cdr:from>
    <cdr:to>
      <cdr:x>0.92571</cdr:x>
      <cdr:y>0.14824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329545" y="152347"/>
          <a:ext cx="710042" cy="4689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(b3)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0.75393</cdr:x>
      <cdr:y>0.05628</cdr:y>
    </cdr:from>
    <cdr:to>
      <cdr:x>0.92571</cdr:x>
      <cdr:y>0.17262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104409" y="225148"/>
          <a:ext cx="935179" cy="4654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(c0)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0.81119</cdr:x>
      <cdr:y>0.06154</cdr:y>
    </cdr:from>
    <cdr:to>
      <cdr:x>0.95434</cdr:x>
      <cdr:y>0.18723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416139" y="246183"/>
          <a:ext cx="779312" cy="5028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(c1)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0.81119</cdr:x>
      <cdr:y>0.05288</cdr:y>
    </cdr:from>
    <cdr:to>
      <cdr:x>0.95752</cdr:x>
      <cdr:y>0.16667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416144" y="211546"/>
          <a:ext cx="796624" cy="455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(c2)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0.78892</cdr:x>
      <cdr:y>0.03635</cdr:y>
    </cdr:from>
    <cdr:to>
      <cdr:x>0.92571</cdr:x>
      <cdr:y>0.14824</cdr:y>
    </cdr:to>
    <cdr:sp macro="" textlink="">
      <cdr:nvSpPr>
        <cdr:cNvPr id="4" name="TextBox 13"/>
        <cdr:cNvSpPr txBox="1"/>
      </cdr:nvSpPr>
      <cdr:spPr>
        <a:xfrm xmlns:a="http://schemas.openxmlformats.org/drawingml/2006/main">
          <a:off x="4294910" y="152348"/>
          <a:ext cx="744678" cy="4689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 anchorCtr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3000" b="0"/>
            <a:t>(c3)</a:t>
          </a: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10</xdr:col>
      <xdr:colOff>594933</xdr:colOff>
      <xdr:row>26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</xdr:colOff>
      <xdr:row>5</xdr:row>
      <xdr:rowOff>0</xdr:rowOff>
    </xdr:from>
    <xdr:to>
      <xdr:col>20</xdr:col>
      <xdr:colOff>17319</xdr:colOff>
      <xdr:row>26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10</xdr:col>
      <xdr:colOff>594933</xdr:colOff>
      <xdr:row>47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</xdr:colOff>
      <xdr:row>26</xdr:row>
      <xdr:rowOff>0</xdr:rowOff>
    </xdr:from>
    <xdr:to>
      <xdr:col>20</xdr:col>
      <xdr:colOff>0</xdr:colOff>
      <xdr:row>47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47</xdr:row>
      <xdr:rowOff>0</xdr:rowOff>
    </xdr:from>
    <xdr:to>
      <xdr:col>20</xdr:col>
      <xdr:colOff>312964</xdr:colOff>
      <xdr:row>72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606135</xdr:colOff>
      <xdr:row>47</xdr:row>
      <xdr:rowOff>0</xdr:rowOff>
    </xdr:from>
    <xdr:to>
      <xdr:col>11</xdr:col>
      <xdr:colOff>242454</xdr:colOff>
      <xdr:row>72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5</xdr:row>
      <xdr:rowOff>0</xdr:rowOff>
    </xdr:from>
    <xdr:to>
      <xdr:col>33</xdr:col>
      <xdr:colOff>594933</xdr:colOff>
      <xdr:row>26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2</xdr:colOff>
      <xdr:row>5</xdr:row>
      <xdr:rowOff>0</xdr:rowOff>
    </xdr:from>
    <xdr:to>
      <xdr:col>43</xdr:col>
      <xdr:colOff>17319</xdr:colOff>
      <xdr:row>26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0</xdr:colOff>
      <xdr:row>26</xdr:row>
      <xdr:rowOff>0</xdr:rowOff>
    </xdr:from>
    <xdr:to>
      <xdr:col>33</xdr:col>
      <xdr:colOff>594933</xdr:colOff>
      <xdr:row>47</xdr:row>
      <xdr:rowOff>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1</xdr:colOff>
      <xdr:row>26</xdr:row>
      <xdr:rowOff>0</xdr:rowOff>
    </xdr:from>
    <xdr:to>
      <xdr:col>43</xdr:col>
      <xdr:colOff>0</xdr:colOff>
      <xdr:row>47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2</xdr:colOff>
      <xdr:row>46</xdr:row>
      <xdr:rowOff>190499</xdr:rowOff>
    </xdr:from>
    <xdr:to>
      <xdr:col>43</xdr:col>
      <xdr:colOff>299358</xdr:colOff>
      <xdr:row>71</xdr:row>
      <xdr:rowOff>149678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606135</xdr:colOff>
      <xdr:row>47</xdr:row>
      <xdr:rowOff>0</xdr:rowOff>
    </xdr:from>
    <xdr:to>
      <xdr:col>34</xdr:col>
      <xdr:colOff>242454</xdr:colOff>
      <xdr:row>71</xdr:row>
      <xdr:rowOff>163286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48</xdr:col>
      <xdr:colOff>0</xdr:colOff>
      <xdr:row>5</xdr:row>
      <xdr:rowOff>0</xdr:rowOff>
    </xdr:from>
    <xdr:to>
      <xdr:col>56</xdr:col>
      <xdr:colOff>594933</xdr:colOff>
      <xdr:row>26</xdr:row>
      <xdr:rowOff>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57</xdr:col>
      <xdr:colOff>2</xdr:colOff>
      <xdr:row>5</xdr:row>
      <xdr:rowOff>0</xdr:rowOff>
    </xdr:from>
    <xdr:to>
      <xdr:col>66</xdr:col>
      <xdr:colOff>17319</xdr:colOff>
      <xdr:row>26</xdr:row>
      <xdr:rowOff>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48</xdr:col>
      <xdr:colOff>0</xdr:colOff>
      <xdr:row>26</xdr:row>
      <xdr:rowOff>0</xdr:rowOff>
    </xdr:from>
    <xdr:to>
      <xdr:col>56</xdr:col>
      <xdr:colOff>594933</xdr:colOff>
      <xdr:row>47</xdr:row>
      <xdr:rowOff>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57</xdr:col>
      <xdr:colOff>1</xdr:colOff>
      <xdr:row>26</xdr:row>
      <xdr:rowOff>0</xdr:rowOff>
    </xdr:from>
    <xdr:to>
      <xdr:col>66</xdr:col>
      <xdr:colOff>0</xdr:colOff>
      <xdr:row>47</xdr:row>
      <xdr:rowOff>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0</xdr:colOff>
      <xdr:row>46</xdr:row>
      <xdr:rowOff>190499</xdr:rowOff>
    </xdr:from>
    <xdr:to>
      <xdr:col>66</xdr:col>
      <xdr:colOff>329044</xdr:colOff>
      <xdr:row>71</xdr:row>
      <xdr:rowOff>183172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47</xdr:col>
      <xdr:colOff>606135</xdr:colOff>
      <xdr:row>46</xdr:row>
      <xdr:rowOff>190499</xdr:rowOff>
    </xdr:from>
    <xdr:to>
      <xdr:col>57</xdr:col>
      <xdr:colOff>242454</xdr:colOff>
      <xdr:row>71</xdr:row>
      <xdr:rowOff>173934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10</xdr:col>
      <xdr:colOff>594933</xdr:colOff>
      <xdr:row>26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</xdr:colOff>
      <xdr:row>5</xdr:row>
      <xdr:rowOff>0</xdr:rowOff>
    </xdr:from>
    <xdr:to>
      <xdr:col>20</xdr:col>
      <xdr:colOff>17319</xdr:colOff>
      <xdr:row>26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10</xdr:col>
      <xdr:colOff>594933</xdr:colOff>
      <xdr:row>47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</xdr:colOff>
      <xdr:row>26</xdr:row>
      <xdr:rowOff>0</xdr:rowOff>
    </xdr:from>
    <xdr:to>
      <xdr:col>20</xdr:col>
      <xdr:colOff>0</xdr:colOff>
      <xdr:row>47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47</xdr:row>
      <xdr:rowOff>0</xdr:rowOff>
    </xdr:from>
    <xdr:to>
      <xdr:col>20</xdr:col>
      <xdr:colOff>312964</xdr:colOff>
      <xdr:row>72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606135</xdr:colOff>
      <xdr:row>47</xdr:row>
      <xdr:rowOff>0</xdr:rowOff>
    </xdr:from>
    <xdr:to>
      <xdr:col>11</xdr:col>
      <xdr:colOff>242454</xdr:colOff>
      <xdr:row>72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5</xdr:row>
      <xdr:rowOff>0</xdr:rowOff>
    </xdr:from>
    <xdr:to>
      <xdr:col>33</xdr:col>
      <xdr:colOff>594933</xdr:colOff>
      <xdr:row>26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2</xdr:colOff>
      <xdr:row>5</xdr:row>
      <xdr:rowOff>0</xdr:rowOff>
    </xdr:from>
    <xdr:to>
      <xdr:col>43</xdr:col>
      <xdr:colOff>17319</xdr:colOff>
      <xdr:row>26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0</xdr:colOff>
      <xdr:row>26</xdr:row>
      <xdr:rowOff>0</xdr:rowOff>
    </xdr:from>
    <xdr:to>
      <xdr:col>33</xdr:col>
      <xdr:colOff>594933</xdr:colOff>
      <xdr:row>47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1</xdr:colOff>
      <xdr:row>26</xdr:row>
      <xdr:rowOff>0</xdr:rowOff>
    </xdr:from>
    <xdr:to>
      <xdr:col>43</xdr:col>
      <xdr:colOff>0</xdr:colOff>
      <xdr:row>47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2</xdr:colOff>
      <xdr:row>46</xdr:row>
      <xdr:rowOff>190499</xdr:rowOff>
    </xdr:from>
    <xdr:to>
      <xdr:col>43</xdr:col>
      <xdr:colOff>299358</xdr:colOff>
      <xdr:row>71</xdr:row>
      <xdr:rowOff>149678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606135</xdr:colOff>
      <xdr:row>47</xdr:row>
      <xdr:rowOff>0</xdr:rowOff>
    </xdr:from>
    <xdr:to>
      <xdr:col>34</xdr:col>
      <xdr:colOff>242454</xdr:colOff>
      <xdr:row>71</xdr:row>
      <xdr:rowOff>163286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48</xdr:col>
      <xdr:colOff>0</xdr:colOff>
      <xdr:row>5</xdr:row>
      <xdr:rowOff>0</xdr:rowOff>
    </xdr:from>
    <xdr:to>
      <xdr:col>56</xdr:col>
      <xdr:colOff>594933</xdr:colOff>
      <xdr:row>26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57</xdr:col>
      <xdr:colOff>2</xdr:colOff>
      <xdr:row>5</xdr:row>
      <xdr:rowOff>0</xdr:rowOff>
    </xdr:from>
    <xdr:to>
      <xdr:col>66</xdr:col>
      <xdr:colOff>17319</xdr:colOff>
      <xdr:row>26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48</xdr:col>
      <xdr:colOff>0</xdr:colOff>
      <xdr:row>26</xdr:row>
      <xdr:rowOff>0</xdr:rowOff>
    </xdr:from>
    <xdr:to>
      <xdr:col>56</xdr:col>
      <xdr:colOff>594933</xdr:colOff>
      <xdr:row>47</xdr:row>
      <xdr:rowOff>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57</xdr:col>
      <xdr:colOff>1</xdr:colOff>
      <xdr:row>26</xdr:row>
      <xdr:rowOff>0</xdr:rowOff>
    </xdr:from>
    <xdr:to>
      <xdr:col>66</xdr:col>
      <xdr:colOff>0</xdr:colOff>
      <xdr:row>47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0</xdr:colOff>
      <xdr:row>46</xdr:row>
      <xdr:rowOff>190499</xdr:rowOff>
    </xdr:from>
    <xdr:to>
      <xdr:col>66</xdr:col>
      <xdr:colOff>329044</xdr:colOff>
      <xdr:row>71</xdr:row>
      <xdr:rowOff>183172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47</xdr:col>
      <xdr:colOff>606135</xdr:colOff>
      <xdr:row>46</xdr:row>
      <xdr:rowOff>190499</xdr:rowOff>
    </xdr:from>
    <xdr:to>
      <xdr:col>57</xdr:col>
      <xdr:colOff>242454</xdr:colOff>
      <xdr:row>71</xdr:row>
      <xdr:rowOff>173934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593914</xdr:colOff>
      <xdr:row>21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0</xdr:row>
      <xdr:rowOff>0</xdr:rowOff>
    </xdr:from>
    <xdr:to>
      <xdr:col>19</xdr:col>
      <xdr:colOff>593914</xdr:colOff>
      <xdr:row>21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371475</xdr:colOff>
      <xdr:row>18</xdr:row>
      <xdr:rowOff>0</xdr:rowOff>
    </xdr:from>
    <xdr:to>
      <xdr:col>9</xdr:col>
      <xdr:colOff>600075</xdr:colOff>
      <xdr:row>38</xdr:row>
      <xdr:rowOff>85726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17</xdr:row>
      <xdr:rowOff>76200</xdr:rowOff>
    </xdr:from>
    <xdr:to>
      <xdr:col>19</xdr:col>
      <xdr:colOff>603439</xdr:colOff>
      <xdr:row>38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9525</xdr:colOff>
      <xdr:row>35</xdr:row>
      <xdr:rowOff>19050</xdr:rowOff>
    </xdr:from>
    <xdr:to>
      <xdr:col>9</xdr:col>
      <xdr:colOff>603439</xdr:colOff>
      <xdr:row>56</xdr:row>
      <xdr:rowOff>19050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9525</xdr:colOff>
      <xdr:row>35</xdr:row>
      <xdr:rowOff>19050</xdr:rowOff>
    </xdr:from>
    <xdr:to>
      <xdr:col>19</xdr:col>
      <xdr:colOff>603439</xdr:colOff>
      <xdr:row>56</xdr:row>
      <xdr:rowOff>19050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17318</xdr:colOff>
      <xdr:row>52</xdr:row>
      <xdr:rowOff>173182</xdr:rowOff>
    </xdr:from>
    <xdr:to>
      <xdr:col>10</xdr:col>
      <xdr:colOff>5096</xdr:colOff>
      <xdr:row>73</xdr:row>
      <xdr:rowOff>173182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17318</xdr:colOff>
      <xdr:row>52</xdr:row>
      <xdr:rowOff>173182</xdr:rowOff>
    </xdr:from>
    <xdr:to>
      <xdr:col>20</xdr:col>
      <xdr:colOff>5095</xdr:colOff>
      <xdr:row>73</xdr:row>
      <xdr:rowOff>173182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17318</xdr:colOff>
      <xdr:row>70</xdr:row>
      <xdr:rowOff>51955</xdr:rowOff>
    </xdr:from>
    <xdr:to>
      <xdr:col>10</xdr:col>
      <xdr:colOff>5096</xdr:colOff>
      <xdr:row>91</xdr:row>
      <xdr:rowOff>51955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17318</xdr:colOff>
      <xdr:row>70</xdr:row>
      <xdr:rowOff>51955</xdr:rowOff>
    </xdr:from>
    <xdr:to>
      <xdr:col>20</xdr:col>
      <xdr:colOff>5095</xdr:colOff>
      <xdr:row>91</xdr:row>
      <xdr:rowOff>51955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10</xdr:col>
      <xdr:colOff>594933</xdr:colOff>
      <xdr:row>26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19</xdr:col>
      <xdr:colOff>594934</xdr:colOff>
      <xdr:row>26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10</xdr:col>
      <xdr:colOff>594933</xdr:colOff>
      <xdr:row>47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26</xdr:row>
      <xdr:rowOff>0</xdr:rowOff>
    </xdr:from>
    <xdr:to>
      <xdr:col>19</xdr:col>
      <xdr:colOff>594934</xdr:colOff>
      <xdr:row>47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47</xdr:row>
      <xdr:rowOff>0</xdr:rowOff>
    </xdr:from>
    <xdr:to>
      <xdr:col>10</xdr:col>
      <xdr:colOff>594933</xdr:colOff>
      <xdr:row>68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47</xdr:row>
      <xdr:rowOff>0</xdr:rowOff>
    </xdr:from>
    <xdr:to>
      <xdr:col>19</xdr:col>
      <xdr:colOff>594934</xdr:colOff>
      <xdr:row>68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68</xdr:row>
      <xdr:rowOff>0</xdr:rowOff>
    </xdr:from>
    <xdr:to>
      <xdr:col>20</xdr:col>
      <xdr:colOff>299357</xdr:colOff>
      <xdr:row>91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68</xdr:row>
      <xdr:rowOff>0</xdr:rowOff>
    </xdr:from>
    <xdr:to>
      <xdr:col>11</xdr:col>
      <xdr:colOff>231321</xdr:colOff>
      <xdr:row>91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</sheetPr>
  <dimension ref="A1:AD133"/>
  <sheetViews>
    <sheetView topLeftCell="H113" zoomScale="115" zoomScaleNormal="115" workbookViewId="0">
      <selection activeCell="N141" sqref="N141"/>
    </sheetView>
  </sheetViews>
  <sheetFormatPr defaultColWidth="9.140625" defaultRowHeight="15" x14ac:dyDescent="0.25"/>
  <cols>
    <col min="1" max="1" width="9.140625" style="20"/>
    <col min="2" max="2" width="13.85546875" style="20" bestFit="1" customWidth="1"/>
    <col min="3" max="11" width="9.140625" style="20"/>
    <col min="12" max="13" width="10.7109375" style="20" bestFit="1" customWidth="1"/>
    <col min="14" max="14" width="10.7109375" style="20" customWidth="1"/>
    <col min="15" max="15" width="11.42578125" style="20" customWidth="1"/>
    <col min="16" max="16" width="11.42578125" style="20" bestFit="1" customWidth="1"/>
    <col min="17" max="17" width="11.42578125" style="20" customWidth="1"/>
    <col min="18" max="18" width="12.7109375" style="20" bestFit="1" customWidth="1"/>
    <col min="19" max="19" width="11.42578125" style="20" customWidth="1"/>
    <col min="20" max="20" width="11.7109375" style="20" bestFit="1" customWidth="1"/>
    <col min="21" max="21" width="11.7109375" style="20" customWidth="1"/>
    <col min="22" max="22" width="10.7109375" style="20" customWidth="1"/>
    <col min="23" max="23" width="11.42578125" style="20" bestFit="1" customWidth="1"/>
    <col min="24" max="24" width="11.7109375" style="20" bestFit="1" customWidth="1"/>
    <col min="25" max="25" width="9.42578125" style="20" bestFit="1" customWidth="1"/>
    <col min="26" max="26" width="11.7109375" style="20" bestFit="1" customWidth="1"/>
    <col min="27" max="16384" width="9.140625" style="20"/>
  </cols>
  <sheetData>
    <row r="1" spans="1:30" ht="15.75" thickBot="1" x14ac:dyDescent="0.3">
      <c r="A1" s="1"/>
      <c r="B1" s="2"/>
      <c r="C1" s="12" t="s">
        <v>7</v>
      </c>
      <c r="D1" s="11" t="s">
        <v>20</v>
      </c>
      <c r="E1" s="12" t="s">
        <v>21</v>
      </c>
      <c r="F1" s="12" t="s">
        <v>31</v>
      </c>
      <c r="G1" s="52" t="s">
        <v>25</v>
      </c>
      <c r="H1" s="11" t="s">
        <v>4</v>
      </c>
      <c r="I1" s="12" t="s">
        <v>5</v>
      </c>
      <c r="J1" s="12" t="s">
        <v>9</v>
      </c>
      <c r="K1" s="52" t="s">
        <v>24</v>
      </c>
      <c r="L1" s="11" t="s">
        <v>0</v>
      </c>
      <c r="M1" s="12" t="s">
        <v>1</v>
      </c>
      <c r="N1" s="12" t="s">
        <v>2</v>
      </c>
      <c r="O1" s="30" t="s">
        <v>83</v>
      </c>
      <c r="P1" s="37" t="s">
        <v>3</v>
      </c>
      <c r="Q1" s="30" t="s">
        <v>26</v>
      </c>
      <c r="R1" s="29" t="s">
        <v>18</v>
      </c>
      <c r="S1" s="30" t="s">
        <v>28</v>
      </c>
      <c r="T1" s="11" t="s">
        <v>19</v>
      </c>
      <c r="U1" s="30" t="s">
        <v>29</v>
      </c>
      <c r="V1" s="12" t="s">
        <v>27</v>
      </c>
      <c r="W1" s="30" t="s">
        <v>32</v>
      </c>
      <c r="X1" s="29" t="s">
        <v>22</v>
      </c>
      <c r="Y1" s="30" t="s">
        <v>30</v>
      </c>
      <c r="Z1" s="29" t="s">
        <v>51</v>
      </c>
      <c r="AA1" s="30" t="s">
        <v>62</v>
      </c>
      <c r="AB1" s="15"/>
      <c r="AC1" s="15"/>
      <c r="AD1" s="15"/>
    </row>
    <row r="2" spans="1:30" x14ac:dyDescent="0.25">
      <c r="A2" s="94" t="s">
        <v>6</v>
      </c>
      <c r="B2" s="21">
        <v>2000</v>
      </c>
      <c r="C2" s="3">
        <f>SUMIF(R0!$B$7:$G$7,B2,R0!$B$17:$G$17)</f>
        <v>17.178609999999999</v>
      </c>
      <c r="D2" s="42">
        <f>SUMIF(R0!$B$7:$G$7,B2,R0!$B$21:$G$21)</f>
        <v>1</v>
      </c>
      <c r="E2" s="34">
        <f>SUMIF(R0!$B$7:$G$7,B2,R0!$B$22:$G$22)</f>
        <v>1</v>
      </c>
      <c r="F2" s="45">
        <f>E2/D2</f>
        <v>1</v>
      </c>
      <c r="G2" s="53"/>
      <c r="H2" s="1">
        <f>SUMIF(R0!$B$7:$G$7,B2,R0!$B$19:$G$19)</f>
        <v>0.91393118527122841</v>
      </c>
      <c r="I2" s="2">
        <f>SUMIF(R0!$B$7:$G$7,B2,R0!$B$20:$G$20)</f>
        <v>1</v>
      </c>
      <c r="J2" s="2">
        <f>I2/H2</f>
        <v>1.0941742837052102</v>
      </c>
      <c r="K2" s="53"/>
      <c r="L2" s="26">
        <f>SUMIF(R0!$B$7:$G$7,B2,R0!$B$11:$G$11)</f>
        <v>1.1477007267974999</v>
      </c>
      <c r="M2" s="24">
        <f>SUMIF(R0!$B$7:$G$7,B2,R0!$B$12:$G$12)</f>
        <v>1.7176274507745</v>
      </c>
      <c r="N2" s="23">
        <f t="shared" ref="N2:N13" si="0">M2+L2</f>
        <v>2.8653281775719996</v>
      </c>
      <c r="O2" s="53"/>
      <c r="P2" s="38">
        <f t="shared" ref="P2:P7" si="1">M2/L2</f>
        <v>1.4965813044026746</v>
      </c>
      <c r="Q2" s="53"/>
      <c r="R2" s="26">
        <f>SUMIF(R0!$B$7:$G$7,B2,R0!$B$15:$G$15)</f>
        <v>45230.686034216073</v>
      </c>
      <c r="S2" s="53"/>
      <c r="T2" s="26">
        <f>SUMIF(R0!$B$7:$G$7,B2,R0!$B$16:$G$16)</f>
        <v>59242.103980910957</v>
      </c>
      <c r="U2" s="53"/>
      <c r="V2" s="23">
        <f t="shared" ref="V2:V13" si="2">T2/R2</f>
        <v>1.3097768169179556</v>
      </c>
      <c r="W2" s="53"/>
      <c r="X2" s="84">
        <f>SUMIF(R0!$B$7:$G$7,B2,R0!$B$27:$G$27)</f>
        <v>18427.262540756401</v>
      </c>
      <c r="Y2" s="53"/>
      <c r="Z2" s="84">
        <f>SUMIF(R0!$B$7:$G$7,B2,R0!$B$10:$G$10)</f>
        <v>92159.678226000004</v>
      </c>
      <c r="AA2" s="53"/>
      <c r="AB2" s="5"/>
      <c r="AC2" s="5"/>
      <c r="AD2" s="5"/>
    </row>
    <row r="3" spans="1:30" s="10" customFormat="1" x14ac:dyDescent="0.25">
      <c r="A3" s="95"/>
      <c r="B3" s="31">
        <v>2020</v>
      </c>
      <c r="C3" s="14">
        <f>SUMIF(R0!$B$7:$G$7,B3,R0!$B$17:$G$17)</f>
        <v>17.178609999999999</v>
      </c>
      <c r="D3" s="43">
        <f>SUMIF(R0!$B$7:$G$7,B3,R0!$B$21:$G$21)</f>
        <v>0.96966048781639314</v>
      </c>
      <c r="E3" s="35">
        <f>SUMIF(R0!$B$7:$G$7,B3,R0!$B$22:$G$22)</f>
        <v>0.99933476497980267</v>
      </c>
      <c r="F3" s="46">
        <f t="shared" ref="F3:F13" si="3">E3/D3</f>
        <v>1.0306027496595576</v>
      </c>
      <c r="G3" s="54"/>
      <c r="H3" s="4">
        <f>SUMIF(R0!$B$7:$G$7,B3,R0!$B$19:$G$19)</f>
        <v>0.91393118527122841</v>
      </c>
      <c r="I3" s="5">
        <f>SUMIF(R0!$B$7:$G$7,B3,R0!$B$20:$G$20)</f>
        <v>1</v>
      </c>
      <c r="J3" s="5">
        <f t="shared" ref="J3:J13" si="4">I3/H3</f>
        <v>1.0941742837052102</v>
      </c>
      <c r="K3" s="55"/>
      <c r="L3" s="27">
        <f>SUMIF(R0!$B$7:$G$7,B3,R0!$B$11:$G$11)</f>
        <v>1.2745678574973771</v>
      </c>
      <c r="M3" s="24">
        <f>SUMIF(R0!$B$7:$G$7,B3,R0!$B$12:$G$12)</f>
        <v>3.5398127746407022</v>
      </c>
      <c r="N3" s="24">
        <f t="shared" si="0"/>
        <v>4.8143806321380795</v>
      </c>
      <c r="O3" s="55"/>
      <c r="P3" s="39">
        <f t="shared" si="1"/>
        <v>2.7772650579712166</v>
      </c>
      <c r="Q3" s="55"/>
      <c r="R3" s="27">
        <f>SUMIF(R0!$B$7:$G$7,B3,R0!$B$15:$G$15)</f>
        <v>109448.40458383469</v>
      </c>
      <c r="S3" s="55"/>
      <c r="T3" s="27">
        <f>SUMIF(R0!$B$7:$G$7,B3,R0!$B$16:$G$16)</f>
        <v>143352.98297256359</v>
      </c>
      <c r="U3" s="55"/>
      <c r="V3" s="24">
        <f t="shared" si="2"/>
        <v>1.3097768169179558</v>
      </c>
      <c r="W3" s="55"/>
      <c r="X3" s="85">
        <f>SUMIF(R0!$B$7:$G$7,B3,R0!$B$27:$G$27)</f>
        <v>80056.681228892689</v>
      </c>
      <c r="Y3" s="55"/>
      <c r="Z3" s="85">
        <f>SUMIF(R0!$B$7:$G$7,B3,R0!$B$10:$G$10)</f>
        <v>385423.33558163297</v>
      </c>
      <c r="AA3" s="55"/>
      <c r="AB3" s="13"/>
      <c r="AC3" s="13"/>
      <c r="AD3" s="13"/>
    </row>
    <row r="4" spans="1:30" x14ac:dyDescent="0.25">
      <c r="A4" s="95"/>
      <c r="B4" s="31">
        <v>2040</v>
      </c>
      <c r="C4" s="6">
        <f>SUMIF(R0!$B$7:$G$7,B4,R0!$B$17:$G$17)</f>
        <v>17.178609999999999</v>
      </c>
      <c r="D4" s="43">
        <f>SUMIF(R0!$B$7:$G$7,B4,R0!$B$21:$G$21)</f>
        <v>0.96966048781639314</v>
      </c>
      <c r="E4" s="35">
        <f>SUMIF(R0!$B$7:$G$7,B4,R0!$B$22:$G$22)</f>
        <v>0.99933476497980267</v>
      </c>
      <c r="F4" s="47">
        <f t="shared" si="3"/>
        <v>1.0306027496595576</v>
      </c>
      <c r="G4" s="55"/>
      <c r="H4" s="4">
        <f>SUMIF(R0!$B$7:$G$7,B4,R0!$B$19:$G$19)</f>
        <v>0.91393118527122841</v>
      </c>
      <c r="I4" s="5">
        <f>SUMIF(R0!$B$7:$G$7,B4,R0!$B$20:$G$20)</f>
        <v>1</v>
      </c>
      <c r="J4" s="5">
        <f t="shared" si="4"/>
        <v>1.0941742837052102</v>
      </c>
      <c r="K4" s="55"/>
      <c r="L4" s="27">
        <f>SUMIF(R0!$B$7:$G$7,B4,R0!$B$11:$G$11)</f>
        <v>1.2781254891663381</v>
      </c>
      <c r="M4" s="24">
        <f>SUMIF(R0!$B$7:$G$7,B4,R0!$B$12:$G$12)</f>
        <v>6.5873060358525857</v>
      </c>
      <c r="N4" s="24">
        <f t="shared" si="0"/>
        <v>7.8654315250189235</v>
      </c>
      <c r="O4" s="55"/>
      <c r="P4" s="40">
        <f t="shared" si="1"/>
        <v>5.1538805005361246</v>
      </c>
      <c r="Q4" s="55"/>
      <c r="R4" s="27">
        <f>SUMIF(R0!$B$7:$G$7,B4,R0!$B$15:$G$15)</f>
        <v>199949.3642326369</v>
      </c>
      <c r="S4" s="55"/>
      <c r="T4" s="27">
        <f>SUMIF(R0!$B$7:$G$7,B4,R0!$B$16:$G$16)</f>
        <v>261889.04182939211</v>
      </c>
      <c r="U4" s="55"/>
      <c r="V4" s="24">
        <f t="shared" si="2"/>
        <v>1.3097768169179558</v>
      </c>
      <c r="W4" s="55"/>
      <c r="X4" s="85">
        <f>SUMIF(R0!$B$7:$G$7,B4,R0!$B$27:$G$27)</f>
        <v>150415.32831727981</v>
      </c>
      <c r="Y4" s="55"/>
      <c r="Z4" s="85">
        <f>SUMIF(R0!$B$7:$G$7,B4,R0!$B$10:$G$10)</f>
        <v>1183081.4651928041</v>
      </c>
      <c r="AA4" s="55"/>
      <c r="AB4" s="5"/>
      <c r="AC4" s="5"/>
      <c r="AD4" s="5"/>
    </row>
    <row r="5" spans="1:30" x14ac:dyDescent="0.25">
      <c r="A5" s="95"/>
      <c r="B5" s="31">
        <v>2060</v>
      </c>
      <c r="C5" s="6">
        <f>SUMIF(R0!$B$7:$G$7,B5,R0!$B$17:$G$17)</f>
        <v>17.178609999999999</v>
      </c>
      <c r="D5" s="43">
        <f>SUMIF(R0!$B$7:$G$7,B5,R0!$B$21:$G$21)</f>
        <v>0.96966048781639314</v>
      </c>
      <c r="E5" s="35">
        <f>SUMIF(R0!$B$7:$G$7,B5,R0!$B$22:$G$22)</f>
        <v>0.99933476497980267</v>
      </c>
      <c r="F5" s="47">
        <f t="shared" si="3"/>
        <v>1.0306027496595576</v>
      </c>
      <c r="G5" s="55"/>
      <c r="H5" s="4">
        <f>SUMIF(R0!$B$7:$G$7,B5,R0!$B$19:$G$19)</f>
        <v>0.91393118527122841</v>
      </c>
      <c r="I5" s="5">
        <f>SUMIF(R0!$B$7:$G$7,B5,R0!$B$20:$G$20)</f>
        <v>1</v>
      </c>
      <c r="J5" s="5">
        <f t="shared" si="4"/>
        <v>1.0941742837052102</v>
      </c>
      <c r="K5" s="55"/>
      <c r="L5" s="27">
        <f>SUMIF(R0!$B$7:$G$7,B5,R0!$B$11:$G$11)</f>
        <v>1.1944444247396919</v>
      </c>
      <c r="M5" s="24">
        <f>SUMIF(R0!$B$7:$G$7,B5,R0!$B$12:$G$12)</f>
        <v>11.42397665118577</v>
      </c>
      <c r="N5" s="24">
        <f t="shared" si="0"/>
        <v>12.618421075925461</v>
      </c>
      <c r="O5" s="55"/>
      <c r="P5" s="40">
        <f t="shared" si="1"/>
        <v>9.5642596797045822</v>
      </c>
      <c r="Q5" s="55"/>
      <c r="R5" s="27">
        <f>SUMIF(R0!$B$7:$G$7,B5,R0!$B$15:$G$15)</f>
        <v>308810.7223873203</v>
      </c>
      <c r="S5" s="55"/>
      <c r="T5" s="27">
        <f>SUMIF(R0!$B$7:$G$7,B5,R0!$B$16:$G$16)</f>
        <v>404473.12499859883</v>
      </c>
      <c r="U5" s="55"/>
      <c r="V5" s="24">
        <f t="shared" si="2"/>
        <v>1.3097768169179556</v>
      </c>
      <c r="W5" s="55"/>
      <c r="X5" s="85">
        <f>SUMIF(R0!$B$7:$G$7,B5,R0!$B$27:$G$27)</f>
        <v>236572.41854630769</v>
      </c>
      <c r="Y5" s="55"/>
      <c r="Z5" s="85">
        <f>SUMIF(R0!$B$7:$G$7,B5,R0!$B$10:$G$10)</f>
        <v>2985170.392167388</v>
      </c>
      <c r="AA5" s="55"/>
      <c r="AB5" s="5"/>
      <c r="AC5" s="5"/>
      <c r="AD5" s="5"/>
    </row>
    <row r="6" spans="1:30" x14ac:dyDescent="0.25">
      <c r="A6" s="95"/>
      <c r="B6" s="31">
        <v>2080</v>
      </c>
      <c r="C6" s="6">
        <f>SUMIF(R0!$B$7:$G$7,B6,R0!$B$17:$G$17)</f>
        <v>17.178609999999999</v>
      </c>
      <c r="D6" s="43">
        <f>SUMIF(R0!$B$7:$G$7,B6,R0!$B$21:$G$21)</f>
        <v>0.96966048781639314</v>
      </c>
      <c r="E6" s="35">
        <f>SUMIF(R0!$B$7:$G$7,B6,R0!$B$22:$G$22)</f>
        <v>0.99933476497980267</v>
      </c>
      <c r="F6" s="47">
        <f t="shared" si="3"/>
        <v>1.0306027496595576</v>
      </c>
      <c r="G6" s="55"/>
      <c r="H6" s="4">
        <f>SUMIF(R0!$B$7:$G$7,B6,R0!$B$19:$G$19)</f>
        <v>0.91393118527122841</v>
      </c>
      <c r="I6" s="5">
        <f>SUMIF(R0!$B$7:$G$7,B6,R0!$B$20:$G$20)</f>
        <v>1</v>
      </c>
      <c r="J6" s="5">
        <f t="shared" si="4"/>
        <v>1.0941742837052102</v>
      </c>
      <c r="K6" s="55"/>
      <c r="L6" s="27">
        <f>SUMIF(R0!$B$7:$G$7,B6,R0!$B$11:$G$11)</f>
        <v>1.0680026571689529</v>
      </c>
      <c r="M6" s="24">
        <f>SUMIF(R0!$B$7:$G$7,B6,R0!$B$12:$G$12)</f>
        <v>18.95573841387553</v>
      </c>
      <c r="N6" s="24">
        <f t="shared" si="0"/>
        <v>20.023741071044483</v>
      </c>
      <c r="O6" s="55"/>
      <c r="P6" s="40">
        <f t="shared" si="1"/>
        <v>17.748774580882735</v>
      </c>
      <c r="Q6" s="55"/>
      <c r="R6" s="27">
        <f>SUMIF(R0!$B$7:$G$7,B6,R0!$B$15:$G$15)</f>
        <v>430406.12872292643</v>
      </c>
      <c r="S6" s="55"/>
      <c r="T6" s="27">
        <f>SUMIF(R0!$B$7:$G$7,B6,R0!$B$16:$G$16)</f>
        <v>563735.96926069411</v>
      </c>
      <c r="U6" s="55"/>
      <c r="V6" s="24">
        <f t="shared" si="2"/>
        <v>1.3097768169179549</v>
      </c>
      <c r="W6" s="55"/>
      <c r="X6" s="85">
        <f>SUMIF(R0!$B$7:$G$7,B6,R0!$B$27:$G$27)</f>
        <v>333343.84568219649</v>
      </c>
      <c r="Y6" s="55"/>
      <c r="Z6" s="85">
        <f>SUMIF(R0!$B$7:$G$7,B6,R0!$B$10:$G$10)</f>
        <v>6674790.8535665106</v>
      </c>
      <c r="AA6" s="55"/>
      <c r="AB6" s="5"/>
      <c r="AC6" s="5"/>
      <c r="AD6" s="5"/>
    </row>
    <row r="7" spans="1:30" ht="15.75" thickBot="1" x14ac:dyDescent="0.3">
      <c r="A7" s="96"/>
      <c r="B7" s="32">
        <v>2100</v>
      </c>
      <c r="C7" s="9">
        <f>SUMIF(R0!$B$7:$G$7,B7,R0!$B$17:$G$17)</f>
        <v>17.178609999999999</v>
      </c>
      <c r="D7" s="44">
        <f>SUMIF(R0!$B$7:$G$7,B7,R0!$B$21:$G$21)</f>
        <v>0.96966048781639314</v>
      </c>
      <c r="E7" s="36">
        <f>SUMIF(R0!$B$7:$G$7,B7,R0!$B$22:$G$22)</f>
        <v>0.99933476497980267</v>
      </c>
      <c r="F7" s="48">
        <f t="shared" si="3"/>
        <v>1.0306027496595576</v>
      </c>
      <c r="G7" s="56"/>
      <c r="H7" s="7">
        <f>SUMIF(R0!$B$7:$G$7,B7,R0!$B$19:$G$19)</f>
        <v>0.91393118527122841</v>
      </c>
      <c r="I7" s="8">
        <f>SUMIF(R0!$B$7:$G$7,B7,R0!$B$20:$G$20)</f>
        <v>1</v>
      </c>
      <c r="J7" s="8">
        <f t="shared" si="4"/>
        <v>1.0941742837052102</v>
      </c>
      <c r="K7" s="56"/>
      <c r="L7" s="28">
        <f>SUMIF(R0!$B$7:$G$7,B7,R0!$B$11:$G$11)</f>
        <v>0.93045337018780971</v>
      </c>
      <c r="M7" s="25">
        <f>SUMIF(R0!$B$7:$G$7,B7,R0!$B$12:$G$12)</f>
        <v>30.64643780314308</v>
      </c>
      <c r="N7" s="25">
        <f t="shared" si="0"/>
        <v>31.576891173330889</v>
      </c>
      <c r="O7" s="56"/>
      <c r="P7" s="41">
        <f t="shared" si="1"/>
        <v>32.937102261188187</v>
      </c>
      <c r="Q7" s="56"/>
      <c r="R7" s="28">
        <f>SUMIF(R0!$B$7:$G$7,B7,R0!$B$15:$G$15)</f>
        <v>565256.78132613655</v>
      </c>
      <c r="S7" s="56"/>
      <c r="T7" s="28">
        <f>SUMIF(R0!$B$7:$G$7,B7,R0!$B$16:$G$16)</f>
        <v>740360.22778663575</v>
      </c>
      <c r="U7" s="56"/>
      <c r="V7" s="25">
        <f t="shared" si="2"/>
        <v>1.3097768169179551</v>
      </c>
      <c r="W7" s="56"/>
      <c r="X7" s="86">
        <f>SUMIF(R0!$B$7:$G$7,B7,R0!$B$27:$G$27)</f>
        <v>440530.34707703523</v>
      </c>
      <c r="Y7" s="56"/>
      <c r="Z7" s="86">
        <f>SUMIF(R0!$B$7:$G$7,B7,R0!$B$10:$G$10)</f>
        <v>13910578.828201231</v>
      </c>
      <c r="AA7" s="56"/>
      <c r="AB7" s="5"/>
      <c r="AC7" s="5"/>
      <c r="AD7" s="5"/>
    </row>
    <row r="8" spans="1:30" x14ac:dyDescent="0.25">
      <c r="A8" s="94" t="str">
        <f>R0!B1</f>
        <v>Western Cape</v>
      </c>
      <c r="B8" s="21">
        <v>2000</v>
      </c>
      <c r="C8" s="3">
        <f>SUMIF(R0!$B$7:$G$7,B8,R0!$B$42:$G$42)</f>
        <v>17.178609999999999</v>
      </c>
      <c r="D8" s="42">
        <f>SUMIF(R0!$B$7:$G$7,B8,R0!$B$46:$G$46)</f>
        <v>1</v>
      </c>
      <c r="E8" s="34">
        <f>SUMIF(R0!$B$7:$G$7,B8,R0!$B$47:$G$47)</f>
        <v>1</v>
      </c>
      <c r="F8" s="49">
        <f t="shared" si="3"/>
        <v>1</v>
      </c>
      <c r="G8" s="57">
        <f t="shared" ref="G8:G13" si="5">(F8-$F2)/$F2</f>
        <v>0</v>
      </c>
      <c r="H8" s="1">
        <f>SUMIF(R0!$B$7:$G$7,B8,R0!$B$44:$G$44)</f>
        <v>0.91393118527122841</v>
      </c>
      <c r="I8" s="2">
        <f>SUMIF(R0!$B$7:$G$7,B8,R0!$B$45:$G$45)</f>
        <v>1</v>
      </c>
      <c r="J8" s="2">
        <f t="shared" si="4"/>
        <v>1.0941742837052102</v>
      </c>
      <c r="K8" s="57">
        <f t="shared" ref="K8:K13" si="6">(J8-$J2)/$J2</f>
        <v>0</v>
      </c>
      <c r="L8" s="26">
        <f>SUMIF(R0!$B$7:$G$7,B8,R0!$B$36:$G$36)</f>
        <v>1.1477007267974999</v>
      </c>
      <c r="M8" s="23">
        <f>SUMIF(R0!$B$7:$G$7,B8,R0!$B$37:$G$37)</f>
        <v>1.7176274507745</v>
      </c>
      <c r="N8" s="23">
        <f t="shared" si="0"/>
        <v>2.8653281775719996</v>
      </c>
      <c r="O8" s="57"/>
      <c r="P8" s="38">
        <f t="shared" ref="P8:P19" si="7">M8/L8</f>
        <v>1.4965813044026746</v>
      </c>
      <c r="Q8" s="57">
        <f t="shared" ref="Q8:Q13" si="8">(P8-$P2)/$P2</f>
        <v>0</v>
      </c>
      <c r="R8" s="26">
        <f>SUMIF(R0!$B$7:$G$7,B8,R0!$B$40:$G$40)</f>
        <v>45230.686034216073</v>
      </c>
      <c r="S8" s="57">
        <f t="shared" ref="S8:S13" si="9">(R8-$R2)/$R2</f>
        <v>0</v>
      </c>
      <c r="T8" s="26">
        <f>SUMIF(R0!$B$7:$G$7,B8,R0!$B$41:$G$41)</f>
        <v>59242.103980910957</v>
      </c>
      <c r="U8" s="57">
        <f t="shared" ref="U8:U13" si="10">(T8-$T2)/$T2</f>
        <v>0</v>
      </c>
      <c r="V8" s="23">
        <f t="shared" si="2"/>
        <v>1.3097768169179556</v>
      </c>
      <c r="W8" s="57">
        <f t="shared" ref="W8:W13" si="11">(V8-$V2)/$V2</f>
        <v>0</v>
      </c>
      <c r="X8" s="84">
        <f>SUMIF(R0!$B$7:$G$7,B8,R0!$B$52:$G$52)</f>
        <v>18427.262540756401</v>
      </c>
      <c r="Y8" s="57">
        <f t="shared" ref="Y8:Y13" si="12">(X8-$X2)/$X2</f>
        <v>0</v>
      </c>
      <c r="Z8" s="84">
        <f>SUMIF(R0!$B$7:$G$7,B8,R0!$B$35:$G$35)</f>
        <v>92159.678226000004</v>
      </c>
      <c r="AA8" s="57">
        <f t="shared" ref="AA8:AA13" si="13">(Z8-$Z2)/$Z2</f>
        <v>0</v>
      </c>
      <c r="AB8" s="5"/>
      <c r="AC8" s="5"/>
      <c r="AD8" s="5"/>
    </row>
    <row r="9" spans="1:30" x14ac:dyDescent="0.25">
      <c r="A9" s="95"/>
      <c r="B9" s="31">
        <v>2020</v>
      </c>
      <c r="C9" s="14">
        <f>SUMIF(R0!$B$7:$G$7,B9,R0!$B$42:$G$42)</f>
        <v>17.55029</v>
      </c>
      <c r="D9" s="43">
        <f>SUMIF(R0!$B$7:$G$7,B9,R0!$B$46:$G$46)</f>
        <v>0.96439833420871968</v>
      </c>
      <c r="E9" s="35">
        <f>SUMIF(R0!$B$7:$G$7,B9,R0!$B$47:$G$47)</f>
        <v>0.99844694181596516</v>
      </c>
      <c r="F9" s="50">
        <f t="shared" si="3"/>
        <v>1.0353055437773875</v>
      </c>
      <c r="G9" s="58">
        <f t="shared" si="5"/>
        <v>4.5631492050486108E-3</v>
      </c>
      <c r="H9" s="4">
        <f>SUMIF(R0!$B$7:$G$7,B9,R0!$B$44:$G$44)</f>
        <v>0.93239381990594794</v>
      </c>
      <c r="I9" s="5">
        <f>SUMIF(R0!$B$7:$G$7,B9,R0!$B$45:$G$45)</f>
        <v>1</v>
      </c>
      <c r="J9" s="13">
        <f t="shared" si="4"/>
        <v>1.0725081812542168</v>
      </c>
      <c r="K9" s="58">
        <f t="shared" si="6"/>
        <v>-1.9801326693244289E-2</v>
      </c>
      <c r="L9" s="27">
        <f>SUMIF(R0!$B$7:$G$7,B9,R0!$B$36:$G$36)</f>
        <v>1.2706865399072811</v>
      </c>
      <c r="M9" s="24">
        <f>SUMIF(R0!$B$7:$G$7,B9,R0!$B$37:$G$37)</f>
        <v>3.542688123767272</v>
      </c>
      <c r="N9" s="24">
        <f t="shared" si="0"/>
        <v>4.8133746636745531</v>
      </c>
      <c r="O9" s="58"/>
      <c r="P9" s="39">
        <f t="shared" si="7"/>
        <v>2.7880110574129269</v>
      </c>
      <c r="Q9" s="58">
        <f t="shared" si="8"/>
        <v>3.8692739862432159E-3</v>
      </c>
      <c r="R9" s="27">
        <f>SUMIF(R0!$B$7:$G$7,B9,R0!$B$40:$G$40)</f>
        <v>109643.69288109129</v>
      </c>
      <c r="S9" s="58">
        <f t="shared" si="9"/>
        <v>1.7842955134810985E-3</v>
      </c>
      <c r="T9" s="27">
        <f>SUMIF(R0!$B$7:$G$7,B9,R0!$B$41:$G$41)</f>
        <v>142956.43551186309</v>
      </c>
      <c r="U9" s="58">
        <f t="shared" si="10"/>
        <v>-2.7662309669300505E-3</v>
      </c>
      <c r="V9" s="24">
        <f t="shared" si="2"/>
        <v>1.3038272585993569</v>
      </c>
      <c r="W9" s="58">
        <f t="shared" si="11"/>
        <v>-4.5424214581831083E-3</v>
      </c>
      <c r="X9" s="85">
        <f>SUMIF(R0!$B$7:$G$7,B9,R0!$B$52:$G$52)</f>
        <v>79780.969506056368</v>
      </c>
      <c r="Y9" s="58">
        <f t="shared" si="12"/>
        <v>-3.4439564394135196E-3</v>
      </c>
      <c r="Z9" s="85">
        <f>SUMIF(R0!$B$7:$G$7,B9,R0!$B$35:$G$35)</f>
        <v>384015.69726384379</v>
      </c>
      <c r="AA9" s="58">
        <f t="shared" si="13"/>
        <v>-3.6521875762009874E-3</v>
      </c>
      <c r="AB9" s="5"/>
      <c r="AC9" s="5"/>
      <c r="AD9" s="5"/>
    </row>
    <row r="10" spans="1:30" x14ac:dyDescent="0.25">
      <c r="A10" s="95"/>
      <c r="B10" s="31">
        <v>2040</v>
      </c>
      <c r="C10" s="6">
        <f>SUMIF(R0!$B$7:$G$7,B10,R0!$B$42:$G$42)</f>
        <v>17.814419999999998</v>
      </c>
      <c r="D10" s="43">
        <f>SUMIF(R0!$B$7:$G$7,B10,R0!$B$46:$G$46)</f>
        <v>0.9587427485556127</v>
      </c>
      <c r="E10" s="35">
        <f>SUMIF(R0!$B$7:$G$7,B10,R0!$B$47:$G$47)</f>
        <v>0.99718729527581951</v>
      </c>
      <c r="F10" s="50">
        <f t="shared" si="3"/>
        <v>1.0400989178568758</v>
      </c>
      <c r="G10" s="58">
        <f t="shared" si="5"/>
        <v>9.2141886875958222E-3</v>
      </c>
      <c r="H10" s="4">
        <f>SUMIF(R0!$B$7:$G$7,B10,R0!$B$44:$G$44)</f>
        <v>0.94176453358424828</v>
      </c>
      <c r="I10" s="5">
        <f>SUMIF(R0!$B$7:$G$7,B10,R0!$B$45:$G$45)</f>
        <v>1</v>
      </c>
      <c r="J10" s="5">
        <f t="shared" si="4"/>
        <v>1.0618365465453601</v>
      </c>
      <c r="K10" s="58">
        <f t="shared" si="6"/>
        <v>-2.9554466451491256E-2</v>
      </c>
      <c r="L10" s="27">
        <f>SUMIF(R0!$B$7:$G$7,B10,R0!$B$36:$G$36)</f>
        <v>1.272052163602446</v>
      </c>
      <c r="M10" s="24">
        <f>SUMIF(R0!$B$7:$G$7,B10,R0!$B$37:$G$37)</f>
        <v>6.5902309942079116</v>
      </c>
      <c r="N10" s="24">
        <f t="shared" si="0"/>
        <v>7.8622831578103574</v>
      </c>
      <c r="O10" s="58"/>
      <c r="P10" s="40">
        <f t="shared" si="7"/>
        <v>5.1807867497700775</v>
      </c>
      <c r="Q10" s="58">
        <f t="shared" si="8"/>
        <v>5.2205807315776967E-3</v>
      </c>
      <c r="R10" s="27">
        <f>SUMIF(R0!$B$7:$G$7,B10,R0!$B$40:$G$40)</f>
        <v>200900.25716420179</v>
      </c>
      <c r="S10" s="58">
        <f t="shared" si="9"/>
        <v>4.7556686924922729E-3</v>
      </c>
      <c r="T10" s="27">
        <f>SUMIF(R0!$B$7:$G$7,B10,R0!$B$41:$G$41)</f>
        <v>260732.0649035988</v>
      </c>
      <c r="U10" s="58">
        <f t="shared" si="10"/>
        <v>-4.4178134285856119E-3</v>
      </c>
      <c r="V10" s="24">
        <f t="shared" si="2"/>
        <v>1.2978184726289062</v>
      </c>
      <c r="W10" s="58">
        <f t="shared" si="11"/>
        <v>-9.1300625683609846E-3</v>
      </c>
      <c r="X10" s="85">
        <f>SUMIF(R0!$B$7:$G$7,B10,R0!$B$52:$G$52)</f>
        <v>149457.6234794489</v>
      </c>
      <c r="Y10" s="58">
        <f t="shared" si="12"/>
        <v>-6.367069424006902E-3</v>
      </c>
      <c r="Z10" s="85">
        <f>SUMIF(R0!$B$7:$G$7,B10,R0!$B$35:$G$35)</f>
        <v>1175078.1558888331</v>
      </c>
      <c r="AA10" s="58">
        <f t="shared" si="13"/>
        <v>-6.7647998379103385E-3</v>
      </c>
      <c r="AB10" s="5"/>
      <c r="AC10" s="5"/>
      <c r="AD10" s="5"/>
    </row>
    <row r="11" spans="1:30" x14ac:dyDescent="0.25">
      <c r="A11" s="95"/>
      <c r="B11" s="31">
        <v>2060</v>
      </c>
      <c r="C11" s="6">
        <f>SUMIF(R0!$B$7:$G$7,B11,R0!$B$42:$G$42)</f>
        <v>17.840879999999999</v>
      </c>
      <c r="D11" s="43">
        <f>SUMIF(R0!$B$7:$G$7,B11,R0!$B$46:$G$46)</f>
        <v>0.9587427485556127</v>
      </c>
      <c r="E11" s="35">
        <f>SUMIF(R0!$B$7:$G$7,B11,R0!$B$47:$G$47)</f>
        <v>0.99718729527581951</v>
      </c>
      <c r="F11" s="50">
        <f t="shared" si="3"/>
        <v>1.0400989178568758</v>
      </c>
      <c r="G11" s="58">
        <f t="shared" si="5"/>
        <v>9.2141886875958222E-3</v>
      </c>
      <c r="H11" s="4">
        <f>SUMIF(R0!$B$7:$G$7,B11,R0!$B$44:$G$44)</f>
        <v>0.94176453358424828</v>
      </c>
      <c r="I11" s="5">
        <f>SUMIF(R0!$B$7:$G$7,B11,R0!$B$45:$G$45)</f>
        <v>1</v>
      </c>
      <c r="J11" s="5">
        <f t="shared" si="4"/>
        <v>1.0618365465453601</v>
      </c>
      <c r="K11" s="58">
        <f t="shared" si="6"/>
        <v>-2.9554466451491256E-2</v>
      </c>
      <c r="L11" s="27">
        <f>SUMIF(R0!$B$7:$G$7,B11,R0!$B$36:$G$36)</f>
        <v>1.1882091074100949</v>
      </c>
      <c r="M11" s="24">
        <f>SUMIF(R0!$B$7:$G$7,B11,R0!$B$37:$G$37)</f>
        <v>11.423668913877361</v>
      </c>
      <c r="N11" s="24">
        <f t="shared" si="0"/>
        <v>12.611878021287456</v>
      </c>
      <c r="O11" s="58"/>
      <c r="P11" s="40">
        <f t="shared" si="7"/>
        <v>9.614190669500255</v>
      </c>
      <c r="Q11" s="58">
        <f t="shared" si="8"/>
        <v>5.2205807315778606E-3</v>
      </c>
      <c r="R11" s="27">
        <f>SUMIF(R0!$B$7:$G$7,B11,R0!$B$40:$G$40)</f>
        <v>310582.06161884149</v>
      </c>
      <c r="S11" s="58">
        <f t="shared" si="9"/>
        <v>5.7360030047775082E-3</v>
      </c>
      <c r="T11" s="27">
        <f>SUMIF(R0!$B$7:$G$7,B11,R0!$B$41:$G$41)</f>
        <v>403079.13683610171</v>
      </c>
      <c r="U11" s="58">
        <f t="shared" si="10"/>
        <v>-3.4464296299091461E-3</v>
      </c>
      <c r="V11" s="24">
        <f t="shared" si="2"/>
        <v>1.2978184726289064</v>
      </c>
      <c r="W11" s="58">
        <f t="shared" si="11"/>
        <v>-9.130062568360648E-3</v>
      </c>
      <c r="X11" s="85">
        <f>SUMIF(R0!$B$7:$G$7,B11,R0!$B$52:$G$52)</f>
        <v>235278.30362166869</v>
      </c>
      <c r="Y11" s="58">
        <f t="shared" si="12"/>
        <v>-5.47026966453269E-3</v>
      </c>
      <c r="Z11" s="85">
        <f>SUMIF(R0!$B$7:$G$7,B11,R0!$B$35:$G$35)</f>
        <v>2967301.2663319199</v>
      </c>
      <c r="AA11" s="58">
        <f t="shared" si="13"/>
        <v>-5.9859651168837139E-3</v>
      </c>
      <c r="AB11" s="5"/>
      <c r="AC11" s="5"/>
      <c r="AD11" s="5"/>
    </row>
    <row r="12" spans="1:30" x14ac:dyDescent="0.25">
      <c r="A12" s="95"/>
      <c r="B12" s="31">
        <v>2080</v>
      </c>
      <c r="C12" s="6">
        <f>SUMIF(R0!$B$7:$G$7,B12,R0!$B$42:$G$42)</f>
        <v>17.90551</v>
      </c>
      <c r="D12" s="43">
        <f>SUMIF(R0!$B$7:$G$7,B12,R0!$B$46:$G$46)</f>
        <v>0.95269766517752652</v>
      </c>
      <c r="E12" s="35">
        <f>SUMIF(R0!$B$7:$G$7,B12,R0!$B$47:$G$47)</f>
        <v>0.99556088418081246</v>
      </c>
      <c r="F12" s="50">
        <f t="shared" si="3"/>
        <v>1.0449914181277002</v>
      </c>
      <c r="G12" s="58">
        <f t="shared" si="5"/>
        <v>1.3961410905313169E-2</v>
      </c>
      <c r="H12" s="4">
        <f>SUMIF(R0!$B$7:$G$7,B12,R0!$B$44:$G$44)</f>
        <v>0.94176453358424828</v>
      </c>
      <c r="I12" s="5">
        <f>SUMIF(R0!$B$7:$G$7,B12,R0!$B$45:$G$45)</f>
        <v>1</v>
      </c>
      <c r="J12" s="5">
        <f t="shared" si="4"/>
        <v>1.0618365465453601</v>
      </c>
      <c r="K12" s="58">
        <f t="shared" si="6"/>
        <v>-2.9554466451491256E-2</v>
      </c>
      <c r="L12" s="27">
        <f>SUMIF(R0!$B$7:$G$7,B12,R0!$B$36:$G$36)</f>
        <v>1.0633231830269549</v>
      </c>
      <c r="M12" s="24">
        <f>SUMIF(R0!$B$7:$G$7,B12,R0!$B$37:$G$37)</f>
        <v>18.94896563525765</v>
      </c>
      <c r="N12" s="24">
        <f t="shared" si="0"/>
        <v>20.012288818284606</v>
      </c>
      <c r="O12" s="58"/>
      <c r="P12" s="40">
        <f t="shared" si="7"/>
        <v>17.820513967649756</v>
      </c>
      <c r="Q12" s="58">
        <f t="shared" si="8"/>
        <v>4.0419346383660654E-3</v>
      </c>
      <c r="R12" s="27">
        <f>SUMIF(R0!$B$7:$G$7,B12,R0!$B$40:$G$40)</f>
        <v>434286.48097009578</v>
      </c>
      <c r="S12" s="58">
        <f t="shared" si="9"/>
        <v>9.0155599286722305E-3</v>
      </c>
      <c r="T12" s="27">
        <f>SUMIF(R0!$B$7:$G$7,B12,R0!$B$41:$G$41)</f>
        <v>560986.20574489515</v>
      </c>
      <c r="U12" s="58">
        <f t="shared" si="10"/>
        <v>-4.8777506948955319E-3</v>
      </c>
      <c r="V12" s="24">
        <f t="shared" si="2"/>
        <v>1.2917422722710166</v>
      </c>
      <c r="W12" s="58">
        <f t="shared" si="11"/>
        <v>-1.3769173811898379E-2</v>
      </c>
      <c r="X12" s="85">
        <f>SUMIF(R0!$B$7:$G$7,B12,R0!$B$52:$G$52)</f>
        <v>330482.83796191018</v>
      </c>
      <c r="Y12" s="58">
        <f t="shared" si="12"/>
        <v>-8.5827524861939297E-3</v>
      </c>
      <c r="Z12" s="85">
        <f>SUMIF(R0!$B$7:$G$7,B12,R0!$B$35:$G$35)</f>
        <v>6613718.0027800975</v>
      </c>
      <c r="AA12" s="58">
        <f t="shared" si="13"/>
        <v>-9.1497774426565429E-3</v>
      </c>
      <c r="AB12" s="5"/>
      <c r="AC12" s="5"/>
      <c r="AD12" s="5"/>
    </row>
    <row r="13" spans="1:30" ht="15.75" thickBot="1" x14ac:dyDescent="0.3">
      <c r="A13" s="96"/>
      <c r="B13" s="32">
        <v>2100</v>
      </c>
      <c r="C13" s="9">
        <f>SUMIF(R0!$B$7:$G$7,B13,R0!$B$42:$G$42)</f>
        <v>17.986930000000001</v>
      </c>
      <c r="D13" s="44">
        <f>SUMIF(R0!$B$7:$G$7,B13,R0!$B$46:$G$46)</f>
        <v>0.95269766517752652</v>
      </c>
      <c r="E13" s="36">
        <f>SUMIF(R0!$B$7:$G$7,B13,R0!$B$47:$G$47)</f>
        <v>0.99556088418081246</v>
      </c>
      <c r="F13" s="51">
        <f t="shared" si="3"/>
        <v>1.0449914181277002</v>
      </c>
      <c r="G13" s="59">
        <f t="shared" si="5"/>
        <v>1.3961410905313169E-2</v>
      </c>
      <c r="H13" s="7">
        <f>SUMIF(R0!$B$7:$G$7,B13,R0!$B$44:$G$44)</f>
        <v>0.94176453358424828</v>
      </c>
      <c r="I13" s="8">
        <f>SUMIF(R0!$B$7:$G$7,B13,R0!$B$45:$G$45)</f>
        <v>1</v>
      </c>
      <c r="J13" s="8">
        <f t="shared" si="4"/>
        <v>1.0618365465453601</v>
      </c>
      <c r="K13" s="59">
        <f t="shared" si="6"/>
        <v>-2.9554466451491256E-2</v>
      </c>
      <c r="L13" s="28">
        <f>SUMIF(R0!$B$7:$G$7,B13,R0!$B$36:$G$36)</f>
        <v>0.9262596860817206</v>
      </c>
      <c r="M13" s="25">
        <f>SUMIF(R0!$B$7:$G$7,B13,R0!$B$37:$G$37)</f>
        <v>30.63162259584033</v>
      </c>
      <c r="N13" s="25">
        <f t="shared" si="0"/>
        <v>31.557882281922051</v>
      </c>
      <c r="O13" s="59"/>
      <c r="P13" s="41">
        <f t="shared" si="7"/>
        <v>33.070231875705112</v>
      </c>
      <c r="Q13" s="59">
        <f t="shared" si="8"/>
        <v>4.0419346383667619E-3</v>
      </c>
      <c r="R13" s="33">
        <f>SUMIF(R0!$B$7:$G$7,B13,R0!$B$40:$G$40)</f>
        <v>570637.50670214707</v>
      </c>
      <c r="S13" s="59">
        <f t="shared" si="9"/>
        <v>9.5190815108611715E-3</v>
      </c>
      <c r="T13" s="28">
        <f>SUMIF(R0!$B$7:$G$7,B13,R0!$B$41:$G$41)</f>
        <v>737116.58955049969</v>
      </c>
      <c r="U13" s="59">
        <f t="shared" si="10"/>
        <v>-4.3811621888890052E-3</v>
      </c>
      <c r="V13" s="25">
        <f t="shared" si="2"/>
        <v>1.2917422722710179</v>
      </c>
      <c r="W13" s="59">
        <f t="shared" si="11"/>
        <v>-1.3769173811897529E-2</v>
      </c>
      <c r="X13" s="86">
        <f>SUMIF(R0!$B$7:$G$7,B13,R0!$B$52:$G$52)</f>
        <v>436957.12472867989</v>
      </c>
      <c r="Y13" s="59">
        <f t="shared" si="12"/>
        <v>-8.1111831955824193E-3</v>
      </c>
      <c r="Z13" s="86">
        <f>SUMIF(R0!$B$7:$G$7,B13,R0!$B$35:$G$35)</f>
        <v>13789441.504434809</v>
      </c>
      <c r="AA13" s="59">
        <f t="shared" si="13"/>
        <v>-8.7082877903568688E-3</v>
      </c>
      <c r="AB13" s="5"/>
      <c r="AC13" s="5"/>
      <c r="AD13" s="5"/>
    </row>
    <row r="14" spans="1:30" ht="15" customHeight="1" x14ac:dyDescent="0.25">
      <c r="A14" s="100" t="s">
        <v>6</v>
      </c>
      <c r="B14" s="21">
        <v>2000</v>
      </c>
      <c r="C14" s="3">
        <f>SUMIF('R1'!$B$7:$G$7,B14,'R1'!$B$17:$G$17)</f>
        <v>16.550899999999999</v>
      </c>
      <c r="D14" s="42">
        <f>SUMIF('R1'!$B$7:$G$7,B14,'R1'!$B$21:$G$21)</f>
        <v>1</v>
      </c>
      <c r="E14" s="34">
        <f>SUMIF('R1'!$B$7:$G$7,B14,'R1'!$B$22:$G$22)</f>
        <v>1</v>
      </c>
      <c r="F14" s="45">
        <f>E14/D14</f>
        <v>1</v>
      </c>
      <c r="G14" s="53"/>
      <c r="H14" s="1">
        <f>SUMIF('R1'!$B$7:$G$7,B14,'R1'!$B$19:$G$19)</f>
        <v>0.88692043671715748</v>
      </c>
      <c r="I14" s="2">
        <f>SUMIF('R1'!$B$7:$G$7,B14,'R1'!$B$20:$G$20)</f>
        <v>1</v>
      </c>
      <c r="J14" s="2">
        <f>I14/H14</f>
        <v>1.1274968515793757</v>
      </c>
      <c r="K14" s="53"/>
      <c r="L14" s="26">
        <f>SUMIF('R1'!$B$7:$G$7,B14,'R1'!$B$11:$G$11)</f>
        <v>1.8708231251865</v>
      </c>
      <c r="M14" s="24">
        <f>SUMIF('R1'!$B$7:$G$7,B14,'R1'!$B$12:$G$12)</f>
        <v>2.7998389129982999</v>
      </c>
      <c r="N14" s="23">
        <f t="shared" ref="N14:N77" si="14">M14+L14</f>
        <v>4.6706620381847994</v>
      </c>
      <c r="O14" s="53"/>
      <c r="P14" s="38">
        <f t="shared" si="7"/>
        <v>1.4965813044026743</v>
      </c>
      <c r="Q14" s="53"/>
      <c r="R14" s="26">
        <f>SUMIF('R1'!$B$7:$G$7,B14,'R1'!$B$15:$G$15)</f>
        <v>44822.290798478491</v>
      </c>
      <c r="S14" s="53"/>
      <c r="T14" s="26">
        <f>SUMIF('R1'!$B$7:$G$7,B14,'R1'!$B$16:$G$16)</f>
        <v>59488.971502423847</v>
      </c>
      <c r="U14" s="53"/>
      <c r="V14" s="23">
        <f t="shared" ref="V14:V77" si="15">T14/R14</f>
        <v>1.3272184540921148</v>
      </c>
      <c r="W14" s="53"/>
      <c r="X14" s="84">
        <f>SUMIF('R1'!$B$7:$G$7,B14,'R1'!$B$27:$G$27)</f>
        <v>18427.262540756401</v>
      </c>
      <c r="Y14" s="53"/>
      <c r="Z14" s="84">
        <f>SUMIF('R1'!$B$7:$G$7,B14,'R1'!$B$10:$G$10)</f>
        <v>150225.97198840001</v>
      </c>
      <c r="AA14" s="53"/>
    </row>
    <row r="15" spans="1:30" x14ac:dyDescent="0.25">
      <c r="A15" s="101"/>
      <c r="B15" s="31">
        <v>2020</v>
      </c>
      <c r="C15" s="14">
        <f>SUMIF('R1'!$B$7:$G$7,B15,'R1'!$B$17:$G$17)</f>
        <v>16.550899999999999</v>
      </c>
      <c r="D15" s="43">
        <f>SUMIF('R1'!$B$7:$G$7,B15,'R1'!$B$21:$G$21)</f>
        <v>0.98300570279749855</v>
      </c>
      <c r="E15" s="35">
        <f>SUMIF('R1'!$B$7:$G$7,B15,'R1'!$B$22:$G$22)</f>
        <v>0.99977488244563673</v>
      </c>
      <c r="F15" s="46">
        <f t="shared" ref="F15:F25" si="16">E15/D15</f>
        <v>1.0170590868398988</v>
      </c>
      <c r="G15" s="54"/>
      <c r="H15" s="4">
        <f>SUMIF('R1'!$B$7:$G$7,B15,'R1'!$B$19:$G$19)</f>
        <v>0.88692043671715748</v>
      </c>
      <c r="I15" s="5">
        <f>SUMIF('R1'!$B$7:$G$7,B15,'R1'!$B$20:$G$20)</f>
        <v>1</v>
      </c>
      <c r="J15" s="5">
        <f t="shared" ref="J15:J25" si="17">I15/H15</f>
        <v>1.1274968515793757</v>
      </c>
      <c r="K15" s="55"/>
      <c r="L15" s="27">
        <f>SUMIF('R1'!$B$7:$G$7,B15,'R1'!$B$11:$G$11)</f>
        <v>2.077624390008967</v>
      </c>
      <c r="M15" s="24">
        <f>SUMIF('R1'!$B$7:$G$7,B15,'R1'!$B$12:$G$12)</f>
        <v>5.7701136219606672</v>
      </c>
      <c r="N15" s="24">
        <f t="shared" si="14"/>
        <v>7.8477380119696338</v>
      </c>
      <c r="O15" s="55"/>
      <c r="P15" s="39">
        <f t="shared" si="7"/>
        <v>2.7772650579712166</v>
      </c>
      <c r="Q15" s="55"/>
      <c r="R15" s="27">
        <f>SUMIF('R1'!$B$7:$G$7,B15,'R1'!$B$15:$G$15)</f>
        <v>108984.62419619771</v>
      </c>
      <c r="S15" s="55"/>
      <c r="T15" s="27">
        <f>SUMIF('R1'!$B$7:$G$7,B15,'R1'!$B$16:$G$16)</f>
        <v>144646.4044454876</v>
      </c>
      <c r="U15" s="55"/>
      <c r="V15" s="24">
        <f t="shared" si="15"/>
        <v>1.3272184540921146</v>
      </c>
      <c r="W15" s="55"/>
      <c r="X15" s="85">
        <f>SUMIF('R1'!$B$7:$G$7,B15,'R1'!$B$27:$G$27)</f>
        <v>80814.579265369073</v>
      </c>
      <c r="Y15" s="55"/>
      <c r="Z15" s="85">
        <f>SUMIF('R1'!$B$7:$G$7,B15,'R1'!$B$10:$G$10)</f>
        <v>634211.64562216983</v>
      </c>
      <c r="AA15" s="55"/>
    </row>
    <row r="16" spans="1:30" x14ac:dyDescent="0.25">
      <c r="A16" s="101"/>
      <c r="B16" s="31">
        <v>2040</v>
      </c>
      <c r="C16" s="6">
        <f>SUMIF('R1'!$B$7:$G$7,B16,'R1'!$B$17:$G$17)</f>
        <v>16.550899999999999</v>
      </c>
      <c r="D16" s="43">
        <f>SUMIF('R1'!$B$7:$G$7,B16,'R1'!$B$21:$G$21)</f>
        <v>0.98300570279749855</v>
      </c>
      <c r="E16" s="35">
        <f>SUMIF('R1'!$B$7:$G$7,B16,'R1'!$B$22:$G$22)</f>
        <v>0.99977488244563673</v>
      </c>
      <c r="F16" s="47">
        <f t="shared" si="16"/>
        <v>1.0170590868398988</v>
      </c>
      <c r="G16" s="55"/>
      <c r="H16" s="4">
        <f>SUMIF('R1'!$B$7:$G$7,B16,'R1'!$B$19:$G$19)</f>
        <v>0.88692043671715748</v>
      </c>
      <c r="I16" s="5">
        <f>SUMIF('R1'!$B$7:$G$7,B16,'R1'!$B$20:$G$20)</f>
        <v>1</v>
      </c>
      <c r="J16" s="5">
        <f t="shared" si="17"/>
        <v>1.1274968515793757</v>
      </c>
      <c r="K16" s="55"/>
      <c r="L16" s="27">
        <f>SUMIF('R1'!$B$7:$G$7,B16,'R1'!$B$11:$G$11)</f>
        <v>2.0834235495300728</v>
      </c>
      <c r="M16" s="24">
        <f>SUMIF('R1'!$B$7:$G$7,B16,'R1'!$B$12:$G$12)</f>
        <v>10.737716006280801</v>
      </c>
      <c r="N16" s="24">
        <f t="shared" si="14"/>
        <v>12.821139555810873</v>
      </c>
      <c r="O16" s="55"/>
      <c r="P16" s="40">
        <f t="shared" si="7"/>
        <v>5.1538805005361246</v>
      </c>
      <c r="Q16" s="55"/>
      <c r="R16" s="27">
        <f>SUMIF('R1'!$B$7:$G$7,B16,'R1'!$B$15:$G$15)</f>
        <v>198380.9085707881</v>
      </c>
      <c r="S16" s="55"/>
      <c r="T16" s="27">
        <f>SUMIF('R1'!$B$7:$G$7,B16,'R1'!$B$16:$G$16)</f>
        <v>263294.8027947105</v>
      </c>
      <c r="U16" s="55"/>
      <c r="V16" s="24">
        <f t="shared" si="15"/>
        <v>1.3272184540921146</v>
      </c>
      <c r="W16" s="55"/>
      <c r="X16" s="85">
        <f>SUMIF('R1'!$B$7:$G$7,B16,'R1'!$B$27:$G$27)</f>
        <v>151289.3237436155</v>
      </c>
      <c r="Y16" s="55"/>
      <c r="Z16" s="85">
        <f>SUMIF('R1'!$B$7:$G$7,B16,'R1'!$B$10:$G$10)</f>
        <v>1939701.533021146</v>
      </c>
      <c r="AA16" s="55"/>
    </row>
    <row r="17" spans="1:27" x14ac:dyDescent="0.25">
      <c r="A17" s="101"/>
      <c r="B17" s="31">
        <v>2060</v>
      </c>
      <c r="C17" s="6">
        <f>SUMIF('R1'!$B$7:$G$7,B17,'R1'!$B$17:$G$17)</f>
        <v>16.550899999999999</v>
      </c>
      <c r="D17" s="43">
        <f>SUMIF('R1'!$B$7:$G$7,B17,'R1'!$B$21:$G$21)</f>
        <v>0.98300570279749855</v>
      </c>
      <c r="E17" s="35">
        <f>SUMIF('R1'!$B$7:$G$7,B17,'R1'!$B$22:$G$22)</f>
        <v>0.99977488244563673</v>
      </c>
      <c r="F17" s="47">
        <f t="shared" si="16"/>
        <v>1.0170590868398988</v>
      </c>
      <c r="G17" s="55"/>
      <c r="H17" s="4">
        <f>SUMIF('R1'!$B$7:$G$7,B17,'R1'!$B$19:$G$19)</f>
        <v>0.88692043671715748</v>
      </c>
      <c r="I17" s="5">
        <f>SUMIF('R1'!$B$7:$G$7,B17,'R1'!$B$20:$G$20)</f>
        <v>1</v>
      </c>
      <c r="J17" s="5">
        <f t="shared" si="17"/>
        <v>1.1274968515793757</v>
      </c>
      <c r="K17" s="55"/>
      <c r="L17" s="27">
        <f>SUMIF('R1'!$B$7:$G$7,B17,'R1'!$B$11:$G$11)</f>
        <v>1.947018242106048</v>
      </c>
      <c r="M17" s="24">
        <f>SUMIF('R1'!$B$7:$G$7,B17,'R1'!$B$12:$G$12)</f>
        <v>18.621788068624159</v>
      </c>
      <c r="N17" s="24">
        <f t="shared" si="14"/>
        <v>20.568806310730206</v>
      </c>
      <c r="O17" s="55"/>
      <c r="P17" s="40">
        <f t="shared" si="7"/>
        <v>9.5642596797045769</v>
      </c>
      <c r="Q17" s="55"/>
      <c r="R17" s="27">
        <f>SUMIF('R1'!$B$7:$G$7,B17,'R1'!$B$15:$G$15)</f>
        <v>305686.34199488262</v>
      </c>
      <c r="S17" s="55"/>
      <c r="T17" s="27">
        <f>SUMIF('R1'!$B$7:$G$7,B17,'R1'!$B$16:$G$16)</f>
        <v>405712.55425952142</v>
      </c>
      <c r="U17" s="55"/>
      <c r="V17" s="24">
        <f t="shared" si="15"/>
        <v>1.3272184540921141</v>
      </c>
      <c r="W17" s="55"/>
      <c r="X17" s="85">
        <f>SUMIF('R1'!$B$7:$G$7,B17,'R1'!$B$27:$G$27)</f>
        <v>237401.85696295279</v>
      </c>
      <c r="Y17" s="55"/>
      <c r="Z17" s="85">
        <f>SUMIF('R1'!$B$7:$G$7,B17,'R1'!$B$10:$G$10)</f>
        <v>4883072.813678653</v>
      </c>
      <c r="AA17" s="55"/>
    </row>
    <row r="18" spans="1:27" x14ac:dyDescent="0.25">
      <c r="A18" s="101"/>
      <c r="B18" s="31">
        <v>2080</v>
      </c>
      <c r="C18" s="6">
        <f>SUMIF('R1'!$B$7:$G$7,B18,'R1'!$B$17:$G$17)</f>
        <v>16.550899999999999</v>
      </c>
      <c r="D18" s="43">
        <f>SUMIF('R1'!$B$7:$G$7,B18,'R1'!$B$21:$G$21)</f>
        <v>0.98300570279749855</v>
      </c>
      <c r="E18" s="35">
        <f>SUMIF('R1'!$B$7:$G$7,B18,'R1'!$B$22:$G$22)</f>
        <v>0.99977488244563673</v>
      </c>
      <c r="F18" s="47">
        <f t="shared" si="16"/>
        <v>1.0170590868398988</v>
      </c>
      <c r="G18" s="55"/>
      <c r="H18" s="4">
        <f>SUMIF('R1'!$B$7:$G$7,B18,'R1'!$B$19:$G$19)</f>
        <v>0.88692043671715748</v>
      </c>
      <c r="I18" s="5">
        <f>SUMIF('R1'!$B$7:$G$7,B18,'R1'!$B$20:$G$20)</f>
        <v>1</v>
      </c>
      <c r="J18" s="5">
        <f t="shared" si="17"/>
        <v>1.1274968515793757</v>
      </c>
      <c r="K18" s="55"/>
      <c r="L18" s="27">
        <f>SUMIF('R1'!$B$7:$G$7,B18,'R1'!$B$11:$G$11)</f>
        <v>1.7409103454761881</v>
      </c>
      <c r="M18" s="24">
        <f>SUMIF('R1'!$B$7:$G$7,B18,'R1'!$B$12:$G$12)</f>
        <v>30.89902528738352</v>
      </c>
      <c r="N18" s="24">
        <f t="shared" si="14"/>
        <v>32.639935632859711</v>
      </c>
      <c r="O18" s="55"/>
      <c r="P18" s="40">
        <f t="shared" si="7"/>
        <v>17.748774580882721</v>
      </c>
      <c r="Q18" s="55"/>
      <c r="R18" s="27">
        <f>SUMIF('R1'!$B$7:$G$7,B18,'R1'!$B$15:$G$15)</f>
        <v>425474.50853735273</v>
      </c>
      <c r="S18" s="55"/>
      <c r="T18" s="27">
        <f>SUMIF('R1'!$B$7:$G$7,B18,'R1'!$B$16:$G$16)</f>
        <v>564697.61947654758</v>
      </c>
      <c r="U18" s="55"/>
      <c r="V18" s="24">
        <f t="shared" si="15"/>
        <v>1.3272184540921148</v>
      </c>
      <c r="W18" s="55"/>
      <c r="X18" s="85">
        <f>SUMIF('R1'!$B$7:$G$7,B18,'R1'!$B$27:$G$27)</f>
        <v>334059.53954187222</v>
      </c>
      <c r="Y18" s="55"/>
      <c r="Z18" s="85">
        <f>SUMIF('R1'!$B$7:$G$7,B18,'R1'!$B$10:$G$10)</f>
        <v>10903681.86818946</v>
      </c>
      <c r="AA18" s="55"/>
    </row>
    <row r="19" spans="1:27" ht="15.75" thickBot="1" x14ac:dyDescent="0.3">
      <c r="A19" s="102"/>
      <c r="B19" s="32">
        <v>2100</v>
      </c>
      <c r="C19" s="9">
        <f>SUMIF('R1'!$B$7:$G$7,B19,'R1'!$B$17:$G$17)</f>
        <v>16.550899999999999</v>
      </c>
      <c r="D19" s="44">
        <f>SUMIF('R1'!$B$7:$G$7,B19,'R1'!$B$21:$G$21)</f>
        <v>0.98300570279749855</v>
      </c>
      <c r="E19" s="36">
        <f>SUMIF('R1'!$B$7:$G$7,B19,'R1'!$B$22:$G$22)</f>
        <v>0.99977488244563673</v>
      </c>
      <c r="F19" s="48">
        <f t="shared" si="16"/>
        <v>1.0170590868398988</v>
      </c>
      <c r="G19" s="56"/>
      <c r="H19" s="7">
        <f>SUMIF('R1'!$B$7:$G$7,B19,'R1'!$B$19:$G$19)</f>
        <v>0.88692043671715748</v>
      </c>
      <c r="I19" s="8">
        <f>SUMIF('R1'!$B$7:$G$7,B19,'R1'!$B$20:$G$20)</f>
        <v>1</v>
      </c>
      <c r="J19" s="8">
        <f t="shared" si="17"/>
        <v>1.1274968515793757</v>
      </c>
      <c r="K19" s="56"/>
      <c r="L19" s="28">
        <f>SUMIF('R1'!$B$7:$G$7,B19,'R1'!$B$11:$G$11)</f>
        <v>1.5166965056407069</v>
      </c>
      <c r="M19" s="25">
        <f>SUMIF('R1'!$B$7:$G$7,B19,'R1'!$B$12:$G$12)</f>
        <v>49.955587905474793</v>
      </c>
      <c r="N19" s="25">
        <f t="shared" si="14"/>
        <v>51.472284411115503</v>
      </c>
      <c r="O19" s="56"/>
      <c r="P19" s="41">
        <f t="shared" si="7"/>
        <v>32.937102261188215</v>
      </c>
      <c r="Q19" s="56"/>
      <c r="R19" s="28">
        <f>SUMIF('R1'!$B$7:$G$7,B19,'R1'!$B$15:$G$15)</f>
        <v>558350.53552459541</v>
      </c>
      <c r="S19" s="56"/>
      <c r="T19" s="28">
        <f>SUMIF('R1'!$B$7:$G$7,B19,'R1'!$B$16:$G$16)</f>
        <v>741053.1346004575</v>
      </c>
      <c r="U19" s="56"/>
      <c r="V19" s="25">
        <f t="shared" si="15"/>
        <v>1.3272184540921139</v>
      </c>
      <c r="W19" s="56"/>
      <c r="X19" s="86">
        <f>SUMIF('R1'!$B$7:$G$7,B19,'R1'!$B$27:$G$27)</f>
        <v>441136.8373603588</v>
      </c>
      <c r="Y19" s="56"/>
      <c r="Z19" s="86">
        <f>SUMIF('R1'!$B$7:$G$7,B19,'R1'!$B$10:$G$10)</f>
        <v>22706320.756832391</v>
      </c>
      <c r="AA19" s="56"/>
    </row>
    <row r="20" spans="1:27" ht="15" customHeight="1" x14ac:dyDescent="0.25">
      <c r="A20" s="100" t="str">
        <f>'R1'!B1</f>
        <v>Eastern Cape</v>
      </c>
      <c r="B20" s="21">
        <v>2000</v>
      </c>
      <c r="C20" s="3">
        <f>SUMIF('R1'!$B$7:$G$7,B20,'R1'!$B$42:$G$42)</f>
        <v>16.550899999999999</v>
      </c>
      <c r="D20" s="42">
        <f>SUMIF('R1'!$B$7:$G$7,B20,'R1'!$B$46:$G$46)</f>
        <v>1</v>
      </c>
      <c r="E20" s="34">
        <f>SUMIF('R1'!$B$7:$G$7,B20,'R1'!$B$47:$G$47)</f>
        <v>1</v>
      </c>
      <c r="F20" s="49">
        <f t="shared" si="16"/>
        <v>1</v>
      </c>
      <c r="G20" s="57">
        <f t="shared" ref="G20:G25" si="18">(F20-$F14)/$F14</f>
        <v>0</v>
      </c>
      <c r="H20" s="1">
        <f>SUMIF('R1'!$B$7:$G$7,B20,'R1'!$B$44:$G$44)</f>
        <v>0.88692043671715748</v>
      </c>
      <c r="I20" s="2">
        <f>SUMIF('R1'!$B$7:$G$7,B20,'R1'!$B$45:$G$45)</f>
        <v>1</v>
      </c>
      <c r="J20" s="2">
        <f t="shared" si="17"/>
        <v>1.1274968515793757</v>
      </c>
      <c r="K20" s="57">
        <f t="shared" ref="K20:K25" si="19">(J20-$J14)/$J14</f>
        <v>0</v>
      </c>
      <c r="L20" s="26">
        <f>SUMIF('R1'!$B$7:$G$7,B20,'R1'!$B$36:$G$36)</f>
        <v>1.8708231251865</v>
      </c>
      <c r="M20" s="23">
        <f>SUMIF('R1'!$B$7:$G$7,B20,'R1'!$B$37:$G$37)</f>
        <v>2.7998389129982999</v>
      </c>
      <c r="N20" s="23">
        <f t="shared" si="14"/>
        <v>4.6706620381847994</v>
      </c>
      <c r="O20" s="57"/>
      <c r="P20" s="38">
        <f t="shared" ref="P20:P83" si="20">M20/L20</f>
        <v>1.4965813044026743</v>
      </c>
      <c r="Q20" s="57">
        <f t="shared" ref="Q20:Q25" si="21">(P20-$P14)/$P14</f>
        <v>0</v>
      </c>
      <c r="R20" s="26">
        <f>SUMIF('R1'!$B$7:$G$7,B20,'R1'!$B$40:$G$40)</f>
        <v>44822.290798478491</v>
      </c>
      <c r="S20" s="57">
        <f t="shared" ref="S20:S25" si="22">(R20-$R14)/$R14</f>
        <v>0</v>
      </c>
      <c r="T20" s="26">
        <f>SUMIF('R1'!$B$7:$G$7,B20,'R1'!$B$41:$G$41)</f>
        <v>59488.971502423847</v>
      </c>
      <c r="U20" s="57">
        <f t="shared" ref="U20:U25" si="23">(T20-$T14)/$T14</f>
        <v>0</v>
      </c>
      <c r="V20" s="23">
        <f t="shared" si="15"/>
        <v>1.3272184540921148</v>
      </c>
      <c r="W20" s="57">
        <f t="shared" ref="W20:W25" si="24">(V20-$V14)/$V14</f>
        <v>0</v>
      </c>
      <c r="X20" s="84">
        <f>SUMIF('R1'!$B$7:$G$7,B20,'R1'!$B$52:$G$52)</f>
        <v>18427.262540756401</v>
      </c>
      <c r="Y20" s="57">
        <f t="shared" ref="Y20:Y25" si="25">(X20-$X14)/$X14</f>
        <v>0</v>
      </c>
      <c r="Z20" s="84">
        <f>SUMIF('R1'!$B$7:$G$7,B20,'R1'!$B$35:$G$35)</f>
        <v>150225.97198840001</v>
      </c>
      <c r="AA20" s="57">
        <f t="shared" ref="AA20:AA25" si="26">(Z20-$Z14)/$Z14</f>
        <v>0</v>
      </c>
    </row>
    <row r="21" spans="1:27" x14ac:dyDescent="0.25">
      <c r="A21" s="101"/>
      <c r="B21" s="31">
        <v>2020</v>
      </c>
      <c r="C21" s="14">
        <f>SUMIF('R1'!$B$7:$G$7,B21,'R1'!$B$42:$G$42)</f>
        <v>17.06277</v>
      </c>
      <c r="D21" s="43">
        <f>SUMIF('R1'!$B$7:$G$7,B21,'R1'!$B$46:$G$46)</f>
        <v>0.97451937357749729</v>
      </c>
      <c r="E21" s="35">
        <f>SUMIF('R1'!$B$7:$G$7,B21,'R1'!$B$47:$G$47)</f>
        <v>0.99985329417805535</v>
      </c>
      <c r="F21" s="50">
        <f t="shared" si="16"/>
        <v>1.0259963232003857</v>
      </c>
      <c r="G21" s="58">
        <f t="shared" si="18"/>
        <v>8.7873324924078837E-3</v>
      </c>
      <c r="H21" s="4">
        <f>SUMIF('R1'!$B$7:$G$7,B21,'R1'!$B$44:$G$44)</f>
        <v>0.90483741803595918</v>
      </c>
      <c r="I21" s="5">
        <f>SUMIF('R1'!$B$7:$G$7,B21,'R1'!$B$45:$G$45)</f>
        <v>1</v>
      </c>
      <c r="J21" s="13">
        <f t="shared" si="17"/>
        <v>1.1051709180756482</v>
      </c>
      <c r="K21" s="58">
        <f t="shared" si="19"/>
        <v>-1.9801326693244282E-2</v>
      </c>
      <c r="L21" s="27">
        <f>SUMIF('R1'!$B$7:$G$7,B21,'R1'!$B$36:$G$36)</f>
        <v>2.073014848553107</v>
      </c>
      <c r="M21" s="24">
        <f>SUMIF('R1'!$B$7:$G$7,B21,'R1'!$B$37:$G$37)</f>
        <v>5.7735284522834451</v>
      </c>
      <c r="N21" s="24">
        <f t="shared" si="14"/>
        <v>7.8465433008365526</v>
      </c>
      <c r="O21" s="58"/>
      <c r="P21" s="39">
        <f t="shared" si="20"/>
        <v>2.7850878426235921</v>
      </c>
      <c r="Q21" s="58">
        <f t="shared" si="21"/>
        <v>2.8167223830231148E-3</v>
      </c>
      <c r="R21" s="27">
        <f>SUMIF('R1'!$B$7:$G$7,B21,'R1'!$B$40:$G$40)</f>
        <v>109552.31636736709</v>
      </c>
      <c r="S21" s="58">
        <f t="shared" si="22"/>
        <v>5.208919839439081E-3</v>
      </c>
      <c r="T21" s="27">
        <f>SUMIF('R1'!$B$7:$G$7,B21,'R1'!$B$41:$G$41)</f>
        <v>144133.30866483829</v>
      </c>
      <c r="U21" s="58">
        <f t="shared" si="23"/>
        <v>-3.5472418593210067E-3</v>
      </c>
      <c r="V21" s="24">
        <f t="shared" si="15"/>
        <v>1.3156573356377885</v>
      </c>
      <c r="W21" s="58">
        <f t="shared" si="24"/>
        <v>-8.7107879028358263E-3</v>
      </c>
      <c r="X21" s="85">
        <f>SUMIF('R1'!$B$7:$G$7,B21,'R1'!$B$52:$G$52)</f>
        <v>80546.488266546294</v>
      </c>
      <c r="Y21" s="58">
        <f t="shared" si="25"/>
        <v>-3.3173593336723929E-3</v>
      </c>
      <c r="Z21" s="85">
        <f>SUMIF('R1'!$B$7:$G$7,B21,'R1'!$B$35:$G$35)</f>
        <v>632011.50791377877</v>
      </c>
      <c r="AA21" s="58">
        <f t="shared" si="26"/>
        <v>-3.4690906790787474E-3</v>
      </c>
    </row>
    <row r="22" spans="1:27" x14ac:dyDescent="0.25">
      <c r="A22" s="101"/>
      <c r="B22" s="31">
        <v>2040</v>
      </c>
      <c r="C22" s="6">
        <f>SUMIF('R1'!$B$7:$G$7,B22,'R1'!$B$42:$G$42)</f>
        <v>17.28012</v>
      </c>
      <c r="D22" s="43">
        <f>SUMIF('R1'!$B$7:$G$7,B22,'R1'!$B$46:$G$46)</f>
        <v>0.96966048781639314</v>
      </c>
      <c r="E22" s="35">
        <f>SUMIF('R1'!$B$7:$G$7,B22,'R1'!$B$47:$G$47)</f>
        <v>0.99933476497980267</v>
      </c>
      <c r="F22" s="50">
        <f t="shared" si="16"/>
        <v>1.0306027496595576</v>
      </c>
      <c r="G22" s="58">
        <f t="shared" si="18"/>
        <v>1.331649556540542E-2</v>
      </c>
      <c r="H22" s="4">
        <f>SUMIF('R1'!$B$7:$G$7,B22,'R1'!$B$44:$G$44)</f>
        <v>0.91393118527122841</v>
      </c>
      <c r="I22" s="5">
        <f>SUMIF('R1'!$B$7:$G$7,B22,'R1'!$B$45:$G$45)</f>
        <v>1</v>
      </c>
      <c r="J22" s="5">
        <f t="shared" si="17"/>
        <v>1.0941742837052102</v>
      </c>
      <c r="K22" s="58">
        <f t="shared" si="19"/>
        <v>-2.9554466451492026E-2</v>
      </c>
      <c r="L22" s="27">
        <f>SUMIF('R1'!$B$7:$G$7,B22,'R1'!$B$36:$G$36)</f>
        <v>2.0754818735523841</v>
      </c>
      <c r="M22" s="24">
        <f>SUMIF('R1'!$B$7:$G$7,B22,'R1'!$B$37:$G$37)</f>
        <v>10.74172970297637</v>
      </c>
      <c r="N22" s="24">
        <f t="shared" si="14"/>
        <v>12.817211576528754</v>
      </c>
      <c r="O22" s="58"/>
      <c r="P22" s="40">
        <f t="shared" si="20"/>
        <v>5.1755353009134595</v>
      </c>
      <c r="Q22" s="58">
        <f t="shared" si="21"/>
        <v>4.2016496841714331E-3</v>
      </c>
      <c r="R22" s="27">
        <f>SUMIF('R1'!$B$7:$G$7,B22,'R1'!$B$40:$G$40)</f>
        <v>200276.88190789521</v>
      </c>
      <c r="S22" s="58">
        <f t="shared" si="22"/>
        <v>9.5572368871905157E-3</v>
      </c>
      <c r="T22" s="27">
        <f>SUMIF('R1'!$B$7:$G$7,B22,'R1'!$B$41:$G$41)</f>
        <v>262318.01688757609</v>
      </c>
      <c r="U22" s="58">
        <f t="shared" si="23"/>
        <v>-3.7098563920230825E-3</v>
      </c>
      <c r="V22" s="24">
        <f t="shared" si="15"/>
        <v>1.3097768169179547</v>
      </c>
      <c r="W22" s="58">
        <f t="shared" si="24"/>
        <v>-1.3141496880474656E-2</v>
      </c>
      <c r="X22" s="85">
        <f>SUMIF('R1'!$B$7:$G$7,B22,'R1'!$B$52:$G$52)</f>
        <v>150684.93785123789</v>
      </c>
      <c r="Y22" s="58">
        <f t="shared" si="25"/>
        <v>-3.994901143201909E-3</v>
      </c>
      <c r="Z22" s="85">
        <f>SUMIF('R1'!$B$7:$G$7,B22,'R1'!$B$35:$G$35)</f>
        <v>1931360.729835402</v>
      </c>
      <c r="AA22" s="58">
        <f t="shared" si="26"/>
        <v>-4.3000446428234328E-3</v>
      </c>
    </row>
    <row r="23" spans="1:27" x14ac:dyDescent="0.25">
      <c r="A23" s="101"/>
      <c r="B23" s="31">
        <v>2060</v>
      </c>
      <c r="C23" s="6">
        <f>SUMIF('R1'!$B$7:$G$7,B23,'R1'!$B$42:$G$42)</f>
        <v>17.430140000000002</v>
      </c>
      <c r="D23" s="43">
        <f>SUMIF('R1'!$B$7:$G$7,B23,'R1'!$B$46:$G$46)</f>
        <v>0.96439833420871968</v>
      </c>
      <c r="E23" s="35">
        <f>SUMIF('R1'!$B$7:$G$7,B23,'R1'!$B$47:$G$47)</f>
        <v>0.99844694181596516</v>
      </c>
      <c r="F23" s="50">
        <f t="shared" si="16"/>
        <v>1.0353055437773875</v>
      </c>
      <c r="G23" s="58">
        <f t="shared" si="18"/>
        <v>1.7940409926607344E-2</v>
      </c>
      <c r="H23" s="4">
        <f>SUMIF('R1'!$B$7:$G$7,B23,'R1'!$B$44:$G$44)</f>
        <v>0.92311634638663587</v>
      </c>
      <c r="I23" s="5">
        <f>SUMIF('R1'!$B$7:$G$7,B23,'R1'!$B$45:$G$45)</f>
        <v>1</v>
      </c>
      <c r="J23" s="5">
        <f t="shared" si="17"/>
        <v>1.0832870676749584</v>
      </c>
      <c r="K23" s="58">
        <f t="shared" si="19"/>
        <v>-3.9210560847676969E-2</v>
      </c>
      <c r="L23" s="27">
        <f>SUMIF('R1'!$B$7:$G$7,B23,'R1'!$B$36:$G$36)</f>
        <v>1.9364111073361709</v>
      </c>
      <c r="M23" s="24">
        <f>SUMIF('R1'!$B$7:$G$7,B23,'R1'!$B$37:$G$37)</f>
        <v>18.623499013871822</v>
      </c>
      <c r="N23" s="24">
        <f t="shared" si="14"/>
        <v>20.559910121207992</v>
      </c>
      <c r="O23" s="58"/>
      <c r="P23" s="40">
        <f t="shared" si="20"/>
        <v>9.6175336648896259</v>
      </c>
      <c r="Q23" s="58">
        <f t="shared" si="21"/>
        <v>5.5701107005800728E-3</v>
      </c>
      <c r="R23" s="27">
        <f>SUMIF('R1'!$B$7:$G$7,B23,'R1'!$B$40:$G$40)</f>
        <v>309974.99472518498</v>
      </c>
      <c r="S23" s="58">
        <f t="shared" si="22"/>
        <v>1.4029585693344965E-2</v>
      </c>
      <c r="T23" s="27">
        <f>SUMIF('R1'!$B$7:$G$7,B23,'R1'!$B$41:$G$41)</f>
        <v>404153.8476068881</v>
      </c>
      <c r="U23" s="58">
        <f t="shared" si="23"/>
        <v>-3.84189899047656E-3</v>
      </c>
      <c r="V23" s="24">
        <f t="shared" si="15"/>
        <v>1.3038272585993571</v>
      </c>
      <c r="W23" s="58">
        <f t="shared" si="24"/>
        <v>-1.762422412123392E-2</v>
      </c>
      <c r="X23" s="85">
        <f>SUMIF('R1'!$B$7:$G$7,B23,'R1'!$B$52:$G$52)</f>
        <v>236205.4723201085</v>
      </c>
      <c r="Y23" s="58">
        <f t="shared" si="25"/>
        <v>-5.0394915109319939E-3</v>
      </c>
      <c r="Z23" s="85">
        <f>SUMIF('R1'!$B$7:$G$7,B23,'R1'!$B$35:$G$35)</f>
        <v>4856363.2810389129</v>
      </c>
      <c r="AA23" s="58">
        <f t="shared" si="26"/>
        <v>-5.4698206762185189E-3</v>
      </c>
    </row>
    <row r="24" spans="1:27" x14ac:dyDescent="0.25">
      <c r="A24" s="101"/>
      <c r="B24" s="31">
        <v>2080</v>
      </c>
      <c r="C24" s="6">
        <f>SUMIF('R1'!$B$7:$G$7,B24,'R1'!$B$42:$G$42)</f>
        <v>17.446470000000001</v>
      </c>
      <c r="D24" s="43">
        <f>SUMIF('R1'!$B$7:$G$7,B24,'R1'!$B$46:$G$46)</f>
        <v>0.96439833420871968</v>
      </c>
      <c r="E24" s="35">
        <f>SUMIF('R1'!$B$7:$G$7,B24,'R1'!$B$47:$G$47)</f>
        <v>0.99844694181596516</v>
      </c>
      <c r="F24" s="50">
        <f t="shared" si="16"/>
        <v>1.0353055437773875</v>
      </c>
      <c r="G24" s="58">
        <f t="shared" si="18"/>
        <v>1.7940409926607344E-2</v>
      </c>
      <c r="H24" s="4">
        <f>SUMIF('R1'!$B$7:$G$7,B24,'R1'!$B$44:$G$44)</f>
        <v>0.92311634638663587</v>
      </c>
      <c r="I24" s="5">
        <f>SUMIF('R1'!$B$7:$G$7,B24,'R1'!$B$45:$G$45)</f>
        <v>1</v>
      </c>
      <c r="J24" s="5">
        <f t="shared" si="17"/>
        <v>1.0832870676749584</v>
      </c>
      <c r="K24" s="58">
        <f t="shared" si="19"/>
        <v>-3.9210560847676969E-2</v>
      </c>
      <c r="L24" s="27">
        <f>SUMIF('R1'!$B$7:$G$7,B24,'R1'!$B$36:$G$36)</f>
        <v>1.7309023648912929</v>
      </c>
      <c r="M24" s="24">
        <f>SUMIF('R1'!$B$7:$G$7,B24,'R1'!$B$37:$G$37)</f>
        <v>30.892517471989269</v>
      </c>
      <c r="N24" s="24">
        <f t="shared" si="14"/>
        <v>32.623419836880565</v>
      </c>
      <c r="O24" s="58"/>
      <c r="P24" s="40">
        <f t="shared" si="20"/>
        <v>17.847637220097873</v>
      </c>
      <c r="Q24" s="58">
        <f t="shared" si="21"/>
        <v>5.570110700579731E-3</v>
      </c>
      <c r="R24" s="27">
        <f>SUMIF('R1'!$B$7:$G$7,B24,'R1'!$B$40:$G$40)</f>
        <v>431925.59446729708</v>
      </c>
      <c r="S24" s="58">
        <f t="shared" si="22"/>
        <v>1.5162097377164039E-2</v>
      </c>
      <c r="T24" s="27">
        <f>SUMIF('R1'!$B$7:$G$7,B24,'R1'!$B$41:$G$41)</f>
        <v>563156.36375319364</v>
      </c>
      <c r="U24" s="58">
        <f t="shared" si="23"/>
        <v>-2.7293469463934065E-3</v>
      </c>
      <c r="V24" s="24">
        <f t="shared" si="15"/>
        <v>1.3038272585993571</v>
      </c>
      <c r="W24" s="58">
        <f t="shared" si="24"/>
        <v>-1.7624224121234412E-2</v>
      </c>
      <c r="X24" s="85">
        <f>SUMIF('R1'!$B$7:$G$7,B24,'R1'!$B$52:$G$52)</f>
        <v>332729.7382518439</v>
      </c>
      <c r="Y24" s="58">
        <f t="shared" si="25"/>
        <v>-3.9807313745687514E-3</v>
      </c>
      <c r="Z24" s="85">
        <f>SUMIF('R1'!$B$7:$G$7,B24,'R1'!$B$35:$G$35)</f>
        <v>10854781.94320528</v>
      </c>
      <c r="AA24" s="58">
        <f t="shared" si="26"/>
        <v>-4.484716775059322E-3</v>
      </c>
    </row>
    <row r="25" spans="1:27" ht="15.75" thickBot="1" x14ac:dyDescent="0.3">
      <c r="A25" s="102"/>
      <c r="B25" s="32">
        <v>2100</v>
      </c>
      <c r="C25" s="9">
        <f>SUMIF('R1'!$B$7:$G$7,B25,'R1'!$B$42:$G$42)</f>
        <v>17.441220000000001</v>
      </c>
      <c r="D25" s="44">
        <f>SUMIF('R1'!$B$7:$G$7,B25,'R1'!$B$46:$G$46)</f>
        <v>0.96439833420871968</v>
      </c>
      <c r="E25" s="36">
        <f>SUMIF('R1'!$B$7:$G$7,B25,'R1'!$B$47:$G$47)</f>
        <v>0.99844694181596516</v>
      </c>
      <c r="F25" s="51">
        <f t="shared" si="16"/>
        <v>1.0353055437773875</v>
      </c>
      <c r="G25" s="59">
        <f t="shared" si="18"/>
        <v>1.7940409926607344E-2</v>
      </c>
      <c r="H25" s="7">
        <f>SUMIF('R1'!$B$7:$G$7,B25,'R1'!$B$44:$G$44)</f>
        <v>0.92311634638663587</v>
      </c>
      <c r="I25" s="8">
        <f>SUMIF('R1'!$B$7:$G$7,B25,'R1'!$B$45:$G$45)</f>
        <v>1</v>
      </c>
      <c r="J25" s="8">
        <f t="shared" si="17"/>
        <v>1.0832870676749584</v>
      </c>
      <c r="K25" s="59">
        <f t="shared" si="19"/>
        <v>-3.9210560847676969E-2</v>
      </c>
      <c r="L25" s="28">
        <f>SUMIF('R1'!$B$7:$G$7,B25,'R1'!$B$36:$G$36)</f>
        <v>1.5077156497631889</v>
      </c>
      <c r="M25" s="25">
        <f>SUMIF('R1'!$B$7:$G$7,B25,'R1'!$B$37:$G$37)</f>
        <v>49.936395034282221</v>
      </c>
      <c r="N25" s="25">
        <f t="shared" si="14"/>
        <v>51.444110684045413</v>
      </c>
      <c r="O25" s="59"/>
      <c r="P25" s="41">
        <f t="shared" si="20"/>
        <v>33.12056556693932</v>
      </c>
      <c r="Q25" s="59">
        <f t="shared" si="21"/>
        <v>5.5701107005788446E-3</v>
      </c>
      <c r="R25" s="33">
        <f>SUMIF('R1'!$B$7:$G$7,B25,'R1'!$B$40:$G$40)</f>
        <v>567175.4183007403</v>
      </c>
      <c r="S25" s="59">
        <f t="shared" si="22"/>
        <v>1.5805273237274712E-2</v>
      </c>
      <c r="T25" s="28">
        <f>SUMIF('R1'!$B$7:$G$7,B25,'R1'!$B$41:$G$41)</f>
        <v>739498.77078799787</v>
      </c>
      <c r="U25" s="59">
        <f t="shared" si="23"/>
        <v>-2.0975065617901689E-3</v>
      </c>
      <c r="V25" s="25">
        <f t="shared" si="15"/>
        <v>1.3038272585993571</v>
      </c>
      <c r="W25" s="59">
        <f t="shared" si="24"/>
        <v>-1.7624224121233757E-2</v>
      </c>
      <c r="X25" s="86">
        <f>SUMIF('R1'!$B$7:$G$7,B25,'R1'!$B$52:$G$52)</f>
        <v>439645.03537945339</v>
      </c>
      <c r="Y25" s="59">
        <f t="shared" si="25"/>
        <v>-3.3817216214178376E-3</v>
      </c>
      <c r="Z25" s="86">
        <f>SUMIF('R1'!$B$7:$G$7,B25,'R1'!$B$35:$G$35)</f>
        <v>22617147.861751661</v>
      </c>
      <c r="AA25" s="59">
        <f t="shared" si="26"/>
        <v>-3.9272278426657021E-3</v>
      </c>
    </row>
    <row r="26" spans="1:27" ht="15" customHeight="1" x14ac:dyDescent="0.25">
      <c r="A26" s="97" t="s">
        <v>6</v>
      </c>
      <c r="B26" s="21">
        <v>2000</v>
      </c>
      <c r="C26" s="3">
        <f>SUMIF('R2'!$B$7:$G$7,B26,'R2'!$B$17:$G$17)</f>
        <v>17.447839999999999</v>
      </c>
      <c r="D26" s="42">
        <f>SUMIF('R2'!$B$7:$G$7,B26,'R2'!$B$21:$G$21)</f>
        <v>1</v>
      </c>
      <c r="E26" s="34">
        <f>SUMIF('R2'!$B$7:$G$7,B26,'R2'!$B$22:$G$22)</f>
        <v>1</v>
      </c>
      <c r="F26" s="45">
        <f>E26/D26</f>
        <v>1</v>
      </c>
      <c r="G26" s="53"/>
      <c r="H26" s="1">
        <f>SUMIF('R2'!$B$7:$G$7,B26,'R2'!$B$19:$G$19)</f>
        <v>0.92311634638663587</v>
      </c>
      <c r="I26" s="2">
        <f>SUMIF('R2'!$B$7:$G$7,B26,'R2'!$B$20:$G$20)</f>
        <v>1</v>
      </c>
      <c r="J26" s="2">
        <f>I26/H26</f>
        <v>1.0832870676749584</v>
      </c>
      <c r="K26" s="53"/>
      <c r="L26" s="26">
        <f>SUMIF('R2'!$B$7:$G$7,B26,'R2'!$B$11:$G$11)</f>
        <v>0.23874911168999999</v>
      </c>
      <c r="M26" s="24">
        <f>SUMIF('R2'!$B$7:$G$7,B26,'R2'!$B$12:$G$12)</f>
        <v>0.35730745699799998</v>
      </c>
      <c r="N26" s="23">
        <f t="shared" si="14"/>
        <v>0.59605656868799994</v>
      </c>
      <c r="O26" s="53"/>
      <c r="P26" s="38">
        <f t="shared" si="20"/>
        <v>1.4965813044026743</v>
      </c>
      <c r="Q26" s="53"/>
      <c r="R26" s="26">
        <f>SUMIF('R2'!$B$7:$G$7,B26,'R2'!$B$15:$G$15)</f>
        <v>45393.77360074802</v>
      </c>
      <c r="S26" s="53"/>
      <c r="T26" s="26">
        <f>SUMIF('R2'!$B$7:$G$7,B26,'R2'!$B$16:$G$16)</f>
        <v>59185.639391343168</v>
      </c>
      <c r="U26" s="53"/>
      <c r="V26" s="23">
        <f t="shared" si="15"/>
        <v>1.3038272585993573</v>
      </c>
      <c r="W26" s="53"/>
      <c r="X26" s="84">
        <f>SUMIF('R2'!$B$7:$G$7,B26,'R2'!$B$27:$G$27)</f>
        <v>18427.26254075639</v>
      </c>
      <c r="Y26" s="53"/>
      <c r="Z26" s="84">
        <f>SUMIF('R2'!$B$7:$G$7,B26,'R2'!$B$10:$G$10)</f>
        <v>19171.410103999999</v>
      </c>
      <c r="AA26" s="53"/>
    </row>
    <row r="27" spans="1:27" x14ac:dyDescent="0.25">
      <c r="A27" s="98"/>
      <c r="B27" s="31">
        <v>2020</v>
      </c>
      <c r="C27" s="14">
        <f>SUMIF('R2'!$B$7:$G$7,B27,'R2'!$B$17:$G$17)</f>
        <v>17.447839999999999</v>
      </c>
      <c r="D27" s="43">
        <f>SUMIF('R2'!$B$7:$G$7,B27,'R2'!$B$21:$G$21)</f>
        <v>0.96439833420871968</v>
      </c>
      <c r="E27" s="35">
        <f>SUMIF('R2'!$B$7:$G$7,B27,'R2'!$B$22:$G$22)</f>
        <v>0.99844694181596516</v>
      </c>
      <c r="F27" s="46">
        <f t="shared" ref="F27:F37" si="27">E27/D27</f>
        <v>1.0353055437773875</v>
      </c>
      <c r="G27" s="54"/>
      <c r="H27" s="4">
        <f>SUMIF('R2'!$B$7:$G$7,B27,'R2'!$B$19:$G$19)</f>
        <v>0.92311634638663587</v>
      </c>
      <c r="I27" s="5">
        <f>SUMIF('R2'!$B$7:$G$7,B27,'R2'!$B$20:$G$20)</f>
        <v>1</v>
      </c>
      <c r="J27" s="5">
        <f t="shared" ref="J27:J37" si="28">I27/H27</f>
        <v>1.0832870676749584</v>
      </c>
      <c r="K27" s="55"/>
      <c r="L27" s="27">
        <f>SUMIF('R2'!$B$7:$G$7,B27,'R2'!$B$11:$G$11)</f>
        <v>0.26514049931399603</v>
      </c>
      <c r="M27" s="24">
        <f>SUMIF('R2'!$B$7:$G$7,B27,'R2'!$B$12:$G$12)</f>
        <v>0.73636544419780237</v>
      </c>
      <c r="N27" s="24">
        <f t="shared" si="14"/>
        <v>1.0015059435117983</v>
      </c>
      <c r="O27" s="55"/>
      <c r="P27" s="39">
        <f t="shared" si="20"/>
        <v>2.7772650579712161</v>
      </c>
      <c r="Q27" s="55"/>
      <c r="R27" s="27">
        <f>SUMIF('R2'!$B$7:$G$7,B27,'R2'!$B$15:$G$15)</f>
        <v>109613.8268010399</v>
      </c>
      <c r="S27" s="55"/>
      <c r="T27" s="27">
        <f>SUMIF('R2'!$B$7:$G$7,B27,'R2'!$B$16:$G$16)</f>
        <v>142917.4953025846</v>
      </c>
      <c r="U27" s="55"/>
      <c r="V27" s="24">
        <f t="shared" si="15"/>
        <v>1.3038272585993571</v>
      </c>
      <c r="W27" s="55"/>
      <c r="X27" s="85">
        <f>SUMIF('R2'!$B$7:$G$7,B27,'R2'!$B$27:$G$27)</f>
        <v>79742.572044224056</v>
      </c>
      <c r="Y27" s="55"/>
      <c r="Z27" s="85">
        <f>SUMIF('R2'!$B$7:$G$7,B27,'R2'!$B$10:$G$10)</f>
        <v>79862.65985320817</v>
      </c>
      <c r="AA27" s="55"/>
    </row>
    <row r="28" spans="1:27" x14ac:dyDescent="0.25">
      <c r="A28" s="98"/>
      <c r="B28" s="31">
        <v>2040</v>
      </c>
      <c r="C28" s="6">
        <f>SUMIF('R2'!$B$7:$G$7,B28,'R2'!$B$17:$G$17)</f>
        <v>17.447839999999999</v>
      </c>
      <c r="D28" s="43">
        <f>SUMIF('R2'!$B$7:$G$7,B28,'R2'!$B$21:$G$21)</f>
        <v>0.96439833420871968</v>
      </c>
      <c r="E28" s="35">
        <f>SUMIF('R2'!$B$7:$G$7,B28,'R2'!$B$22:$G$22)</f>
        <v>0.99844694181596516</v>
      </c>
      <c r="F28" s="47">
        <f t="shared" si="27"/>
        <v>1.0353055437773875</v>
      </c>
      <c r="G28" s="55"/>
      <c r="H28" s="4">
        <f>SUMIF('R2'!$B$7:$G$7,B28,'R2'!$B$19:$G$19)</f>
        <v>0.92311634638663587</v>
      </c>
      <c r="I28" s="5">
        <f>SUMIF('R2'!$B$7:$G$7,B28,'R2'!$B$20:$G$20)</f>
        <v>1</v>
      </c>
      <c r="J28" s="5">
        <f t="shared" si="28"/>
        <v>1.0832870676749584</v>
      </c>
      <c r="K28" s="55"/>
      <c r="L28" s="27">
        <f>SUMIF('R2'!$B$7:$G$7,B28,'R2'!$B$11:$G$11)</f>
        <v>0.26588057151300443</v>
      </c>
      <c r="M28" s="24">
        <f>SUMIF('R2'!$B$7:$G$7,B28,'R2'!$B$12:$G$12)</f>
        <v>1.370316692992275</v>
      </c>
      <c r="N28" s="24">
        <f t="shared" si="14"/>
        <v>1.6361972645052794</v>
      </c>
      <c r="O28" s="55"/>
      <c r="P28" s="40">
        <f t="shared" si="20"/>
        <v>5.1538805005361281</v>
      </c>
      <c r="Q28" s="55"/>
      <c r="R28" s="27">
        <f>SUMIF('R2'!$B$7:$G$7,B28,'R2'!$B$15:$G$15)</f>
        <v>200497.62255490059</v>
      </c>
      <c r="S28" s="55"/>
      <c r="T28" s="27">
        <f>SUMIF('R2'!$B$7:$G$7,B28,'R2'!$B$16:$G$16)</f>
        <v>261414.26557144479</v>
      </c>
      <c r="U28" s="55"/>
      <c r="V28" s="24">
        <f t="shared" si="15"/>
        <v>1.3038272585993578</v>
      </c>
      <c r="W28" s="55"/>
      <c r="X28" s="85">
        <f>SUMIF('R2'!$B$7:$G$7,B28,'R2'!$B$27:$G$27)</f>
        <v>150009.25288880811</v>
      </c>
      <c r="Y28" s="55"/>
      <c r="Z28" s="85">
        <f>SUMIF('R2'!$B$7:$G$7,B28,'R2'!$B$10:$G$10)</f>
        <v>245444.7292271484</v>
      </c>
      <c r="AA28" s="55"/>
    </row>
    <row r="29" spans="1:27" x14ac:dyDescent="0.25">
      <c r="A29" s="98"/>
      <c r="B29" s="31">
        <v>2060</v>
      </c>
      <c r="C29" s="6">
        <f>SUMIF('R2'!$B$7:$G$7,B29,'R2'!$B$17:$G$17)</f>
        <v>17.447839999999999</v>
      </c>
      <c r="D29" s="43">
        <f>SUMIF('R2'!$B$7:$G$7,B29,'R2'!$B$21:$G$21)</f>
        <v>0.96439833420871968</v>
      </c>
      <c r="E29" s="35">
        <f>SUMIF('R2'!$B$7:$G$7,B29,'R2'!$B$22:$G$22)</f>
        <v>0.99844694181596516</v>
      </c>
      <c r="F29" s="47">
        <f t="shared" si="27"/>
        <v>1.0353055437773875</v>
      </c>
      <c r="G29" s="55"/>
      <c r="H29" s="4">
        <f>SUMIF('R2'!$B$7:$G$7,B29,'R2'!$B$19:$G$19)</f>
        <v>0.92311634638663587</v>
      </c>
      <c r="I29" s="5">
        <f>SUMIF('R2'!$B$7:$G$7,B29,'R2'!$B$20:$G$20)</f>
        <v>1</v>
      </c>
      <c r="J29" s="5">
        <f t="shared" si="28"/>
        <v>1.0832870676749584</v>
      </c>
      <c r="K29" s="55"/>
      <c r="L29" s="27">
        <f>SUMIF('R2'!$B$7:$G$7,B29,'R2'!$B$11:$G$11)</f>
        <v>0.24847291520447939</v>
      </c>
      <c r="M29" s="24">
        <f>SUMIF('R2'!$B$7:$G$7,B29,'R2'!$B$12:$G$12)</f>
        <v>2.3764594843888571</v>
      </c>
      <c r="N29" s="24">
        <f t="shared" si="14"/>
        <v>2.6249323995933365</v>
      </c>
      <c r="O29" s="55"/>
      <c r="P29" s="40">
        <f t="shared" si="20"/>
        <v>9.5642596797045787</v>
      </c>
      <c r="Q29" s="55"/>
      <c r="R29" s="27">
        <f>SUMIF('R2'!$B$7:$G$7,B29,'R2'!$B$15:$G$15)</f>
        <v>309898.18916546792</v>
      </c>
      <c r="S29" s="55"/>
      <c r="T29" s="27">
        <f>SUMIF('R2'!$B$7:$G$7,B29,'R2'!$B$16:$G$16)</f>
        <v>404053.70642451697</v>
      </c>
      <c r="U29" s="55"/>
      <c r="V29" s="24">
        <f t="shared" si="15"/>
        <v>1.3038272585993569</v>
      </c>
      <c r="W29" s="55"/>
      <c r="X29" s="85">
        <f>SUMIF('R2'!$B$7:$G$7,B29,'R2'!$B$27:$G$27)</f>
        <v>236117.14833106019</v>
      </c>
      <c r="Y29" s="55"/>
      <c r="Z29" s="85">
        <f>SUMIF('R2'!$B$7:$G$7,B29,'R2'!$B$10:$G$10)</f>
        <v>619791.55275378539</v>
      </c>
      <c r="AA29" s="55"/>
    </row>
    <row r="30" spans="1:27" x14ac:dyDescent="0.25">
      <c r="A30" s="98"/>
      <c r="B30" s="31">
        <v>2080</v>
      </c>
      <c r="C30" s="6">
        <f>SUMIF('R2'!$B$7:$G$7,B30,'R2'!$B$17:$G$17)</f>
        <v>17.447839999999999</v>
      </c>
      <c r="D30" s="43">
        <f>SUMIF('R2'!$B$7:$G$7,B30,'R2'!$B$21:$G$21)</f>
        <v>0.96439833420871968</v>
      </c>
      <c r="E30" s="35">
        <f>SUMIF('R2'!$B$7:$G$7,B30,'R2'!$B$22:$G$22)</f>
        <v>0.99844694181596516</v>
      </c>
      <c r="F30" s="47">
        <f t="shared" si="27"/>
        <v>1.0353055437773875</v>
      </c>
      <c r="G30" s="55"/>
      <c r="H30" s="4">
        <f>SUMIF('R2'!$B$7:$G$7,B30,'R2'!$B$19:$G$19)</f>
        <v>0.92311634638663587</v>
      </c>
      <c r="I30" s="5">
        <f>SUMIF('R2'!$B$7:$G$7,B30,'R2'!$B$20:$G$20)</f>
        <v>1</v>
      </c>
      <c r="J30" s="5">
        <f t="shared" si="28"/>
        <v>1.0832870676749584</v>
      </c>
      <c r="K30" s="55"/>
      <c r="L30" s="27">
        <f>SUMIF('R2'!$B$7:$G$7,B30,'R2'!$B$11:$G$11)</f>
        <v>0.2221700132517532</v>
      </c>
      <c r="M30" s="24">
        <f>SUMIF('R2'!$B$7:$G$7,B30,'R2'!$B$12:$G$12)</f>
        <v>3.9432454838370941</v>
      </c>
      <c r="N30" s="24">
        <f t="shared" si="14"/>
        <v>4.1654154970888468</v>
      </c>
      <c r="O30" s="55"/>
      <c r="P30" s="40">
        <f t="shared" si="20"/>
        <v>17.748774580882721</v>
      </c>
      <c r="Q30" s="55"/>
      <c r="R30" s="27">
        <f>SUMIF('R2'!$B$7:$G$7,B30,'R2'!$B$15:$G$15)</f>
        <v>432120.26022089558</v>
      </c>
      <c r="S30" s="55"/>
      <c r="T30" s="27">
        <f>SUMIF('R2'!$B$7:$G$7,B30,'R2'!$B$16:$G$16)</f>
        <v>563410.17426905083</v>
      </c>
      <c r="U30" s="55"/>
      <c r="V30" s="24">
        <f t="shared" si="15"/>
        <v>1.3038272585993564</v>
      </c>
      <c r="W30" s="55"/>
      <c r="X30" s="85">
        <f>SUMIF('R2'!$B$7:$G$7,B30,'R2'!$B$27:$G$27)</f>
        <v>332855.22294734372</v>
      </c>
      <c r="Y30" s="55"/>
      <c r="Z30" s="85">
        <f>SUMIF('R2'!$B$7:$G$7,B30,'R2'!$B$10:$G$10)</f>
        <v>1386480.303951829</v>
      </c>
      <c r="AA30" s="55"/>
    </row>
    <row r="31" spans="1:27" ht="15.75" thickBot="1" x14ac:dyDescent="0.3">
      <c r="A31" s="99"/>
      <c r="B31" s="32">
        <v>2100</v>
      </c>
      <c r="C31" s="9">
        <f>SUMIF('R2'!$B$7:$G$7,B31,'R2'!$B$17:$G$17)</f>
        <v>17.447839999999999</v>
      </c>
      <c r="D31" s="44">
        <f>SUMIF('R2'!$B$7:$G$7,B31,'R2'!$B$21:$G$21)</f>
        <v>0.96439833420871968</v>
      </c>
      <c r="E31" s="36">
        <f>SUMIF('R2'!$B$7:$G$7,B31,'R2'!$B$22:$G$22)</f>
        <v>0.99844694181596516</v>
      </c>
      <c r="F31" s="48">
        <f t="shared" si="27"/>
        <v>1.0353055437773875</v>
      </c>
      <c r="G31" s="56"/>
      <c r="H31" s="7">
        <f>SUMIF('R2'!$B$7:$G$7,B31,'R2'!$B$19:$G$19)</f>
        <v>0.92311634638663587</v>
      </c>
      <c r="I31" s="8">
        <f>SUMIF('R2'!$B$7:$G$7,B31,'R2'!$B$20:$G$20)</f>
        <v>1</v>
      </c>
      <c r="J31" s="8">
        <f t="shared" si="28"/>
        <v>1.0832870676749584</v>
      </c>
      <c r="K31" s="56"/>
      <c r="L31" s="28">
        <f>SUMIF('R2'!$B$7:$G$7,B31,'R2'!$B$11:$G$11)</f>
        <v>0.1935564824648765</v>
      </c>
      <c r="M31" s="25">
        <f>SUMIF('R2'!$B$7:$G$7,B31,'R2'!$B$12:$G$12)</f>
        <v>6.3751896562615151</v>
      </c>
      <c r="N31" s="25">
        <f t="shared" si="14"/>
        <v>6.5687461387263912</v>
      </c>
      <c r="O31" s="56"/>
      <c r="P31" s="41">
        <f t="shared" si="20"/>
        <v>32.937102261188187</v>
      </c>
      <c r="Q31" s="56"/>
      <c r="R31" s="28">
        <f>SUMIF('R2'!$B$7:$G$7,B31,'R2'!$B$15:$G$15)</f>
        <v>567655.96896973415</v>
      </c>
      <c r="S31" s="56"/>
      <c r="T31" s="28">
        <f>SUMIF('R2'!$B$7:$G$7,B31,'R2'!$B$16:$G$16)</f>
        <v>740125.32584936998</v>
      </c>
      <c r="U31" s="56"/>
      <c r="V31" s="25">
        <f t="shared" si="15"/>
        <v>1.3038272585993567</v>
      </c>
      <c r="W31" s="56"/>
      <c r="X31" s="86">
        <f>SUMIF('R2'!$B$7:$G$7,B31,'R2'!$B$27:$G$27)</f>
        <v>439999.32611759641</v>
      </c>
      <c r="Y31" s="56"/>
      <c r="Z31" s="86">
        <f>SUMIF('R2'!$B$7:$G$7,B31,'R2'!$B$10:$G$10)</f>
        <v>2890243.874477176</v>
      </c>
      <c r="AA31" s="56"/>
    </row>
    <row r="32" spans="1:27" ht="15" customHeight="1" x14ac:dyDescent="0.25">
      <c r="A32" s="97" t="str">
        <f>'R2'!B1</f>
        <v>Northern Cape</v>
      </c>
      <c r="B32" s="21">
        <v>2000</v>
      </c>
      <c r="C32" s="3">
        <f>SUMIF('R2'!$B$7:$G$7,B32,'R2'!$B$42:$G$42)</f>
        <v>17.447839999999999</v>
      </c>
      <c r="D32" s="42">
        <f>SUMIF('R2'!$B$7:$G$7,B32,'R2'!$B$46:$G$46)</f>
        <v>1</v>
      </c>
      <c r="E32" s="34">
        <f>SUMIF('R2'!$B$7:$G$7,B32,'R2'!$B$47:$G$47)</f>
        <v>1</v>
      </c>
      <c r="F32" s="49">
        <f t="shared" si="27"/>
        <v>1</v>
      </c>
      <c r="G32" s="57">
        <f t="shared" ref="G32:G37" si="29">(F32-$F26)/$F26</f>
        <v>0</v>
      </c>
      <c r="H32" s="1">
        <f>SUMIF('R2'!$B$7:$G$7,B32,'R2'!$B$44:$G$44)</f>
        <v>0.92311634638663587</v>
      </c>
      <c r="I32" s="2">
        <f>SUMIF('R2'!$B$7:$G$7,B32,'R2'!$B$45:$G$45)</f>
        <v>1</v>
      </c>
      <c r="J32" s="2">
        <f t="shared" si="28"/>
        <v>1.0832870676749584</v>
      </c>
      <c r="K32" s="57">
        <f t="shared" ref="K32:K37" si="30">(J32-$J26)/$J26</f>
        <v>0</v>
      </c>
      <c r="L32" s="26">
        <f>SUMIF('R2'!$B$7:$G$7,B32,'R2'!$B$36:$G$36)</f>
        <v>0.23874911168999999</v>
      </c>
      <c r="M32" s="23">
        <f>SUMIF('R2'!$B$7:$G$7,B32,'R2'!$B$37:$G$37)</f>
        <v>0.35730745699799998</v>
      </c>
      <c r="N32" s="23">
        <f t="shared" si="14"/>
        <v>0.59605656868799994</v>
      </c>
      <c r="O32" s="57"/>
      <c r="P32" s="38">
        <f t="shared" si="20"/>
        <v>1.4965813044026743</v>
      </c>
      <c r="Q32" s="57">
        <f t="shared" ref="Q32:Q37" si="31">(P32-$P26)/$P26</f>
        <v>0</v>
      </c>
      <c r="R32" s="26">
        <f>SUMIF('R2'!$B$7:$G$7,B32,'R2'!$B$40:$G$40)</f>
        <v>45393.77360074802</v>
      </c>
      <c r="S32" s="57">
        <f t="shared" ref="S32:S37" si="32">(R32-$R26)/$R26</f>
        <v>0</v>
      </c>
      <c r="T32" s="26">
        <f>SUMIF('R2'!$B$7:$G$7,B32,'R2'!$B$41:$G$41)</f>
        <v>59185.639391343168</v>
      </c>
      <c r="U32" s="57">
        <f t="shared" ref="U32:U37" si="33">(T32-$T26)/$T26</f>
        <v>0</v>
      </c>
      <c r="V32" s="23">
        <f t="shared" si="15"/>
        <v>1.3038272585993573</v>
      </c>
      <c r="W32" s="57">
        <f t="shared" ref="W32:W37" si="34">(V32-$V26)/$V26</f>
        <v>0</v>
      </c>
      <c r="X32" s="84">
        <f>SUMIF('R2'!$B$7:$G$7,B32,'R2'!$B$52:$G$52)</f>
        <v>18427.26254075639</v>
      </c>
      <c r="Y32" s="57">
        <f t="shared" ref="Y32:Y37" si="35">(X32-$X26)/$X26</f>
        <v>0</v>
      </c>
      <c r="Z32" s="84">
        <f>SUMIF('R2'!$B$7:$G$7,B32,'R2'!$B$35:$G$35)</f>
        <v>19171.410103999999</v>
      </c>
      <c r="AA32" s="57">
        <f t="shared" ref="AA32:AA37" si="36">(Z32-$Z26)/$Z26</f>
        <v>0</v>
      </c>
    </row>
    <row r="33" spans="1:30" x14ac:dyDescent="0.25">
      <c r="A33" s="98"/>
      <c r="B33" s="31">
        <v>2020</v>
      </c>
      <c r="C33" s="14">
        <f>SUMIF('R2'!$B$7:$G$7,B33,'R2'!$B$42:$G$42)</f>
        <v>18.29449</v>
      </c>
      <c r="D33" s="43">
        <f>SUMIF('R2'!$B$7:$G$7,B33,'R2'!$B$46:$G$46)</f>
        <v>0.94627095271536965</v>
      </c>
      <c r="E33" s="35">
        <f>SUMIF('R2'!$B$7:$G$7,B33,'R2'!$B$47:$G$47)</f>
        <v>0.99356517912022047</v>
      </c>
      <c r="F33" s="50">
        <f t="shared" si="27"/>
        <v>1.0499795817140301</v>
      </c>
      <c r="G33" s="58">
        <f t="shared" si="29"/>
        <v>1.4173630214615944E-2</v>
      </c>
      <c r="H33" s="4">
        <f>SUMIF('R2'!$B$7:$G$7,B33,'R2'!$B$44:$G$44)</f>
        <v>0.95122942450071424</v>
      </c>
      <c r="I33" s="5">
        <f>SUMIF('R2'!$B$7:$G$7,B33,'R2'!$B$45:$G$45)</f>
        <v>1</v>
      </c>
      <c r="J33" s="13">
        <f t="shared" si="28"/>
        <v>1.0512710963760239</v>
      </c>
      <c r="K33" s="58">
        <f t="shared" si="30"/>
        <v>-2.9554466451491831E-2</v>
      </c>
      <c r="L33" s="27">
        <f>SUMIF('R2'!$B$7:$G$7,B33,'R2'!$B$36:$G$36)</f>
        <v>0.26430810337868738</v>
      </c>
      <c r="M33" s="24">
        <f>SUMIF('R2'!$B$7:$G$7,B33,'R2'!$B$37:$G$37)</f>
        <v>0.73698209791654368</v>
      </c>
      <c r="N33" s="24">
        <f t="shared" si="14"/>
        <v>1.0012902012952312</v>
      </c>
      <c r="O33" s="58"/>
      <c r="P33" s="39">
        <f t="shared" si="20"/>
        <v>2.7883446950570137</v>
      </c>
      <c r="Q33" s="58">
        <f t="shared" si="31"/>
        <v>3.9894057119240732E-3</v>
      </c>
      <c r="R33" s="27">
        <f>SUMIF('R2'!$B$7:$G$7,B33,'R2'!$B$40:$G$40)</f>
        <v>109970.4914349871</v>
      </c>
      <c r="S33" s="58">
        <f t="shared" si="32"/>
        <v>3.2538288677264582E-3</v>
      </c>
      <c r="T33" s="27">
        <f>SUMIF('R2'!$B$7:$G$7,B33,'R2'!$B$41:$G$41)</f>
        <v>141378.67531042109</v>
      </c>
      <c r="U33" s="58">
        <f t="shared" si="33"/>
        <v>-1.0767191160924863E-2</v>
      </c>
      <c r="V33" s="24">
        <f t="shared" si="15"/>
        <v>1.2856055607790209</v>
      </c>
      <c r="W33" s="58">
        <f t="shared" si="34"/>
        <v>-1.3975545993654845E-2</v>
      </c>
      <c r="X33" s="85">
        <f>SUMIF('R2'!$B$7:$G$7,B33,'R2'!$B$52:$G$52)</f>
        <v>78515.190280982453</v>
      </c>
      <c r="Y33" s="58">
        <f t="shared" si="35"/>
        <v>-1.5391800537370617E-2</v>
      </c>
      <c r="Z33" s="85">
        <f>SUMIF('R2'!$B$7:$G$7,B33,'R2'!$B$35:$G$35)</f>
        <v>78616.4906811783</v>
      </c>
      <c r="AA33" s="58">
        <f t="shared" si="36"/>
        <v>-1.5603902678928989E-2</v>
      </c>
    </row>
    <row r="34" spans="1:30" x14ac:dyDescent="0.25">
      <c r="A34" s="98"/>
      <c r="B34" s="31">
        <v>2040</v>
      </c>
      <c r="C34" s="6">
        <f>SUMIF('R2'!$B$7:$G$7,B34,'R2'!$B$42:$G$42)</f>
        <v>18.535789999999999</v>
      </c>
      <c r="D34" s="43">
        <f>SUMIF('R2'!$B$7:$G$7,B34,'R2'!$B$46:$G$46)</f>
        <v>0.93231395090361513</v>
      </c>
      <c r="E34" s="35">
        <f>SUMIF('R2'!$B$7:$G$7,B34,'R2'!$B$47:$G$47)</f>
        <v>0.98848865179879042</v>
      </c>
      <c r="F34" s="50">
        <f t="shared" si="27"/>
        <v>1.0602529875700453</v>
      </c>
      <c r="G34" s="58">
        <f t="shared" si="29"/>
        <v>2.4096696808591622E-2</v>
      </c>
      <c r="H34" s="4">
        <f>SUMIF('R2'!$B$7:$G$7,B34,'R2'!$B$44:$G$44)</f>
        <v>0.96078943915232329</v>
      </c>
      <c r="I34" s="5">
        <f>SUMIF('R2'!$B$7:$G$7,B34,'R2'!$B$45:$G$45)</f>
        <v>1</v>
      </c>
      <c r="J34" s="5">
        <f t="shared" si="28"/>
        <v>1.0408107741923882</v>
      </c>
      <c r="K34" s="58">
        <f t="shared" si="30"/>
        <v>-3.9210560847676684E-2</v>
      </c>
      <c r="L34" s="27">
        <f>SUMIF('R2'!$B$7:$G$7,B34,'R2'!$B$36:$G$36)</f>
        <v>0.26488407236932349</v>
      </c>
      <c r="M34" s="24">
        <f>SUMIF('R2'!$B$7:$G$7,B34,'R2'!$B$37:$G$37)</f>
        <v>1.3707172960241409</v>
      </c>
      <c r="N34" s="24">
        <f t="shared" si="14"/>
        <v>1.6356013683934645</v>
      </c>
      <c r="O34" s="58"/>
      <c r="P34" s="40">
        <f t="shared" si="20"/>
        <v>5.1747818725505415</v>
      </c>
      <c r="Q34" s="58">
        <f t="shared" si="31"/>
        <v>4.0554630655947662E-3</v>
      </c>
      <c r="R34" s="27">
        <f>SUMIF('R2'!$B$7:$G$7,B34,'R2'!$B$40:$G$40)</f>
        <v>202061.67786586171</v>
      </c>
      <c r="S34" s="58">
        <f t="shared" si="32"/>
        <v>7.8008671176779103E-3</v>
      </c>
      <c r="T34" s="27">
        <f>SUMIF('R2'!$B$7:$G$7,B34,'R2'!$B$41:$G$41)</f>
        <v>257254.53889348279</v>
      </c>
      <c r="U34" s="58">
        <f t="shared" si="33"/>
        <v>-1.5912393567615531E-2</v>
      </c>
      <c r="V34" s="24">
        <f t="shared" si="15"/>
        <v>1.273148583197754</v>
      </c>
      <c r="W34" s="58">
        <f t="shared" si="34"/>
        <v>-2.352970855553399E-2</v>
      </c>
      <c r="X34" s="85">
        <f>SUMIF('R2'!$B$7:$G$7,B34,'R2'!$B$52:$G$52)</f>
        <v>146171.64662947349</v>
      </c>
      <c r="Y34" s="58">
        <f t="shared" si="35"/>
        <v>-2.5582463650953527E-2</v>
      </c>
      <c r="Z34" s="85">
        <f>SUMIF('R2'!$B$7:$G$7,B34,'R2'!$B$35:$G$35)</f>
        <v>239078.54524749279</v>
      </c>
      <c r="AA34" s="58">
        <f t="shared" si="36"/>
        <v>-2.5937342389471277E-2</v>
      </c>
    </row>
    <row r="35" spans="1:30" x14ac:dyDescent="0.25">
      <c r="A35" s="98"/>
      <c r="B35" s="31">
        <v>2060</v>
      </c>
      <c r="C35" s="6">
        <f>SUMIF('R2'!$B$7:$G$7,B35,'R2'!$B$42:$G$42)</f>
        <v>18.776509999999998</v>
      </c>
      <c r="D35" s="43">
        <f>SUMIF('R2'!$B$7:$G$7,B35,'R2'!$B$46:$G$46)</f>
        <v>0.92479939883583451</v>
      </c>
      <c r="E35" s="35">
        <f>SUMIF('R2'!$B$7:$G$7,B35,'R2'!$B$47:$G$47)</f>
        <v>0.98540782953795247</v>
      </c>
      <c r="F35" s="50">
        <f t="shared" si="27"/>
        <v>1.0655368405066155</v>
      </c>
      <c r="G35" s="58">
        <f t="shared" si="29"/>
        <v>2.9200362067923341E-2</v>
      </c>
      <c r="H35" s="4">
        <f>SUMIF('R2'!$B$7:$G$7,B35,'R2'!$B$44:$G$44)</f>
        <v>0.97044553354850793</v>
      </c>
      <c r="I35" s="5">
        <f>SUMIF('R2'!$B$7:$G$7,B35,'R2'!$B$45:$G$45)</f>
        <v>1</v>
      </c>
      <c r="J35" s="5">
        <f t="shared" si="28"/>
        <v>1.0304545339535172</v>
      </c>
      <c r="K35" s="58">
        <f t="shared" si="30"/>
        <v>-4.8770575499285589E-2</v>
      </c>
      <c r="L35" s="27">
        <f>SUMIF('R2'!$B$7:$G$7,B35,'R2'!$B$36:$G$36)</f>
        <v>0.24716237661469431</v>
      </c>
      <c r="M35" s="24">
        <f>SUMIF('R2'!$B$7:$G$7,B35,'R2'!$B$37:$G$37)</f>
        <v>2.3764978195532711</v>
      </c>
      <c r="N35" s="24">
        <f t="shared" si="14"/>
        <v>2.6236601961679655</v>
      </c>
      <c r="O35" s="58"/>
      <c r="P35" s="40">
        <f t="shared" si="20"/>
        <v>9.6151277233348278</v>
      </c>
      <c r="Q35" s="58">
        <f t="shared" si="31"/>
        <v>5.318555260287571E-3</v>
      </c>
      <c r="R35" s="27">
        <f>SUMIF('R2'!$B$7:$G$7,B35,'R2'!$B$40:$G$40)</f>
        <v>313473.67840863147</v>
      </c>
      <c r="S35" s="58">
        <f t="shared" si="32"/>
        <v>1.1537625478845395E-2</v>
      </c>
      <c r="T35" s="27">
        <f>SUMIF('R2'!$B$7:$G$7,B35,'R2'!$B$41:$G$41)</f>
        <v>397119.49376054388</v>
      </c>
      <c r="U35" s="58">
        <f t="shared" si="33"/>
        <v>-1.7161611324727471E-2</v>
      </c>
      <c r="V35" s="24">
        <f t="shared" si="15"/>
        <v>1.2668352117362631</v>
      </c>
      <c r="W35" s="58">
        <f t="shared" si="34"/>
        <v>-2.8371892533396378E-2</v>
      </c>
      <c r="X35" s="85">
        <f>SUMIF('R2'!$B$7:$G$7,B35,'R2'!$B$52:$G$52)</f>
        <v>229061.9734536157</v>
      </c>
      <c r="Y35" s="58">
        <f t="shared" si="35"/>
        <v>-2.9879976644273269E-2</v>
      </c>
      <c r="Z35" s="85">
        <f>SUMIF('R2'!$B$7:$G$7,B35,'R2'!$B$35:$G$35)</f>
        <v>600980.78220593464</v>
      </c>
      <c r="AA35" s="58">
        <f t="shared" si="36"/>
        <v>-3.0350156378016024E-2</v>
      </c>
    </row>
    <row r="36" spans="1:30" x14ac:dyDescent="0.25">
      <c r="A36" s="98"/>
      <c r="B36" s="31">
        <v>2080</v>
      </c>
      <c r="C36" s="6">
        <f>SUMIF('R2'!$B$7:$G$7,B36,'R2'!$B$42:$G$42)</f>
        <v>18.875209999999999</v>
      </c>
      <c r="D36" s="43">
        <f>SUMIF('R2'!$B$7:$G$7,B36,'R2'!$B$46:$G$46)</f>
        <v>0.92479939883583451</v>
      </c>
      <c r="E36" s="35">
        <f>SUMIF('R2'!$B$7:$G$7,B36,'R2'!$B$47:$G$47)</f>
        <v>0.98540782953795247</v>
      </c>
      <c r="F36" s="50">
        <f t="shared" si="27"/>
        <v>1.0655368405066155</v>
      </c>
      <c r="G36" s="58">
        <f t="shared" si="29"/>
        <v>2.9200362067923341E-2</v>
      </c>
      <c r="H36" s="4">
        <f>SUMIF('R2'!$B$7:$G$7,B36,'R2'!$B$44:$G$44)</f>
        <v>0.97044553354850793</v>
      </c>
      <c r="I36" s="5">
        <f>SUMIF('R2'!$B$7:$G$7,B36,'R2'!$B$45:$G$45)</f>
        <v>1</v>
      </c>
      <c r="J36" s="5">
        <f t="shared" si="28"/>
        <v>1.0304545339535172</v>
      </c>
      <c r="K36" s="58">
        <f t="shared" si="30"/>
        <v>-4.8770575499285589E-2</v>
      </c>
      <c r="L36" s="27">
        <f>SUMIF('R2'!$B$7:$G$7,B36,'R2'!$B$36:$G$36)</f>
        <v>0.22093436488692819</v>
      </c>
      <c r="M36" s="24">
        <f>SUMIF('R2'!$B$7:$G$7,B36,'R2'!$B$37:$G$37)</f>
        <v>3.9421699660245721</v>
      </c>
      <c r="N36" s="24">
        <f t="shared" si="14"/>
        <v>4.1631043309115006</v>
      </c>
      <c r="O36" s="58"/>
      <c r="P36" s="40">
        <f t="shared" si="20"/>
        <v>17.843172419293541</v>
      </c>
      <c r="Q36" s="58">
        <f t="shared" si="31"/>
        <v>5.3185552602880489E-3</v>
      </c>
      <c r="R36" s="27">
        <f>SUMIF('R2'!$B$7:$G$7,B36,'R2'!$B$40:$G$40)</f>
        <v>437912.28820736823</v>
      </c>
      <c r="S36" s="58">
        <f t="shared" si="32"/>
        <v>1.3403740855640094E-2</v>
      </c>
      <c r="T36" s="27">
        <f>SUMIF('R2'!$B$7:$G$7,B36,'R2'!$B$41:$G$41)</f>
        <v>554762.70635309326</v>
      </c>
      <c r="U36" s="58">
        <f t="shared" si="33"/>
        <v>-1.5348441172856865E-2</v>
      </c>
      <c r="V36" s="24">
        <f t="shared" si="15"/>
        <v>1.2668352117362642</v>
      </c>
      <c r="W36" s="58">
        <f t="shared" si="34"/>
        <v>-2.8371892533395195E-2</v>
      </c>
      <c r="X36" s="85">
        <f>SUMIF('R2'!$B$7:$G$7,B36,'R2'!$B$52:$G$52)</f>
        <v>323488.95960361388</v>
      </c>
      <c r="Y36" s="58">
        <f t="shared" si="35"/>
        <v>-2.8139150892072792E-2</v>
      </c>
      <c r="Z36" s="85">
        <f>SUMIF('R2'!$B$7:$G$7,B36,'R2'!$B$35:$G$35)</f>
        <v>1346718.2887278609</v>
      </c>
      <c r="AA36" s="58">
        <f t="shared" si="36"/>
        <v>-2.8678384475160596E-2</v>
      </c>
    </row>
    <row r="37" spans="1:30" ht="15.75" thickBot="1" x14ac:dyDescent="0.3">
      <c r="A37" s="99"/>
      <c r="B37" s="32">
        <v>2100</v>
      </c>
      <c r="C37" s="9">
        <f>SUMIF('R2'!$B$7:$G$7,B37,'R2'!$B$42:$G$42)</f>
        <v>18.801290000000002</v>
      </c>
      <c r="D37" s="44">
        <f>SUMIF('R2'!$B$7:$G$7,B37,'R2'!$B$46:$G$46)</f>
        <v>0.92479939883583451</v>
      </c>
      <c r="E37" s="36">
        <f>SUMIF('R2'!$B$7:$G$7,B37,'R2'!$B$47:$G$47)</f>
        <v>0.98540782953795247</v>
      </c>
      <c r="F37" s="51">
        <f t="shared" si="27"/>
        <v>1.0655368405066155</v>
      </c>
      <c r="G37" s="59">
        <f t="shared" si="29"/>
        <v>2.9200362067923341E-2</v>
      </c>
      <c r="H37" s="7">
        <f>SUMIF('R2'!$B$7:$G$7,B37,'R2'!$B$44:$G$44)</f>
        <v>0.97044553354850793</v>
      </c>
      <c r="I37" s="8">
        <f>SUMIF('R2'!$B$7:$G$7,B37,'R2'!$B$45:$G$45)</f>
        <v>1</v>
      </c>
      <c r="J37" s="8">
        <f t="shared" si="28"/>
        <v>1.0304545339535172</v>
      </c>
      <c r="K37" s="59">
        <f t="shared" si="30"/>
        <v>-4.8770575499285589E-2</v>
      </c>
      <c r="L37" s="28">
        <f>SUMIF('R2'!$B$7:$G$7,B37,'R2'!$B$36:$G$36)</f>
        <v>0.19244805777208601</v>
      </c>
      <c r="M37" s="25">
        <f>SUMIF('R2'!$B$7:$G$7,B37,'R2'!$B$37:$G$37)</f>
        <v>6.3723939858904144</v>
      </c>
      <c r="N37" s="25">
        <f t="shared" si="14"/>
        <v>6.5648420436625008</v>
      </c>
      <c r="O37" s="59"/>
      <c r="P37" s="41">
        <f t="shared" si="20"/>
        <v>33.112280059678056</v>
      </c>
      <c r="Q37" s="59">
        <f t="shared" si="31"/>
        <v>5.3185552602874921E-3</v>
      </c>
      <c r="R37" s="33">
        <f>SUMIF('R2'!$B$7:$G$7,B37,'R2'!$B$40:$G$40)</f>
        <v>575867.31073854619</v>
      </c>
      <c r="S37" s="59">
        <f t="shared" si="32"/>
        <v>1.4465349115794897E-2</v>
      </c>
      <c r="T37" s="28">
        <f>SUMIF('R2'!$B$7:$G$7,B37,'R2'!$B$41:$G$41)</f>
        <v>729528.98653145926</v>
      </c>
      <c r="U37" s="59">
        <f t="shared" si="33"/>
        <v>-1.4316952748171848E-2</v>
      </c>
      <c r="V37" s="25">
        <f t="shared" si="15"/>
        <v>1.2668352117362642</v>
      </c>
      <c r="W37" s="59">
        <f t="shared" si="34"/>
        <v>-2.8371892533395362E-2</v>
      </c>
      <c r="X37" s="86">
        <f>SUMIF('R2'!$B$7:$G$7,B37,'R2'!$B$52:$G$52)</f>
        <v>428052.93529418542</v>
      </c>
      <c r="Y37" s="59">
        <f t="shared" si="35"/>
        <v>-2.7150929818056464E-2</v>
      </c>
      <c r="Z37" s="86">
        <f>SUMIF('R2'!$B$7:$G$7,B37,'R2'!$B$35:$G$35)</f>
        <v>2810099.9065324119</v>
      </c>
      <c r="AA37" s="59">
        <f t="shared" si="36"/>
        <v>-2.7729136856751067E-2</v>
      </c>
    </row>
    <row r="38" spans="1:30" x14ac:dyDescent="0.25">
      <c r="A38" s="94" t="s">
        <v>6</v>
      </c>
      <c r="B38" s="21">
        <v>2000</v>
      </c>
      <c r="C38" s="3">
        <f>SUMIF('R3'!$B$7:$G$7,B38,'R3'!$B$17:$G$17)</f>
        <v>15.19354</v>
      </c>
      <c r="D38" s="42">
        <f>SUMIF('R3'!$B$7:$G$7,B38,'R3'!$B$21:$G$21)</f>
        <v>1</v>
      </c>
      <c r="E38" s="34">
        <f>SUMIF('R3'!$B$7:$G$7,B38,'R3'!$B$22:$G$22)</f>
        <v>1</v>
      </c>
      <c r="F38" s="45">
        <f>E38/D38</f>
        <v>1</v>
      </c>
      <c r="G38" s="53"/>
      <c r="H38" s="1">
        <f>SUMIF('R3'!$B$7:$G$7,B38,'R3'!$B$19:$G$19)</f>
        <v>0.81873075307798171</v>
      </c>
      <c r="I38" s="2">
        <f>SUMIF('R3'!$B$7:$G$7,B38,'R3'!$B$20:$G$20)</f>
        <v>1</v>
      </c>
      <c r="J38" s="2">
        <f>I38/H38</f>
        <v>1.2214027581601701</v>
      </c>
      <c r="K38" s="53"/>
      <c r="L38" s="26">
        <f>SUMIF('R3'!$B$7:$G$7,B38,'R3'!$B$11:$G$11)</f>
        <v>0.75821948022449992</v>
      </c>
      <c r="M38" s="24">
        <f>SUMIF('R3'!$B$7:$G$7,B38,'R3'!$B$12:$G$12)</f>
        <v>1.1347370987379</v>
      </c>
      <c r="N38" s="23">
        <f t="shared" si="14"/>
        <v>1.8929565789623999</v>
      </c>
      <c r="O38" s="53"/>
      <c r="P38" s="38">
        <f t="shared" si="20"/>
        <v>1.4965813044026746</v>
      </c>
      <c r="Q38" s="53"/>
      <c r="R38" s="26">
        <f>SUMIF('R3'!$B$7:$G$7,B38,'R3'!$B$15:$G$15)</f>
        <v>44364.207815122681</v>
      </c>
      <c r="S38" s="53"/>
      <c r="T38" s="26">
        <f>SUMIF('R3'!$B$7:$G$7,B38,'R3'!$B$16:$G$16)</f>
        <v>60345.050465605484</v>
      </c>
      <c r="U38" s="53"/>
      <c r="V38" s="23">
        <f t="shared" si="15"/>
        <v>1.3602192721907529</v>
      </c>
      <c r="W38" s="53"/>
      <c r="X38" s="84">
        <f>SUMIF('R3'!$B$7:$G$7,B38,'R3'!$B$27:$G$27)</f>
        <v>18427.26254075639</v>
      </c>
      <c r="Y38" s="53"/>
      <c r="Z38" s="84">
        <f>SUMIF('R3'!$B$7:$G$7,B38,'R3'!$B$10:$G$10)</f>
        <v>60884.568329200003</v>
      </c>
      <c r="AA38" s="53"/>
      <c r="AB38" s="5"/>
      <c r="AC38" s="5"/>
      <c r="AD38" s="5"/>
    </row>
    <row r="39" spans="1:30" s="10" customFormat="1" x14ac:dyDescent="0.25">
      <c r="A39" s="95"/>
      <c r="B39" s="31">
        <v>2020</v>
      </c>
      <c r="C39" s="14">
        <f>SUMIF('R3'!$B$7:$G$7,B39,'R3'!$B$17:$G$17)</f>
        <v>15.19354</v>
      </c>
      <c r="D39" s="43">
        <f>SUMIF('R3'!$B$7:$G$7,B39,'R3'!$B$21:$G$21)</f>
        <v>0.99826693183986537</v>
      </c>
      <c r="E39" s="35">
        <f>SUMIF('R3'!$B$7:$G$7,B39,'R3'!$B$22:$G$22)</f>
        <v>0.99066394502072841</v>
      </c>
      <c r="F39" s="46">
        <f t="shared" ref="F39:F49" si="37">E39/D39</f>
        <v>0.99238381381107732</v>
      </c>
      <c r="G39" s="54"/>
      <c r="H39" s="4">
        <f>SUMIF('R3'!$B$7:$G$7,B39,'R3'!$B$19:$G$19)</f>
        <v>0.81873075307798171</v>
      </c>
      <c r="I39" s="5">
        <f>SUMIF('R3'!$B$7:$G$7,B39,'R3'!$B$20:$G$20)</f>
        <v>1</v>
      </c>
      <c r="J39" s="5">
        <f t="shared" ref="J39:J49" si="38">I39/H39</f>
        <v>1.2214027581601701</v>
      </c>
      <c r="K39" s="55"/>
      <c r="L39" s="27">
        <f>SUMIF('R3'!$B$7:$G$7,B39,'R3'!$B$11:$G$11)</f>
        <v>0.84203325471364565</v>
      </c>
      <c r="M39" s="24">
        <f>SUMIF('R3'!$B$7:$G$7,B39,'R3'!$B$12:$G$12)</f>
        <v>2.3385495359659849</v>
      </c>
      <c r="N39" s="24">
        <f t="shared" si="14"/>
        <v>3.1805827906796305</v>
      </c>
      <c r="O39" s="55"/>
      <c r="P39" s="39">
        <f t="shared" si="20"/>
        <v>2.7772650579712161</v>
      </c>
      <c r="Q39" s="55"/>
      <c r="R39" s="27">
        <f>SUMIF('R3'!$B$7:$G$7,B39,'R3'!$B$15:$G$15)</f>
        <v>108634.0552435243</v>
      </c>
      <c r="S39" s="55"/>
      <c r="T39" s="27">
        <f>SUMIF('R3'!$B$7:$G$7,B39,'R3'!$B$16:$G$16)</f>
        <v>147766.1355584767</v>
      </c>
      <c r="U39" s="55"/>
      <c r="V39" s="24">
        <f t="shared" si="15"/>
        <v>1.3602192721907531</v>
      </c>
      <c r="W39" s="55"/>
      <c r="X39" s="85">
        <f>SUMIF('R3'!$B$7:$G$7,B39,'R3'!$B$27:$G$27)</f>
        <v>81805.240320235811</v>
      </c>
      <c r="Y39" s="55"/>
      <c r="Z39" s="85">
        <f>SUMIF('R3'!$B$7:$G$7,B39,'R3'!$B$10:$G$10)</f>
        <v>260188.3395499535</v>
      </c>
      <c r="AA39" s="55"/>
      <c r="AB39" s="13"/>
      <c r="AC39" s="13"/>
      <c r="AD39" s="13"/>
    </row>
    <row r="40" spans="1:30" x14ac:dyDescent="0.25">
      <c r="A40" s="95"/>
      <c r="B40" s="31">
        <v>2040</v>
      </c>
      <c r="C40" s="6">
        <f>SUMIF('R3'!$B$7:$G$7,B40,'R3'!$B$17:$G$17)</f>
        <v>15.19354</v>
      </c>
      <c r="D40" s="43">
        <f>SUMIF('R3'!$B$7:$G$7,B40,'R3'!$B$21:$G$21)</f>
        <v>0.99826693183986537</v>
      </c>
      <c r="E40" s="35">
        <f>SUMIF('R3'!$B$7:$G$7,B40,'R3'!$B$22:$G$22)</f>
        <v>0.99066394502072841</v>
      </c>
      <c r="F40" s="47">
        <f t="shared" si="37"/>
        <v>0.99238381381107732</v>
      </c>
      <c r="G40" s="55"/>
      <c r="H40" s="4">
        <f>SUMIF('R3'!$B$7:$G$7,B40,'R3'!$B$19:$G$19)</f>
        <v>0.81873075307798171</v>
      </c>
      <c r="I40" s="5">
        <f>SUMIF('R3'!$B$7:$G$7,B40,'R3'!$B$20:$G$20)</f>
        <v>1</v>
      </c>
      <c r="J40" s="5">
        <f t="shared" si="38"/>
        <v>1.2214027581601701</v>
      </c>
      <c r="K40" s="55"/>
      <c r="L40" s="27">
        <f>SUMIF('R3'!$B$7:$G$7,B40,'R3'!$B$11:$G$11)</f>
        <v>0.84438357616233595</v>
      </c>
      <c r="M40" s="24">
        <f>SUMIF('R3'!$B$7:$G$7,B40,'R3'!$B$12:$G$12)</f>
        <v>4.3518520481560241</v>
      </c>
      <c r="N40" s="24">
        <f t="shared" si="14"/>
        <v>5.1962356243183603</v>
      </c>
      <c r="O40" s="55"/>
      <c r="P40" s="40">
        <f t="shared" si="20"/>
        <v>5.1538805005361263</v>
      </c>
      <c r="Q40" s="55"/>
      <c r="R40" s="27">
        <f>SUMIF('R3'!$B$7:$G$7,B40,'R3'!$B$15:$G$15)</f>
        <v>196040.7048850698</v>
      </c>
      <c r="S40" s="55"/>
      <c r="T40" s="27">
        <f>SUMIF('R3'!$B$7:$G$7,B40,'R3'!$B$16:$G$16)</f>
        <v>266658.34491853189</v>
      </c>
      <c r="U40" s="55"/>
      <c r="V40" s="24">
        <f t="shared" si="15"/>
        <v>1.3602192721907531</v>
      </c>
      <c r="W40" s="55"/>
      <c r="X40" s="85">
        <f>SUMIF('R3'!$B$7:$G$7,B40,'R3'!$B$27:$G$27)</f>
        <v>151825.70616905531</v>
      </c>
      <c r="Y40" s="55"/>
      <c r="Z40" s="85">
        <f>SUMIF('R3'!$B$7:$G$7,B40,'R3'!$B$10:$G$10)</f>
        <v>788922.14308293711</v>
      </c>
      <c r="AA40" s="55"/>
      <c r="AB40" s="5"/>
      <c r="AC40" s="5"/>
      <c r="AD40" s="5"/>
    </row>
    <row r="41" spans="1:30" x14ac:dyDescent="0.25">
      <c r="A41" s="95"/>
      <c r="B41" s="31">
        <v>2060</v>
      </c>
      <c r="C41" s="6">
        <f>SUMIF('R3'!$B$7:$G$7,B41,'R3'!$B$17:$G$17)</f>
        <v>15.19354</v>
      </c>
      <c r="D41" s="43">
        <f>SUMIF('R3'!$B$7:$G$7,B41,'R3'!$B$21:$G$21)</f>
        <v>0.99826693183986537</v>
      </c>
      <c r="E41" s="35">
        <f>SUMIF('R3'!$B$7:$G$7,B41,'R3'!$B$22:$G$22)</f>
        <v>0.99066394502072841</v>
      </c>
      <c r="F41" s="47">
        <f t="shared" si="37"/>
        <v>0.99238381381107732</v>
      </c>
      <c r="G41" s="55"/>
      <c r="H41" s="4">
        <f>SUMIF('R3'!$B$7:$G$7,B41,'R3'!$B$19:$G$19)</f>
        <v>0.81873075307798171</v>
      </c>
      <c r="I41" s="5">
        <f>SUMIF('R3'!$B$7:$G$7,B41,'R3'!$B$20:$G$20)</f>
        <v>1</v>
      </c>
      <c r="J41" s="5">
        <f t="shared" si="38"/>
        <v>1.2214027581601701</v>
      </c>
      <c r="K41" s="55"/>
      <c r="L41" s="27">
        <f>SUMIF('R3'!$B$7:$G$7,B41,'R3'!$B$11:$G$11)</f>
        <v>0.78910033751592634</v>
      </c>
      <c r="M41" s="24">
        <f>SUMIF('R3'!$B$7:$G$7,B41,'R3'!$B$12:$G$12)</f>
        <v>7.547160541344847</v>
      </c>
      <c r="N41" s="24">
        <f t="shared" si="14"/>
        <v>8.3362608788607737</v>
      </c>
      <c r="O41" s="55"/>
      <c r="P41" s="40">
        <f t="shared" si="20"/>
        <v>9.5642596797045769</v>
      </c>
      <c r="Q41" s="55"/>
      <c r="R41" s="27">
        <f>SUMIF('R3'!$B$7:$G$7,B41,'R3'!$B$15:$G$15)</f>
        <v>300439.14844479109</v>
      </c>
      <c r="S41" s="55"/>
      <c r="T41" s="27">
        <f>SUMIF('R3'!$B$7:$G$7,B41,'R3'!$B$16:$G$16)</f>
        <v>408663.11983518308</v>
      </c>
      <c r="U41" s="55"/>
      <c r="V41" s="24">
        <f t="shared" si="15"/>
        <v>1.3602192721907522</v>
      </c>
      <c r="W41" s="55"/>
      <c r="X41" s="85">
        <f>SUMIF('R3'!$B$7:$G$7,B41,'R3'!$B$27:$G$27)</f>
        <v>236949.20004547</v>
      </c>
      <c r="Y41" s="55"/>
      <c r="Z41" s="85">
        <f>SUMIF('R3'!$B$7:$G$7,B41,'R3'!$B$10:$G$10)</f>
        <v>1975270.3466164069</v>
      </c>
      <c r="AA41" s="55"/>
      <c r="AB41" s="5"/>
      <c r="AC41" s="5"/>
      <c r="AD41" s="5"/>
    </row>
    <row r="42" spans="1:30" x14ac:dyDescent="0.25">
      <c r="A42" s="95"/>
      <c r="B42" s="31">
        <v>2080</v>
      </c>
      <c r="C42" s="6">
        <f>SUMIF('R3'!$B$7:$G$7,B42,'R3'!$B$17:$G$17)</f>
        <v>15.19354</v>
      </c>
      <c r="D42" s="43">
        <f>SUMIF('R3'!$B$7:$G$7,B42,'R3'!$B$21:$G$21)</f>
        <v>0.99826693183986537</v>
      </c>
      <c r="E42" s="35">
        <f>SUMIF('R3'!$B$7:$G$7,B42,'R3'!$B$22:$G$22)</f>
        <v>0.99066394502072841</v>
      </c>
      <c r="F42" s="47">
        <f t="shared" si="37"/>
        <v>0.99238381381107732</v>
      </c>
      <c r="G42" s="55"/>
      <c r="H42" s="4">
        <f>SUMIF('R3'!$B$7:$G$7,B42,'R3'!$B$19:$G$19)</f>
        <v>0.81873075307798171</v>
      </c>
      <c r="I42" s="5">
        <f>SUMIF('R3'!$B$7:$G$7,B42,'R3'!$B$20:$G$20)</f>
        <v>1</v>
      </c>
      <c r="J42" s="5">
        <f t="shared" si="38"/>
        <v>1.2214027581601701</v>
      </c>
      <c r="K42" s="55"/>
      <c r="L42" s="27">
        <f>SUMIF('R3'!$B$7:$G$7,B42,'R3'!$B$11:$G$11)</f>
        <v>0.70556757584061891</v>
      </c>
      <c r="M42" s="24">
        <f>SUMIF('R3'!$B$7:$G$7,B42,'R3'!$B$12:$G$12)</f>
        <v>12.522959855175021</v>
      </c>
      <c r="N42" s="24">
        <f t="shared" si="14"/>
        <v>13.228527431015639</v>
      </c>
      <c r="O42" s="55"/>
      <c r="P42" s="40">
        <f t="shared" si="20"/>
        <v>17.748774580882724</v>
      </c>
      <c r="Q42" s="55"/>
      <c r="R42" s="27">
        <f>SUMIF('R3'!$B$7:$G$7,B42,'R3'!$B$15:$G$15)</f>
        <v>416829.90615871153</v>
      </c>
      <c r="S42" s="55"/>
      <c r="T42" s="27">
        <f>SUMIF('R3'!$B$7:$G$7,B42,'R3'!$B$16:$G$16)</f>
        <v>566980.07158254273</v>
      </c>
      <c r="U42" s="55"/>
      <c r="V42" s="24">
        <f t="shared" si="15"/>
        <v>1.3602192721907536</v>
      </c>
      <c r="W42" s="55"/>
      <c r="X42" s="85">
        <f>SUMIF('R3'!$B$7:$G$7,B42,'R3'!$B$27:$G$27)</f>
        <v>332353.18970149761</v>
      </c>
      <c r="Y42" s="55"/>
      <c r="Z42" s="85">
        <f>SUMIF('R3'!$B$7:$G$7,B42,'R3'!$B$10:$G$10)</f>
        <v>4396543.2867518058</v>
      </c>
      <c r="AA42" s="55"/>
      <c r="AB42" s="5"/>
      <c r="AC42" s="5"/>
      <c r="AD42" s="5"/>
    </row>
    <row r="43" spans="1:30" ht="15.75" thickBot="1" x14ac:dyDescent="0.3">
      <c r="A43" s="96"/>
      <c r="B43" s="32">
        <v>2100</v>
      </c>
      <c r="C43" s="9">
        <f>SUMIF('R3'!$B$7:$G$7,B43,'R3'!$B$17:$G$17)</f>
        <v>15.19354</v>
      </c>
      <c r="D43" s="44">
        <f>SUMIF('R3'!$B$7:$G$7,B43,'R3'!$B$21:$G$21)</f>
        <v>0.99826693183986537</v>
      </c>
      <c r="E43" s="36">
        <f>SUMIF('R3'!$B$7:$G$7,B43,'R3'!$B$22:$G$22)</f>
        <v>0.99066394502072841</v>
      </c>
      <c r="F43" s="48">
        <f t="shared" si="37"/>
        <v>0.99238381381107732</v>
      </c>
      <c r="G43" s="56"/>
      <c r="H43" s="7">
        <f>SUMIF('R3'!$B$7:$G$7,B43,'R3'!$B$19:$G$19)</f>
        <v>0.81873075307798171</v>
      </c>
      <c r="I43" s="8">
        <f>SUMIF('R3'!$B$7:$G$7,B43,'R3'!$B$20:$G$20)</f>
        <v>1</v>
      </c>
      <c r="J43" s="8">
        <f t="shared" si="38"/>
        <v>1.2214027581601701</v>
      </c>
      <c r="K43" s="56"/>
      <c r="L43" s="28">
        <f>SUMIF('R3'!$B$7:$G$7,B43,'R3'!$B$11:$G$11)</f>
        <v>0.61469671861714426</v>
      </c>
      <c r="M43" s="25">
        <f>SUMIF('R3'!$B$7:$G$7,B43,'R3'!$B$12:$G$12)</f>
        <v>20.246328680709709</v>
      </c>
      <c r="N43" s="25">
        <f t="shared" si="14"/>
        <v>20.861025399326852</v>
      </c>
      <c r="O43" s="56"/>
      <c r="P43" s="41">
        <f t="shared" si="20"/>
        <v>32.937102261188201</v>
      </c>
      <c r="Q43" s="56"/>
      <c r="R43" s="28">
        <f>SUMIF('R3'!$B$7:$G$7,B43,'R3'!$B$15:$G$15)</f>
        <v>546011.19105995714</v>
      </c>
      <c r="S43" s="56"/>
      <c r="T43" s="28">
        <f>SUMIF('R3'!$B$7:$G$7,B43,'R3'!$B$16:$G$16)</f>
        <v>742694.94491158111</v>
      </c>
      <c r="U43" s="56"/>
      <c r="V43" s="25">
        <f t="shared" si="15"/>
        <v>1.3602192721907531</v>
      </c>
      <c r="W43" s="56"/>
      <c r="X43" s="86">
        <f>SUMIF('R3'!$B$7:$G$7,B43,'R3'!$B$27:$G$27)</f>
        <v>438085.19861956878</v>
      </c>
      <c r="Y43" s="56"/>
      <c r="Z43" s="86">
        <f>SUMIF('R3'!$B$7:$G$7,B43,'R3'!$B$10:$G$10)</f>
        <v>9138906.4554719739</v>
      </c>
      <c r="AA43" s="56"/>
      <c r="AB43" s="5"/>
      <c r="AC43" s="5"/>
      <c r="AD43" s="5"/>
    </row>
    <row r="44" spans="1:30" x14ac:dyDescent="0.25">
      <c r="A44" s="94" t="str">
        <f>'R3'!B1</f>
        <v>Free State</v>
      </c>
      <c r="B44" s="21">
        <v>2000</v>
      </c>
      <c r="C44" s="3">
        <f>SUMIF('R3'!$B$7:$G$7,B44,'R3'!$B$42:$G$42)</f>
        <v>15.19354</v>
      </c>
      <c r="D44" s="42">
        <f>SUMIF('R3'!$B$7:$G$7,B44,'R3'!$B$46:$G$46)</f>
        <v>1</v>
      </c>
      <c r="E44" s="34">
        <f>SUMIF('R3'!$B$7:$G$7,B44,'R3'!$B$47:$G$47)</f>
        <v>1</v>
      </c>
      <c r="F44" s="49">
        <f t="shared" si="37"/>
        <v>1</v>
      </c>
      <c r="G44" s="57">
        <f t="shared" ref="G44:G49" si="39">(F44-$F38)/$F38</f>
        <v>0</v>
      </c>
      <c r="H44" s="1">
        <f>SUMIF('R3'!$B$7:$G$7,B44,'R3'!$B$44:$G$44)</f>
        <v>0.81873075307798171</v>
      </c>
      <c r="I44" s="2">
        <f>SUMIF('R3'!$B$7:$G$7,B44,'R3'!$B$45:$G$45)</f>
        <v>1</v>
      </c>
      <c r="J44" s="2">
        <f t="shared" si="38"/>
        <v>1.2214027581601701</v>
      </c>
      <c r="K44" s="57">
        <f t="shared" ref="K44:K49" si="40">(J44-$J38)/$J38</f>
        <v>0</v>
      </c>
      <c r="L44" s="26">
        <f>SUMIF('R3'!$B$7:$G$7,B44,'R3'!$B$36:$G$36)</f>
        <v>0.75821948022449992</v>
      </c>
      <c r="M44" s="23">
        <f>SUMIF('R3'!$B$7:$G$7,B44,'R3'!$B$37:$G$37)</f>
        <v>1.1347370987379</v>
      </c>
      <c r="N44" s="23">
        <f t="shared" si="14"/>
        <v>1.8929565789623999</v>
      </c>
      <c r="O44" s="57"/>
      <c r="P44" s="38">
        <f t="shared" si="20"/>
        <v>1.4965813044026746</v>
      </c>
      <c r="Q44" s="57">
        <f t="shared" ref="Q44:Q49" si="41">(P44-$P38)/$P38</f>
        <v>0</v>
      </c>
      <c r="R44" s="26">
        <f>SUMIF('R3'!$B$7:$G$7,B44,'R3'!$B$40:$G$40)</f>
        <v>44364.207815122681</v>
      </c>
      <c r="S44" s="57">
        <f t="shared" ref="S44:S49" si="42">(R44-$R38)/$R38</f>
        <v>0</v>
      </c>
      <c r="T44" s="26">
        <f>SUMIF('R3'!$B$7:$G$7,B44,'R3'!$B$41:$G$41)</f>
        <v>60345.050465605484</v>
      </c>
      <c r="U44" s="57">
        <f t="shared" ref="U44:U49" si="43">(T44-$T38)/$T38</f>
        <v>0</v>
      </c>
      <c r="V44" s="23">
        <f t="shared" si="15"/>
        <v>1.3602192721907529</v>
      </c>
      <c r="W44" s="57">
        <f t="shared" ref="W44:W49" si="44">(V44-$V38)/$V38</f>
        <v>0</v>
      </c>
      <c r="X44" s="84">
        <f>SUMIF('R3'!$B$7:$G$7,B44,'R3'!$B$52:$G$52)</f>
        <v>18427.26254075639</v>
      </c>
      <c r="Y44" s="57">
        <f t="shared" ref="Y44:Y49" si="45">(X44-$X38)/$X38</f>
        <v>0</v>
      </c>
      <c r="Z44" s="84">
        <f>SUMIF('R3'!$B$7:$G$7,B44,'R3'!$B$35:$G$35)</f>
        <v>60884.568329200003</v>
      </c>
      <c r="AA44" s="57">
        <f t="shared" ref="AA44:AA49" si="46">(Z44-$Z38)/$Z38</f>
        <v>0</v>
      </c>
      <c r="AB44" s="5"/>
      <c r="AC44" s="5"/>
      <c r="AD44" s="5"/>
    </row>
    <row r="45" spans="1:30" x14ac:dyDescent="0.25">
      <c r="A45" s="95"/>
      <c r="B45" s="31">
        <v>2020</v>
      </c>
      <c r="C45" s="14">
        <f>SUMIF('R3'!$B$7:$G$7,B45,'R3'!$B$42:$G$42)</f>
        <v>15.944699999999999</v>
      </c>
      <c r="D45" s="43">
        <f>SUMIF('R3'!$B$7:$G$7,B45,'R3'!$B$46:$G$46)</f>
        <v>0.99257987162312367</v>
      </c>
      <c r="E45" s="35">
        <f>SUMIF('R3'!$B$7:$G$7,B45,'R3'!$B$47:$G$47)</f>
        <v>0.99687617775686799</v>
      </c>
      <c r="F45" s="50">
        <f t="shared" si="37"/>
        <v>1.0043284235924699</v>
      </c>
      <c r="G45" s="58">
        <f t="shared" si="39"/>
        <v>1.2036280333434058E-2</v>
      </c>
      <c r="H45" s="4">
        <f>SUMIF('R3'!$B$7:$G$7,B45,'R3'!$B$44:$G$44)</f>
        <v>0.86070797642505747</v>
      </c>
      <c r="I45" s="5">
        <f>SUMIF('R3'!$B$7:$G$7,B45,'R3'!$B$45:$G$45)</f>
        <v>1</v>
      </c>
      <c r="J45" s="13">
        <f t="shared" si="38"/>
        <v>1.1618342427282835</v>
      </c>
      <c r="K45" s="58">
        <f t="shared" si="40"/>
        <v>-4.8770575499285866E-2</v>
      </c>
      <c r="L45" s="27">
        <f>SUMIF('R3'!$B$7:$G$7,B45,'R3'!$B$36:$G$36)</f>
        <v>0.83572987155403644</v>
      </c>
      <c r="M45" s="24">
        <f>SUMIF('R3'!$B$7:$G$7,B45,'R3'!$B$37:$G$37)</f>
        <v>2.3432191943594809</v>
      </c>
      <c r="N45" s="24">
        <f t="shared" si="14"/>
        <v>3.1789490659135176</v>
      </c>
      <c r="O45" s="58"/>
      <c r="P45" s="39">
        <f t="shared" si="20"/>
        <v>2.8037997373508667</v>
      </c>
      <c r="Q45" s="58">
        <f t="shared" si="41"/>
        <v>9.554248091478203E-3</v>
      </c>
      <c r="R45" s="27">
        <f>SUMIF('R3'!$B$7:$G$7,B45,'R3'!$B$40:$G$40)</f>
        <v>110099.6052184164</v>
      </c>
      <c r="S45" s="58">
        <f t="shared" si="42"/>
        <v>1.3490704840271173E-2</v>
      </c>
      <c r="T45" s="27">
        <f>SUMIF('R3'!$B$7:$G$7,B45,'R3'!$B$41:$G$41)</f>
        <v>147978.49423870721</v>
      </c>
      <c r="U45" s="58">
        <f t="shared" si="43"/>
        <v>1.4371268452538553E-3</v>
      </c>
      <c r="V45" s="24">
        <f t="shared" si="15"/>
        <v>1.3440420058286893</v>
      </c>
      <c r="W45" s="58">
        <f t="shared" si="44"/>
        <v>-1.1893131271408126E-2</v>
      </c>
      <c r="X45" s="85">
        <f>SUMIF('R3'!$B$7:$G$7,B45,'R3'!$B$52:$G$52)</f>
        <v>82478.890231537254</v>
      </c>
      <c r="Y45" s="58">
        <f t="shared" si="45"/>
        <v>8.234801446268784E-3</v>
      </c>
      <c r="Z45" s="85">
        <f>SUMIF('R3'!$B$7:$G$7,B45,'R3'!$B$35:$G$35)</f>
        <v>262196.19105912891</v>
      </c>
      <c r="AA45" s="58">
        <f t="shared" si="46"/>
        <v>7.7169158027926227E-3</v>
      </c>
      <c r="AB45" s="5"/>
      <c r="AC45" s="5"/>
      <c r="AD45" s="5"/>
    </row>
    <row r="46" spans="1:30" x14ac:dyDescent="0.25">
      <c r="A46" s="95"/>
      <c r="B46" s="31">
        <v>2040</v>
      </c>
      <c r="C46" s="6">
        <f>SUMIF('R3'!$B$7:$G$7,B46,'R3'!$B$42:$G$42)</f>
        <v>16.16488</v>
      </c>
      <c r="D46" s="43">
        <f>SUMIF('R3'!$B$7:$G$7,B46,'R3'!$B$46:$G$46)</f>
        <v>0.98981601150395304</v>
      </c>
      <c r="E46" s="35">
        <f>SUMIF('R3'!$B$7:$G$7,B46,'R3'!$B$47:$G$47)</f>
        <v>0.99821170661870895</v>
      </c>
      <c r="F46" s="50">
        <f t="shared" si="37"/>
        <v>1.0084820764840925</v>
      </c>
      <c r="G46" s="58">
        <f t="shared" si="39"/>
        <v>1.6221811005958067E-2</v>
      </c>
      <c r="H46" s="4">
        <f>SUMIF('R3'!$B$7:$G$7,B46,'R3'!$B$44:$G$44)</f>
        <v>0.8693582353988053</v>
      </c>
      <c r="I46" s="5">
        <f>SUMIF('R3'!$B$7:$G$7,B46,'R3'!$B$45:$G$45)</f>
        <v>1</v>
      </c>
      <c r="J46" s="5">
        <f t="shared" si="38"/>
        <v>1.150273798857228</v>
      </c>
      <c r="K46" s="58">
        <f t="shared" si="40"/>
        <v>-5.8235466415750857E-2</v>
      </c>
      <c r="L46" s="27">
        <f>SUMIF('R3'!$B$7:$G$7,B46,'R3'!$B$36:$G$36)</f>
        <v>0.83588323739621484</v>
      </c>
      <c r="M46" s="24">
        <f>SUMIF('R3'!$B$7:$G$7,B46,'R3'!$B$37:$G$37)</f>
        <v>4.3555925869945424</v>
      </c>
      <c r="N46" s="24">
        <f t="shared" si="14"/>
        <v>5.1914758243907571</v>
      </c>
      <c r="O46" s="58"/>
      <c r="P46" s="40">
        <f t="shared" si="20"/>
        <v>5.210766758001105</v>
      </c>
      <c r="Q46" s="58">
        <f t="shared" si="41"/>
        <v>1.1037558488028804E-2</v>
      </c>
      <c r="R46" s="27">
        <f>SUMIF('R3'!$B$7:$G$7,B46,'R3'!$B$40:$G$40)</f>
        <v>199965.0871730627</v>
      </c>
      <c r="S46" s="58">
        <f t="shared" si="42"/>
        <v>2.0018201272504033E-2</v>
      </c>
      <c r="T46" s="27">
        <f>SUMIF('R3'!$B$7:$G$7,B46,'R3'!$B$41:$G$41)</f>
        <v>267654.52423113672</v>
      </c>
      <c r="U46" s="58">
        <f t="shared" si="43"/>
        <v>3.735789003374998E-3</v>
      </c>
      <c r="V46" s="24">
        <f t="shared" si="15"/>
        <v>1.3385062763455864</v>
      </c>
      <c r="W46" s="58">
        <f t="shared" si="44"/>
        <v>-1.5962864435964088E-2</v>
      </c>
      <c r="X46" s="85">
        <f>SUMIF('R3'!$B$7:$G$7,B46,'R3'!$B$52:$G$52)</f>
        <v>153615.7995934631</v>
      </c>
      <c r="Y46" s="58">
        <f t="shared" si="45"/>
        <v>1.1790450178539306E-2</v>
      </c>
      <c r="Z46" s="85">
        <f>SUMIF('R3'!$B$7:$G$7,B46,'R3'!$B$35:$G$35)</f>
        <v>797492.70983391907</v>
      </c>
      <c r="AA46" s="58">
        <f t="shared" si="46"/>
        <v>1.0863640761165659E-2</v>
      </c>
      <c r="AB46" s="5"/>
      <c r="AC46" s="5"/>
      <c r="AD46" s="5"/>
    </row>
    <row r="47" spans="1:30" x14ac:dyDescent="0.25">
      <c r="A47" s="95"/>
      <c r="B47" s="31">
        <v>2060</v>
      </c>
      <c r="C47" s="6">
        <f>SUMIF('R3'!$B$7:$G$7,B47,'R3'!$B$42:$G$42)</f>
        <v>16.470389999999998</v>
      </c>
      <c r="D47" s="43">
        <f>SUMIF('R3'!$B$7:$G$7,B47,'R3'!$B$46:$G$46)</f>
        <v>0.98662331045525986</v>
      </c>
      <c r="E47" s="35">
        <f>SUMIF('R3'!$B$7:$G$7,B47,'R3'!$B$47:$G$47)</f>
        <v>0.99917794151496531</v>
      </c>
      <c r="F47" s="50">
        <f t="shared" si="37"/>
        <v>1.0127248473927828</v>
      </c>
      <c r="G47" s="58">
        <f t="shared" si="39"/>
        <v>2.0497143644039567E-2</v>
      </c>
      <c r="H47" s="4">
        <f>SUMIF('R3'!$B$7:$G$7,B47,'R3'!$B$44:$G$44)</f>
        <v>0.87809543092056142</v>
      </c>
      <c r="I47" s="5">
        <f>SUMIF('R3'!$B$7:$G$7,B47,'R3'!$B$45:$G$45)</f>
        <v>1</v>
      </c>
      <c r="J47" s="5">
        <f t="shared" si="38"/>
        <v>1.1388283833246218</v>
      </c>
      <c r="K47" s="58">
        <f t="shared" si="40"/>
        <v>-6.7606180094052004E-2</v>
      </c>
      <c r="L47" s="27">
        <f>SUMIF('R3'!$B$7:$G$7,B47,'R3'!$B$36:$G$36)</f>
        <v>0.77933250755278727</v>
      </c>
      <c r="M47" s="24">
        <f>SUMIF('R3'!$B$7:$G$7,B47,'R3'!$B$37:$G$37)</f>
        <v>7.5469479743613039</v>
      </c>
      <c r="N47" s="24">
        <f t="shared" si="14"/>
        <v>8.3262804819140914</v>
      </c>
      <c r="O47" s="58"/>
      <c r="P47" s="40">
        <f t="shared" si="20"/>
        <v>9.6838613829413749</v>
      </c>
      <c r="Q47" s="58">
        <f t="shared" si="41"/>
        <v>1.250506649151252E-2</v>
      </c>
      <c r="R47" s="27">
        <f>SUMIF('R3'!$B$7:$G$7,B47,'R3'!$B$40:$G$40)</f>
        <v>308372.21122589108</v>
      </c>
      <c r="S47" s="58">
        <f t="shared" si="42"/>
        <v>2.6404890381846399E-2</v>
      </c>
      <c r="T47" s="27">
        <f>SUMIF('R3'!$B$7:$G$7,B47,'R3'!$B$41:$G$41)</f>
        <v>411028.90618559672</v>
      </c>
      <c r="U47" s="58">
        <f t="shared" si="43"/>
        <v>5.7890869902030122E-3</v>
      </c>
      <c r="V47" s="24">
        <f t="shared" si="15"/>
        <v>1.3328986569561769</v>
      </c>
      <c r="W47" s="58">
        <f t="shared" si="44"/>
        <v>-2.0085449304488277E-2</v>
      </c>
      <c r="X47" s="85">
        <f>SUMIF('R3'!$B$7:$G$7,B47,'R3'!$B$52:$G$52)</f>
        <v>240436.78211472041</v>
      </c>
      <c r="Y47" s="58">
        <f t="shared" si="45"/>
        <v>1.4718691046777735E-2</v>
      </c>
      <c r="Z47" s="85">
        <f>SUMIF('R3'!$B$7:$G$7,B47,'R3'!$B$35:$G$35)</f>
        <v>2001944.086056028</v>
      </c>
      <c r="AA47" s="58">
        <f t="shared" si="46"/>
        <v>1.3503842390644201E-2</v>
      </c>
      <c r="AB47" s="5"/>
      <c r="AC47" s="5"/>
      <c r="AD47" s="5"/>
    </row>
    <row r="48" spans="1:30" x14ac:dyDescent="0.25">
      <c r="A48" s="95"/>
      <c r="B48" s="31">
        <v>2080</v>
      </c>
      <c r="C48" s="6">
        <f>SUMIF('R3'!$B$7:$G$7,B48,'R3'!$B$42:$G$42)</f>
        <v>16.497669999999999</v>
      </c>
      <c r="D48" s="43">
        <f>SUMIF('R3'!$B$7:$G$7,B48,'R3'!$B$46:$G$46)</f>
        <v>0.98300570279749855</v>
      </c>
      <c r="E48" s="35">
        <f>SUMIF('R3'!$B$7:$G$7,B48,'R3'!$B$47:$G$47)</f>
        <v>0.99977488244563673</v>
      </c>
      <c r="F48" s="50">
        <f t="shared" si="37"/>
        <v>1.0170590868398988</v>
      </c>
      <c r="G48" s="58">
        <f t="shared" si="39"/>
        <v>2.4864646808436294E-2</v>
      </c>
      <c r="H48" s="4">
        <f>SUMIF('R3'!$B$7:$G$7,B48,'R3'!$B$44:$G$44)</f>
        <v>0.87809543092056142</v>
      </c>
      <c r="I48" s="5">
        <f>SUMIF('R3'!$B$7:$G$7,B48,'R3'!$B$45:$G$45)</f>
        <v>1</v>
      </c>
      <c r="J48" s="5">
        <f t="shared" si="38"/>
        <v>1.1388283833246218</v>
      </c>
      <c r="K48" s="58">
        <f t="shared" si="40"/>
        <v>-6.7606180094052004E-2</v>
      </c>
      <c r="L48" s="27">
        <f>SUMIF('R3'!$B$7:$G$7,B48,'R3'!$B$36:$G$36)</f>
        <v>0.69707807788192655</v>
      </c>
      <c r="M48" s="24">
        <f>SUMIF('R3'!$B$7:$G$7,B48,'R3'!$B$37:$G$37)</f>
        <v>12.513630413133249</v>
      </c>
      <c r="N48" s="24">
        <f t="shared" si="14"/>
        <v>13.210708491015176</v>
      </c>
      <c r="O48" s="58"/>
      <c r="P48" s="40">
        <f t="shared" si="20"/>
        <v>17.951547768014663</v>
      </c>
      <c r="Q48" s="58">
        <f t="shared" si="41"/>
        <v>1.1424630258719199E-2</v>
      </c>
      <c r="R48" s="27">
        <f>SUMIF('R3'!$B$7:$G$7,B48,'R3'!$B$40:$G$40)</f>
        <v>430310.69171865599</v>
      </c>
      <c r="S48" s="58">
        <f t="shared" si="42"/>
        <v>3.2341214871496132E-2</v>
      </c>
      <c r="T48" s="27">
        <f>SUMIF('R3'!$B$7:$G$7,B48,'R3'!$B$41:$G$41)</f>
        <v>571116.29104214301</v>
      </c>
      <c r="U48" s="58">
        <f t="shared" si="43"/>
        <v>7.2951760862694044E-3</v>
      </c>
      <c r="V48" s="24">
        <f t="shared" si="15"/>
        <v>1.3272184540921144</v>
      </c>
      <c r="W48" s="58">
        <f t="shared" si="44"/>
        <v>-2.4261395771498266E-2</v>
      </c>
      <c r="X48" s="85">
        <f>SUMIF('R3'!$B$7:$G$7,B48,'R3'!$B$52:$G$52)</f>
        <v>337907.32158525009</v>
      </c>
      <c r="Y48" s="58">
        <f t="shared" si="45"/>
        <v>1.6711534764389975E-2</v>
      </c>
      <c r="Z48" s="85">
        <f>SUMIF('R3'!$B$7:$G$7,B48,'R3'!$B$35:$G$35)</f>
        <v>4463995.1224424597</v>
      </c>
      <c r="AA48" s="58">
        <f t="shared" si="46"/>
        <v>1.5342015599825409E-2</v>
      </c>
      <c r="AB48" s="5"/>
      <c r="AC48" s="5"/>
      <c r="AD48" s="5"/>
    </row>
    <row r="49" spans="1:30" ht="15.75" thickBot="1" x14ac:dyDescent="0.3">
      <c r="A49" s="96"/>
      <c r="B49" s="32">
        <v>2100</v>
      </c>
      <c r="C49" s="9">
        <f>SUMIF('R3'!$B$7:$G$7,B49,'R3'!$B$42:$G$42)</f>
        <v>16.468319999999999</v>
      </c>
      <c r="D49" s="44">
        <f>SUMIF('R3'!$B$7:$G$7,B49,'R3'!$B$46:$G$46)</f>
        <v>0.98662331045525986</v>
      </c>
      <c r="E49" s="36">
        <f>SUMIF('R3'!$B$7:$G$7,B49,'R3'!$B$47:$G$47)</f>
        <v>0.99917794151496531</v>
      </c>
      <c r="F49" s="51">
        <f t="shared" si="37"/>
        <v>1.0127248473927828</v>
      </c>
      <c r="G49" s="59">
        <f t="shared" si="39"/>
        <v>2.0497143644039567E-2</v>
      </c>
      <c r="H49" s="7">
        <f>SUMIF('R3'!$B$7:$G$7,B49,'R3'!$B$44:$G$44)</f>
        <v>0.87809543092056142</v>
      </c>
      <c r="I49" s="8">
        <f>SUMIF('R3'!$B$7:$G$7,B49,'R3'!$B$45:$G$45)</f>
        <v>1</v>
      </c>
      <c r="J49" s="8">
        <f t="shared" si="38"/>
        <v>1.1388283833246218</v>
      </c>
      <c r="K49" s="59">
        <f t="shared" si="40"/>
        <v>-6.7606180094052004E-2</v>
      </c>
      <c r="L49" s="28">
        <f>SUMIF('R3'!$B$7:$G$7,B49,'R3'!$B$36:$G$36)</f>
        <v>0.60645181669664894</v>
      </c>
      <c r="M49" s="25">
        <f>SUMIF('R3'!$B$7:$G$7,B49,'R3'!$B$37:$G$37)</f>
        <v>20.224551273788531</v>
      </c>
      <c r="N49" s="25">
        <f t="shared" si="14"/>
        <v>20.831003090485179</v>
      </c>
      <c r="O49" s="59"/>
      <c r="P49" s="41">
        <f t="shared" si="20"/>
        <v>33.348982915002104</v>
      </c>
      <c r="Q49" s="59">
        <f t="shared" si="41"/>
        <v>1.2505066491512421E-2</v>
      </c>
      <c r="R49" s="33">
        <f>SUMIF('R3'!$B$7:$G$7,B49,'R3'!$B$40:$G$40)</f>
        <v>561514.00784797082</v>
      </c>
      <c r="S49" s="59">
        <f t="shared" si="42"/>
        <v>2.83928553880342E-2</v>
      </c>
      <c r="T49" s="28">
        <f>SUMIF('R3'!$B$7:$G$7,B49,'R3'!$B$41:$G$41)</f>
        <v>748441.2669226398</v>
      </c>
      <c r="U49" s="59">
        <f t="shared" si="43"/>
        <v>7.7371228260383436E-3</v>
      </c>
      <c r="V49" s="25">
        <f t="shared" si="15"/>
        <v>1.3328986569561756</v>
      </c>
      <c r="W49" s="59">
        <f t="shared" si="44"/>
        <v>-2.0085449304489897E-2</v>
      </c>
      <c r="X49" s="86">
        <f>SUMIF('R3'!$B$7:$G$7,B49,'R3'!$B$52:$G$52)</f>
        <v>445309.94441596448</v>
      </c>
      <c r="Y49" s="59">
        <f t="shared" si="45"/>
        <v>1.64916455044847E-2</v>
      </c>
      <c r="Z49" s="86">
        <f>SUMIF('R3'!$B$7:$G$7,B49,'R3'!$B$35:$G$35)</f>
        <v>9276252.82835274</v>
      </c>
      <c r="AA49" s="59">
        <f t="shared" si="46"/>
        <v>1.5028753554921139E-2</v>
      </c>
      <c r="AB49" s="5"/>
      <c r="AC49" s="5"/>
      <c r="AD49" s="5"/>
    </row>
    <row r="50" spans="1:30" x14ac:dyDescent="0.25">
      <c r="A50" s="103" t="s">
        <v>6</v>
      </c>
      <c r="B50" s="21">
        <v>2000</v>
      </c>
      <c r="C50" s="3">
        <f>SUMIF('R4'!$B$7:$G$7,B50,'R4'!$B$17:$G$17)</f>
        <v>19.07366</v>
      </c>
      <c r="D50" s="42">
        <f>SUMIF('R4'!$B$7:$G$7,B50,'R4'!$B$21:$G$21)</f>
        <v>1</v>
      </c>
      <c r="E50" s="34">
        <f>SUMIF('R4'!$B$7:$G$7,B50,'R4'!$B$22:$G$22)</f>
        <v>1</v>
      </c>
      <c r="F50" s="45">
        <f>E50/D50</f>
        <v>1</v>
      </c>
      <c r="G50" s="53"/>
      <c r="H50" s="1">
        <f>SUMIF('R4'!$B$7:$G$7,B50,'R4'!$B$19:$G$19)</f>
        <v>0.97044553354850793</v>
      </c>
      <c r="I50" s="2">
        <f>SUMIF('R4'!$B$7:$G$7,B50,'R4'!$B$20:$G$20)</f>
        <v>1</v>
      </c>
      <c r="J50" s="2">
        <f>I50/H50</f>
        <v>1.0304545339535172</v>
      </c>
      <c r="K50" s="53"/>
      <c r="L50" s="26">
        <f>SUMIF('R4'!$B$7:$G$7,B50,'R4'!$B$11:$G$11)</f>
        <v>2.4328473815880001</v>
      </c>
      <c r="M50" s="24">
        <f>SUMIF('R4'!$B$7:$G$7,B50,'R4'!$B$12:$G$12)</f>
        <v>3.6409539077496</v>
      </c>
      <c r="N50" s="23">
        <f t="shared" si="14"/>
        <v>6.0738012893376006</v>
      </c>
      <c r="O50" s="53"/>
      <c r="P50" s="38">
        <f t="shared" si="20"/>
        <v>1.4965813044026743</v>
      </c>
      <c r="Q50" s="53"/>
      <c r="R50" s="26">
        <f>SUMIF('R4'!$B$7:$G$7,B50,'R4'!$B$15:$G$15)</f>
        <v>46919.594157542197</v>
      </c>
      <c r="S50" s="53"/>
      <c r="T50" s="26">
        <f>SUMIF('R4'!$B$7:$G$7,B50,'R4'!$B$16:$G$16)</f>
        <v>59140.312213546342</v>
      </c>
      <c r="U50" s="53"/>
      <c r="V50" s="23">
        <f t="shared" si="15"/>
        <v>1.2604608644944917</v>
      </c>
      <c r="W50" s="53"/>
      <c r="X50" s="84">
        <f>SUMIF('R4'!$B$7:$G$7,B50,'R4'!$B$27:$G$27)</f>
        <v>18427.26254075639</v>
      </c>
      <c r="Y50" s="53"/>
      <c r="Z50" s="84">
        <f>SUMIF('R4'!$B$7:$G$7,B50,'R4'!$B$10:$G$10)</f>
        <v>195356.1818208</v>
      </c>
      <c r="AA50" s="53"/>
      <c r="AB50" s="5"/>
      <c r="AC50" s="5"/>
      <c r="AD50" s="5"/>
    </row>
    <row r="51" spans="1:30" s="10" customFormat="1" x14ac:dyDescent="0.25">
      <c r="A51" s="104"/>
      <c r="B51" s="31">
        <v>2020</v>
      </c>
      <c r="C51" s="14">
        <f>SUMIF('R4'!$B$7:$G$7,B51,'R4'!$B$17:$G$17)</f>
        <v>19.07366</v>
      </c>
      <c r="D51" s="43">
        <f>SUMIF('R4'!$B$7:$G$7,B51,'R4'!$B$21:$G$21)</f>
        <v>0.91693862656807257</v>
      </c>
      <c r="E51" s="35">
        <f>SUMIF('R4'!$B$7:$G$7,B51,'R4'!$B$22:$G$22)</f>
        <v>0.98197288977586894</v>
      </c>
      <c r="F51" s="46">
        <f t="shared" ref="F51:F61" si="47">E51/D51</f>
        <v>1.0709254265481294</v>
      </c>
      <c r="G51" s="54"/>
      <c r="H51" s="4">
        <f>SUMIF('R4'!$B$7:$G$7,B51,'R4'!$B$19:$G$19)</f>
        <v>0.97044553354850793</v>
      </c>
      <c r="I51" s="5">
        <f>SUMIF('R4'!$B$7:$G$7,B51,'R4'!$B$20:$G$20)</f>
        <v>1</v>
      </c>
      <c r="J51" s="5">
        <f t="shared" ref="J51:J61" si="48">I51/H51</f>
        <v>1.0304545339535172</v>
      </c>
      <c r="K51" s="55"/>
      <c r="L51" s="27">
        <f>SUMIF('R4'!$B$7:$G$7,B51,'R4'!$B$11:$G$11)</f>
        <v>2.701774950880405</v>
      </c>
      <c r="M51" s="24">
        <f>SUMIF('R4'!$B$7:$G$7,B51,'R4'!$B$12:$G$12)</f>
        <v>7.5035451655820484</v>
      </c>
      <c r="N51" s="24">
        <f t="shared" si="14"/>
        <v>10.205320116462453</v>
      </c>
      <c r="O51" s="55"/>
      <c r="P51" s="39">
        <f t="shared" si="20"/>
        <v>2.7772650579712166</v>
      </c>
      <c r="Q51" s="55"/>
      <c r="R51" s="27">
        <f>SUMIF('R4'!$B$7:$G$7,B51,'R4'!$B$15:$G$15)</f>
        <v>111385.2807478568</v>
      </c>
      <c r="S51" s="55"/>
      <c r="T51" s="27">
        <f>SUMIF('R4'!$B$7:$G$7,B51,'R4'!$B$16:$G$16)</f>
        <v>140396.78726340531</v>
      </c>
      <c r="U51" s="55"/>
      <c r="V51" s="24">
        <f t="shared" si="15"/>
        <v>1.2604608644944924</v>
      </c>
      <c r="W51" s="55"/>
      <c r="X51" s="85">
        <f>SUMIF('R4'!$B$7:$G$7,B51,'R4'!$B$27:$G$27)</f>
        <v>77043.59148459624</v>
      </c>
      <c r="Y51" s="55"/>
      <c r="Z51" s="85">
        <f>SUMIF('R4'!$B$7:$G$7,B51,'R4'!$B$10:$G$10)</f>
        <v>786254.51402226533</v>
      </c>
      <c r="AA51" s="55"/>
      <c r="AB51" s="13"/>
      <c r="AC51" s="13"/>
      <c r="AD51" s="13"/>
    </row>
    <row r="52" spans="1:30" x14ac:dyDescent="0.25">
      <c r="A52" s="104"/>
      <c r="B52" s="31">
        <v>2040</v>
      </c>
      <c r="C52" s="6">
        <f>SUMIF('R4'!$B$7:$G$7,B52,'R4'!$B$17:$G$17)</f>
        <v>19.07366</v>
      </c>
      <c r="D52" s="43">
        <f>SUMIF('R4'!$B$7:$G$7,B52,'R4'!$B$21:$G$21)</f>
        <v>0.91693862656807257</v>
      </c>
      <c r="E52" s="35">
        <f>SUMIF('R4'!$B$7:$G$7,B52,'R4'!$B$22:$G$22)</f>
        <v>0.98197288977586894</v>
      </c>
      <c r="F52" s="47">
        <f t="shared" si="47"/>
        <v>1.0709254265481294</v>
      </c>
      <c r="G52" s="55"/>
      <c r="H52" s="4">
        <f>SUMIF('R4'!$B$7:$G$7,B52,'R4'!$B$19:$G$19)</f>
        <v>0.97044553354850793</v>
      </c>
      <c r="I52" s="5">
        <f>SUMIF('R4'!$B$7:$G$7,B52,'R4'!$B$20:$G$20)</f>
        <v>1</v>
      </c>
      <c r="J52" s="5">
        <f t="shared" si="48"/>
        <v>1.0304545339535172</v>
      </c>
      <c r="K52" s="55"/>
      <c r="L52" s="27">
        <f>SUMIF('R4'!$B$7:$G$7,B52,'R4'!$B$11:$G$11)</f>
        <v>2.7093162677833198</v>
      </c>
      <c r="M52" s="24">
        <f>SUMIF('R4'!$B$7:$G$7,B52,'R4'!$B$12:$G$12)</f>
        <v>13.963492282313769</v>
      </c>
      <c r="N52" s="24">
        <f t="shared" si="14"/>
        <v>16.672808550097088</v>
      </c>
      <c r="O52" s="55"/>
      <c r="P52" s="40">
        <f t="shared" si="20"/>
        <v>5.1538805005361272</v>
      </c>
      <c r="Q52" s="55"/>
      <c r="R52" s="27">
        <f>SUMIF('R4'!$B$7:$G$7,B52,'R4'!$B$15:$G$15)</f>
        <v>205202.7093355548</v>
      </c>
      <c r="S52" s="55"/>
      <c r="T52" s="27">
        <f>SUMIF('R4'!$B$7:$G$7,B52,'R4'!$B$16:$G$16)</f>
        <v>258649.9844057055</v>
      </c>
      <c r="U52" s="55"/>
      <c r="V52" s="24">
        <f t="shared" si="15"/>
        <v>1.2604608644944926</v>
      </c>
      <c r="W52" s="55"/>
      <c r="X52" s="85">
        <f>SUMIF('R4'!$B$7:$G$7,B52,'R4'!$B$27:$G$27)</f>
        <v>145974.07363833889</v>
      </c>
      <c r="Y52" s="55"/>
      <c r="Z52" s="85">
        <f>SUMIF('R4'!$B$7:$G$7,B52,'R4'!$B$10:$G$10)</f>
        <v>2433797.783049799</v>
      </c>
      <c r="AA52" s="55"/>
      <c r="AB52" s="5"/>
      <c r="AC52" s="5"/>
      <c r="AD52" s="5"/>
    </row>
    <row r="53" spans="1:30" x14ac:dyDescent="0.25">
      <c r="A53" s="104"/>
      <c r="B53" s="31">
        <v>2060</v>
      </c>
      <c r="C53" s="6">
        <f>SUMIF('R4'!$B$7:$G$7,B53,'R4'!$B$17:$G$17)</f>
        <v>19.07366</v>
      </c>
      <c r="D53" s="43">
        <f>SUMIF('R4'!$B$7:$G$7,B53,'R4'!$B$21:$G$21)</f>
        <v>0.91693862656807257</v>
      </c>
      <c r="E53" s="35">
        <f>SUMIF('R4'!$B$7:$G$7,B53,'R4'!$B$22:$G$22)</f>
        <v>0.98197288977586894</v>
      </c>
      <c r="F53" s="47">
        <f t="shared" si="47"/>
        <v>1.0709254265481294</v>
      </c>
      <c r="G53" s="55"/>
      <c r="H53" s="4">
        <f>SUMIF('R4'!$B$7:$G$7,B53,'R4'!$B$19:$G$19)</f>
        <v>0.97044553354850793</v>
      </c>
      <c r="I53" s="5">
        <f>SUMIF('R4'!$B$7:$G$7,B53,'R4'!$B$20:$G$20)</f>
        <v>1</v>
      </c>
      <c r="J53" s="5">
        <f t="shared" si="48"/>
        <v>1.0304545339535172</v>
      </c>
      <c r="K53" s="55"/>
      <c r="L53" s="27">
        <f>SUMIF('R4'!$B$7:$G$7,B53,'R4'!$B$11:$G$11)</f>
        <v>2.5319326923220289</v>
      </c>
      <c r="M53" s="24">
        <f>SUMIF('R4'!$B$7:$G$7,B53,'R4'!$B$12:$G$12)</f>
        <v>24.21606176090145</v>
      </c>
      <c r="N53" s="24">
        <f t="shared" si="14"/>
        <v>26.74799445322348</v>
      </c>
      <c r="O53" s="55"/>
      <c r="P53" s="40">
        <f t="shared" si="20"/>
        <v>9.5642596797045822</v>
      </c>
      <c r="Q53" s="55"/>
      <c r="R53" s="27">
        <f>SUMIF('R4'!$B$7:$G$7,B53,'R4'!$B$15:$G$15)</f>
        <v>318615.70184212731</v>
      </c>
      <c r="S53" s="55"/>
      <c r="T53" s="27">
        <f>SUMIF('R4'!$B$7:$G$7,B53,'R4'!$B$16:$G$16)</f>
        <v>401602.62298544688</v>
      </c>
      <c r="U53" s="55"/>
      <c r="V53" s="24">
        <f t="shared" si="15"/>
        <v>1.2604608644944912</v>
      </c>
      <c r="W53" s="55"/>
      <c r="X53" s="85">
        <f>SUMIF('R4'!$B$7:$G$7,B53,'R4'!$B$27:$G$27)</f>
        <v>230812.58346790471</v>
      </c>
      <c r="Y53" s="55"/>
      <c r="Z53" s="85">
        <f>SUMIF('R4'!$B$7:$G$7,B53,'R4'!$B$10:$G$10)</f>
        <v>6173773.7023336971</v>
      </c>
      <c r="AA53" s="55"/>
      <c r="AB53" s="5"/>
      <c r="AC53" s="5"/>
      <c r="AD53" s="5"/>
    </row>
    <row r="54" spans="1:30" x14ac:dyDescent="0.25">
      <c r="A54" s="104"/>
      <c r="B54" s="31">
        <v>2080</v>
      </c>
      <c r="C54" s="6">
        <f>SUMIF('R4'!$B$7:$G$7,B54,'R4'!$B$17:$G$17)</f>
        <v>19.07366</v>
      </c>
      <c r="D54" s="43">
        <f>SUMIF('R4'!$B$7:$G$7,B54,'R4'!$B$21:$G$21)</f>
        <v>0.91693862656807257</v>
      </c>
      <c r="E54" s="35">
        <f>SUMIF('R4'!$B$7:$G$7,B54,'R4'!$B$22:$G$22)</f>
        <v>0.98197288977586894</v>
      </c>
      <c r="F54" s="47">
        <f t="shared" si="47"/>
        <v>1.0709254265481294</v>
      </c>
      <c r="G54" s="55"/>
      <c r="H54" s="4">
        <f>SUMIF('R4'!$B$7:$G$7,B54,'R4'!$B$19:$G$19)</f>
        <v>0.97044553354850793</v>
      </c>
      <c r="I54" s="5">
        <f>SUMIF('R4'!$B$7:$G$7,B54,'R4'!$B$20:$G$20)</f>
        <v>1</v>
      </c>
      <c r="J54" s="5">
        <f t="shared" si="48"/>
        <v>1.0304545339535172</v>
      </c>
      <c r="K54" s="55"/>
      <c r="L54" s="27">
        <f>SUMIF('R4'!$B$7:$G$7,B54,'R4'!$B$11:$G$11)</f>
        <v>2.263906789771474</v>
      </c>
      <c r="M54" s="24">
        <f>SUMIF('R4'!$B$7:$G$7,B54,'R4'!$B$12:$G$12)</f>
        <v>40.181571283783732</v>
      </c>
      <c r="N54" s="24">
        <f t="shared" si="14"/>
        <v>42.445478073555208</v>
      </c>
      <c r="O54" s="55"/>
      <c r="P54" s="40">
        <f t="shared" si="20"/>
        <v>17.748774580882717</v>
      </c>
      <c r="Q54" s="55"/>
      <c r="R54" s="27">
        <f>SUMIF('R4'!$B$7:$G$7,B54,'R4'!$B$15:$G$15)</f>
        <v>445473.58636310161</v>
      </c>
      <c r="S54" s="55"/>
      <c r="T54" s="27">
        <f>SUMIF('R4'!$B$7:$G$7,B54,'R4'!$B$16:$G$16)</f>
        <v>561502.02177669655</v>
      </c>
      <c r="U54" s="55"/>
      <c r="V54" s="24">
        <f t="shared" si="15"/>
        <v>1.2604608644944915</v>
      </c>
      <c r="W54" s="55"/>
      <c r="X54" s="85">
        <f>SUMIF('R4'!$B$7:$G$7,B54,'R4'!$B$27:$G$27)</f>
        <v>326254.50848547119</v>
      </c>
      <c r="Y54" s="55"/>
      <c r="Z54" s="85">
        <f>SUMIF('R4'!$B$7:$G$7,B54,'R4'!$B$10:$G$10)</f>
        <v>13848028.586318601</v>
      </c>
      <c r="AA54" s="55"/>
      <c r="AB54" s="5"/>
      <c r="AC54" s="5"/>
      <c r="AD54" s="5"/>
    </row>
    <row r="55" spans="1:30" ht="15.75" thickBot="1" x14ac:dyDescent="0.3">
      <c r="A55" s="105"/>
      <c r="B55" s="32">
        <v>2100</v>
      </c>
      <c r="C55" s="9">
        <f>SUMIF('R4'!$B$7:$G$7,B55,'R4'!$B$17:$G$17)</f>
        <v>19.07366</v>
      </c>
      <c r="D55" s="44">
        <f>SUMIF('R4'!$B$7:$G$7,B55,'R4'!$B$21:$G$21)</f>
        <v>0.91693862656807257</v>
      </c>
      <c r="E55" s="36">
        <f>SUMIF('R4'!$B$7:$G$7,B55,'R4'!$B$22:$G$22)</f>
        <v>0.98197288977586894</v>
      </c>
      <c r="F55" s="48">
        <f t="shared" si="47"/>
        <v>1.0709254265481294</v>
      </c>
      <c r="G55" s="56"/>
      <c r="H55" s="7">
        <f>SUMIF('R4'!$B$7:$G$7,B55,'R4'!$B$19:$G$19)</f>
        <v>0.97044553354850793</v>
      </c>
      <c r="I55" s="8">
        <f>SUMIF('R4'!$B$7:$G$7,B55,'R4'!$B$20:$G$20)</f>
        <v>1</v>
      </c>
      <c r="J55" s="8">
        <f t="shared" si="48"/>
        <v>1.0304545339535172</v>
      </c>
      <c r="K55" s="56"/>
      <c r="L55" s="28">
        <f>SUMIF('R4'!$B$7:$G$7,B55,'R4'!$B$11:$G$11)</f>
        <v>1.9723356381132111</v>
      </c>
      <c r="M55" s="25">
        <f>SUMIF('R4'!$B$7:$G$7,B55,'R4'!$B$12:$G$12)</f>
        <v>64.96302060592069</v>
      </c>
      <c r="N55" s="25">
        <f t="shared" si="14"/>
        <v>66.935356244033898</v>
      </c>
      <c r="O55" s="56"/>
      <c r="P55" s="41">
        <f t="shared" si="20"/>
        <v>32.937102261188187</v>
      </c>
      <c r="Q55" s="56"/>
      <c r="R55" s="28">
        <f>SUMIF('R4'!$B$7:$G$7,B55,'R4'!$B$15:$G$15)</f>
        <v>586093.40474029782</v>
      </c>
      <c r="S55" s="56"/>
      <c r="T55" s="28">
        <f>SUMIF('R4'!$B$7:$G$7,B55,'R4'!$B$16:$G$16)</f>
        <v>738747.79961347592</v>
      </c>
      <c r="U55" s="56"/>
      <c r="V55" s="25">
        <f t="shared" si="15"/>
        <v>1.2604608644944919</v>
      </c>
      <c r="W55" s="56"/>
      <c r="X55" s="86">
        <f>SUMIF('R4'!$B$7:$G$7,B55,'R4'!$B$27:$G$27)</f>
        <v>431934.06172673282</v>
      </c>
      <c r="Y55" s="56"/>
      <c r="Z55" s="86">
        <f>SUMIF('R4'!$B$7:$G$7,B55,'R4'!$B$10:$G$10)</f>
        <v>28911660.295611389</v>
      </c>
      <c r="AA55" s="56"/>
      <c r="AB55" s="5"/>
      <c r="AC55" s="5"/>
      <c r="AD55" s="5"/>
    </row>
    <row r="56" spans="1:30" x14ac:dyDescent="0.25">
      <c r="A56" s="103" t="str">
        <f>'R4'!B1</f>
        <v>KwaZulu-Natal</v>
      </c>
      <c r="B56" s="21">
        <v>2000</v>
      </c>
      <c r="C56" s="3">
        <f>SUMIF('R4'!$B$7:$G$7,B56,'R4'!$B$42:$G$42)</f>
        <v>19.07366</v>
      </c>
      <c r="D56" s="42">
        <f>SUMIF('R4'!$B$7:$G$7,B56,'R4'!$B$46:$G$46)</f>
        <v>1</v>
      </c>
      <c r="E56" s="34">
        <f>SUMIF('R4'!$B$7:$G$7,B56,'R4'!$B$47:$G$47)</f>
        <v>1</v>
      </c>
      <c r="F56" s="49">
        <f t="shared" si="47"/>
        <v>1</v>
      </c>
      <c r="G56" s="57">
        <f t="shared" ref="G56:G61" si="49">(F56-$F50)/$F50</f>
        <v>0</v>
      </c>
      <c r="H56" s="1">
        <f>SUMIF('R4'!$B$7:$G$7,B56,'R4'!$B$44:$G$44)</f>
        <v>0.97044553354850793</v>
      </c>
      <c r="I56" s="2">
        <f>SUMIF('R4'!$B$7:$G$7,B56,'R4'!$B$45:$G$45)</f>
        <v>1</v>
      </c>
      <c r="J56" s="2">
        <f t="shared" si="48"/>
        <v>1.0304545339535172</v>
      </c>
      <c r="K56" s="57">
        <f t="shared" ref="K56:K61" si="50">(J56-$J50)/$J50</f>
        <v>0</v>
      </c>
      <c r="L56" s="26">
        <f>SUMIF('R4'!$B$7:$G$7,B56,'R4'!$B$36:$G$36)</f>
        <v>2.4328473815880001</v>
      </c>
      <c r="M56" s="23">
        <f>SUMIF('R4'!$B$7:$G$7,B56,'R4'!$B$37:$G$37)</f>
        <v>3.6409539077496</v>
      </c>
      <c r="N56" s="23">
        <f t="shared" si="14"/>
        <v>6.0738012893376006</v>
      </c>
      <c r="O56" s="57"/>
      <c r="P56" s="38">
        <f t="shared" si="20"/>
        <v>1.4965813044026743</v>
      </c>
      <c r="Q56" s="57">
        <f t="shared" ref="Q56:Q61" si="51">(P56-$P50)/$P50</f>
        <v>0</v>
      </c>
      <c r="R56" s="26">
        <f>SUMIF('R4'!$B$7:$G$7,B56,'R4'!$B$40:$G$40)</f>
        <v>46919.594157542197</v>
      </c>
      <c r="S56" s="57">
        <f t="shared" ref="S56:S61" si="52">(R56-$R50)/$R50</f>
        <v>0</v>
      </c>
      <c r="T56" s="26">
        <f>SUMIF('R4'!$B$7:$G$7,B56,'R4'!$B$41:$G$41)</f>
        <v>59140.312213546342</v>
      </c>
      <c r="U56" s="57">
        <f t="shared" ref="U56:U61" si="53">(T56-$T50)/$T50</f>
        <v>0</v>
      </c>
      <c r="V56" s="23">
        <f t="shared" si="15"/>
        <v>1.2604608644944917</v>
      </c>
      <c r="W56" s="57">
        <f t="shared" ref="W56:W61" si="54">(V56-$V50)/$V50</f>
        <v>0</v>
      </c>
      <c r="X56" s="84">
        <f>SUMIF('R4'!$B$7:$G$7,B56,'R4'!$B$52:$G$52)</f>
        <v>18427.26254075639</v>
      </c>
      <c r="Y56" s="57">
        <f t="shared" ref="Y56:Y61" si="55">(X56-$X50)/$X50</f>
        <v>0</v>
      </c>
      <c r="Z56" s="84">
        <f>SUMIF('R4'!$B$7:$G$7,B56,'R4'!$B$35:$G$35)</f>
        <v>195356.1818208</v>
      </c>
      <c r="AA56" s="57">
        <f t="shared" ref="AA56:AA61" si="56">(Z56-$Z50)/$Z50</f>
        <v>0</v>
      </c>
      <c r="AB56" s="5"/>
      <c r="AC56" s="5"/>
      <c r="AD56" s="5"/>
    </row>
    <row r="57" spans="1:30" x14ac:dyDescent="0.25">
      <c r="A57" s="104"/>
      <c r="B57" s="31">
        <v>2020</v>
      </c>
      <c r="C57" s="14">
        <f>SUMIF('R4'!$B$7:$G$7,B57,'R4'!$B$42:$G$42)</f>
        <v>19.53613</v>
      </c>
      <c r="D57" s="43">
        <f>SUMIF('R4'!$B$7:$G$7,B57,'R4'!$B$46:$G$46)</f>
        <v>0.90022563327805616</v>
      </c>
      <c r="E57" s="35">
        <f>SUMIF('R4'!$B$7:$G$7,B57,'R4'!$B$47:$G$47)</f>
        <v>0.97405330480158026</v>
      </c>
      <c r="F57" s="50">
        <f t="shared" si="47"/>
        <v>1.0820101858849431</v>
      </c>
      <c r="G57" s="58">
        <f t="shared" si="49"/>
        <v>1.0350636059265863E-2</v>
      </c>
      <c r="H57" s="4">
        <f>SUMIF('R4'!$B$7:$G$7,B57,'R4'!$B$44:$G$44)</f>
        <v>0.99004983374916744</v>
      </c>
      <c r="I57" s="5">
        <f>SUMIF('R4'!$B$7:$G$7,B57,'R4'!$B$45:$G$45)</f>
        <v>1</v>
      </c>
      <c r="J57" s="13">
        <f t="shared" si="48"/>
        <v>1.0100501670841686</v>
      </c>
      <c r="K57" s="58">
        <f t="shared" si="50"/>
        <v>-1.9801326693244446E-2</v>
      </c>
      <c r="L57" s="27">
        <f>SUMIF('R4'!$B$7:$G$7,B57,'R4'!$B$36:$G$36)</f>
        <v>2.6966050524880898</v>
      </c>
      <c r="M57" s="24">
        <f>SUMIF('R4'!$B$7:$G$7,B57,'R4'!$B$37:$G$37)</f>
        <v>7.5073751182931412</v>
      </c>
      <c r="N57" s="24">
        <f t="shared" si="14"/>
        <v>10.203980170781231</v>
      </c>
      <c r="O57" s="58"/>
      <c r="P57" s="39">
        <f t="shared" si="20"/>
        <v>2.7840098836002234</v>
      </c>
      <c r="Q57" s="58">
        <f t="shared" si="51"/>
        <v>2.42858549264069E-3</v>
      </c>
      <c r="R57" s="27">
        <f>SUMIF('R4'!$B$7:$G$7,B57,'R4'!$B$40:$G$40)</f>
        <v>111138.5946717942</v>
      </c>
      <c r="S57" s="58">
        <f t="shared" si="52"/>
        <v>-2.2147098288599234E-3</v>
      </c>
      <c r="T57" s="27">
        <f>SUMIF('R4'!$B$7:$G$7,B57,'R4'!$B$41:$G$41)</f>
        <v>138650.72591540919</v>
      </c>
      <c r="U57" s="58">
        <f t="shared" si="53"/>
        <v>-1.2436618971346161E-2</v>
      </c>
      <c r="V57" s="24">
        <f t="shared" si="15"/>
        <v>1.2475479497006567</v>
      </c>
      <c r="W57" s="58">
        <f t="shared" si="54"/>
        <v>-1.0244597954268362E-2</v>
      </c>
      <c r="X57" s="85">
        <f>SUMIF('R4'!$B$7:$G$7,B57,'R4'!$B$52:$G$52)</f>
        <v>75481.713400686276</v>
      </c>
      <c r="Y57" s="58">
        <f t="shared" si="55"/>
        <v>-2.0272654140510035E-2</v>
      </c>
      <c r="Z57" s="85">
        <f>SUMIF('R4'!$B$7:$G$7,B57,'R4'!$B$35:$G$35)</f>
        <v>770213.90679719462</v>
      </c>
      <c r="AA57" s="58">
        <f t="shared" si="56"/>
        <v>-2.0401291107393842E-2</v>
      </c>
      <c r="AB57" s="5"/>
      <c r="AC57" s="5"/>
      <c r="AD57" s="5"/>
    </row>
    <row r="58" spans="1:30" x14ac:dyDescent="0.25">
      <c r="A58" s="104"/>
      <c r="B58" s="31">
        <v>2040</v>
      </c>
      <c r="C58" s="6">
        <f>SUMIF('R4'!$B$7:$G$7,B58,'R4'!$B$42:$G$42)</f>
        <v>19.71838</v>
      </c>
      <c r="D58" s="43">
        <f>SUMIF('R4'!$B$7:$G$7,B58,'R4'!$B$46:$G$46)</f>
        <v>0.89139111669784621</v>
      </c>
      <c r="E58" s="35">
        <f>SUMIF('R4'!$B$7:$G$7,B58,'R4'!$B$47:$G$47)</f>
        <v>0.96957624782154495</v>
      </c>
      <c r="F58" s="50">
        <f t="shared" si="47"/>
        <v>1.0877113644719001</v>
      </c>
      <c r="G58" s="58">
        <f t="shared" si="49"/>
        <v>1.5674236046366117E-2</v>
      </c>
      <c r="H58" s="4">
        <f>SUMIF('R4'!$B$7:$G$7,B58,'R4'!$B$44:$G$44)</f>
        <v>0.99004983374916744</v>
      </c>
      <c r="I58" s="5">
        <f>SUMIF('R4'!$B$7:$G$7,B58,'R4'!$B$45:$G$45)</f>
        <v>1</v>
      </c>
      <c r="J58" s="5">
        <f t="shared" si="48"/>
        <v>1.0100501670841686</v>
      </c>
      <c r="K58" s="58">
        <f t="shared" si="50"/>
        <v>-1.9801326693244446E-2</v>
      </c>
      <c r="L58" s="27">
        <f>SUMIF('R4'!$B$7:$G$7,B58,'R4'!$B$36:$G$36)</f>
        <v>2.7063282424500521</v>
      </c>
      <c r="M58" s="24">
        <f>SUMIF('R4'!$B$7:$G$7,B58,'R4'!$B$37:$G$37)</f>
        <v>13.963608944712989</v>
      </c>
      <c r="N58" s="24">
        <f t="shared" si="14"/>
        <v>16.669937187163043</v>
      </c>
      <c r="O58" s="58"/>
      <c r="P58" s="40">
        <f t="shared" si="20"/>
        <v>5.1596139469289453</v>
      </c>
      <c r="Q58" s="58">
        <f t="shared" si="51"/>
        <v>1.1124523341628926E-3</v>
      </c>
      <c r="R58" s="27">
        <f>SUMIF('R4'!$B$7:$G$7,B58,'R4'!$B$40:$G$40)</f>
        <v>204962.44567359271</v>
      </c>
      <c r="S58" s="58">
        <f t="shared" si="52"/>
        <v>-1.1708600863022823E-3</v>
      </c>
      <c r="T58" s="27">
        <f>SUMIF('R4'!$B$7:$G$7,B58,'R4'!$B$41:$G$41)</f>
        <v>254360.23903519439</v>
      </c>
      <c r="U58" s="58">
        <f t="shared" si="53"/>
        <v>-1.6585136783857021E-2</v>
      </c>
      <c r="V58" s="24">
        <f t="shared" si="15"/>
        <v>1.2410089965469517</v>
      </c>
      <c r="W58" s="58">
        <f t="shared" si="54"/>
        <v>-1.5432345815307801E-2</v>
      </c>
      <c r="X58" s="85">
        <f>SUMIF('R4'!$B$7:$G$7,B58,'R4'!$B$52:$G$52)</f>
        <v>141746.62902607489</v>
      </c>
      <c r="Y58" s="58">
        <f t="shared" si="55"/>
        <v>-2.8960242780767951E-2</v>
      </c>
      <c r="Z58" s="85">
        <f>SUMIF('R4'!$B$7:$G$7,B58,'R4'!$B$35:$G$35)</f>
        <v>2362907.402356769</v>
      </c>
      <c r="AA58" s="58">
        <f t="shared" si="56"/>
        <v>-2.9127473608015673E-2</v>
      </c>
      <c r="AB58" s="5"/>
      <c r="AC58" s="5"/>
      <c r="AD58" s="5"/>
    </row>
    <row r="59" spans="1:30" x14ac:dyDescent="0.25">
      <c r="A59" s="104"/>
      <c r="B59" s="31">
        <v>2060</v>
      </c>
      <c r="C59" s="6">
        <f>SUMIF('R4'!$B$7:$G$7,B59,'R4'!$B$42:$G$42)</f>
        <v>19.98104</v>
      </c>
      <c r="D59" s="43">
        <f>SUMIF('R4'!$B$7:$G$7,B59,'R4'!$B$46:$G$46)</f>
        <v>0.88225365744265238</v>
      </c>
      <c r="E59" s="35">
        <f>SUMIF('R4'!$B$7:$G$7,B59,'R4'!$B$47:$G$47)</f>
        <v>0.96476277921532627</v>
      </c>
      <c r="F59" s="50">
        <f t="shared" si="47"/>
        <v>1.0935208611226834</v>
      </c>
      <c r="G59" s="58">
        <f t="shared" si="49"/>
        <v>2.1098980390618787E-2</v>
      </c>
      <c r="H59" s="4">
        <f>SUMIF('R4'!$B$7:$G$7,B59,'R4'!$B$44:$G$44)</f>
        <v>0.99004983374916744</v>
      </c>
      <c r="I59" s="5">
        <f>SUMIF('R4'!$B$7:$G$7,B59,'R4'!$B$45:$G$45)</f>
        <v>1</v>
      </c>
      <c r="J59" s="5">
        <f t="shared" si="48"/>
        <v>1.0100501670841686</v>
      </c>
      <c r="K59" s="58">
        <f t="shared" si="50"/>
        <v>-1.9801326693244446E-2</v>
      </c>
      <c r="L59" s="27">
        <f>SUMIF('R4'!$B$7:$G$7,B59,'R4'!$B$36:$G$36)</f>
        <v>2.5320132821629642</v>
      </c>
      <c r="M59" s="24">
        <f>SUMIF('R4'!$B$7:$G$7,B59,'R4'!$B$37:$G$37)</f>
        <v>24.211508579227289</v>
      </c>
      <c r="N59" s="24">
        <f t="shared" si="14"/>
        <v>26.743521861390253</v>
      </c>
      <c r="O59" s="58"/>
      <c r="P59" s="40">
        <f t="shared" si="20"/>
        <v>9.5621570193915755</v>
      </c>
      <c r="Q59" s="58">
        <f t="shared" si="51"/>
        <v>-2.1984559008457537E-4</v>
      </c>
      <c r="R59" s="27">
        <f>SUMIF('R4'!$B$7:$G$7,B59,'R4'!$B$40:$G$40)</f>
        <v>318644.33508035348</v>
      </c>
      <c r="S59" s="58">
        <f t="shared" si="52"/>
        <v>8.9867630693113022E-5</v>
      </c>
      <c r="T59" s="27">
        <f>SUMIF('R4'!$B$7:$G$7,B59,'R4'!$B$41:$G$41)</f>
        <v>393339.64853045798</v>
      </c>
      <c r="U59" s="58">
        <f t="shared" si="53"/>
        <v>-2.0575001212799177E-2</v>
      </c>
      <c r="V59" s="24">
        <f t="shared" si="15"/>
        <v>1.2344159466424167</v>
      </c>
      <c r="W59" s="58">
        <f t="shared" si="54"/>
        <v>-2.0663011907569105E-2</v>
      </c>
      <c r="X59" s="85">
        <f>SUMIF('R4'!$B$7:$G$7,B59,'R4'!$B$52:$G$52)</f>
        <v>222100.49897361669</v>
      </c>
      <c r="Y59" s="58">
        <f t="shared" si="55"/>
        <v>-3.7745275250556112E-2</v>
      </c>
      <c r="Z59" s="85">
        <f>SUMIF('R4'!$B$7:$G$7,B59,'R4'!$B$35:$G$35)</f>
        <v>5939749.5497266008</v>
      </c>
      <c r="AA59" s="58">
        <f t="shared" si="56"/>
        <v>-3.7906176010085182E-2</v>
      </c>
      <c r="AB59" s="5"/>
      <c r="AC59" s="5"/>
      <c r="AD59" s="5"/>
    </row>
    <row r="60" spans="1:30" x14ac:dyDescent="0.25">
      <c r="A60" s="104"/>
      <c r="B60" s="31">
        <v>2080</v>
      </c>
      <c r="C60" s="6">
        <f>SUMIF('R4'!$B$7:$G$7,B60,'R4'!$B$42:$G$42)</f>
        <v>19.97167</v>
      </c>
      <c r="D60" s="43">
        <f>SUMIF('R4'!$B$7:$G$7,B60,'R4'!$B$46:$G$46)</f>
        <v>0.88225365744265238</v>
      </c>
      <c r="E60" s="35">
        <f>SUMIF('R4'!$B$7:$G$7,B60,'R4'!$B$47:$G$47)</f>
        <v>0.96476277921532627</v>
      </c>
      <c r="F60" s="50">
        <f t="shared" si="47"/>
        <v>1.0935208611226834</v>
      </c>
      <c r="G60" s="58">
        <f t="shared" si="49"/>
        <v>2.1098980390618787E-2</v>
      </c>
      <c r="H60" s="4">
        <f>SUMIF('R4'!$B$7:$G$7,B60,'R4'!$B$44:$G$44)</f>
        <v>0.99004983374916744</v>
      </c>
      <c r="I60" s="5">
        <f>SUMIF('R4'!$B$7:$G$7,B60,'R4'!$B$45:$G$45)</f>
        <v>1</v>
      </c>
      <c r="J60" s="5">
        <f t="shared" si="48"/>
        <v>1.0100501670841686</v>
      </c>
      <c r="K60" s="58">
        <f t="shared" si="50"/>
        <v>-1.9801326693244446E-2</v>
      </c>
      <c r="L60" s="27">
        <f>SUMIF('R4'!$B$7:$G$7,B60,'R4'!$B$36:$G$36)</f>
        <v>2.2640060261156618</v>
      </c>
      <c r="M60" s="24">
        <f>SUMIF('R4'!$B$7:$G$7,B60,'R4'!$B$37:$G$37)</f>
        <v>40.174498478818393</v>
      </c>
      <c r="N60" s="24">
        <f t="shared" si="14"/>
        <v>42.438504504934052</v>
      </c>
      <c r="O60" s="58"/>
      <c r="P60" s="40">
        <f t="shared" si="20"/>
        <v>17.744872591061728</v>
      </c>
      <c r="Q60" s="58">
        <f t="shared" si="51"/>
        <v>-2.19845590083245E-4</v>
      </c>
      <c r="R60" s="27">
        <f>SUMIF('R4'!$B$7:$G$7,B60,'R4'!$B$40:$G$40)</f>
        <v>446126.0155843356</v>
      </c>
      <c r="S60" s="58">
        <f t="shared" si="52"/>
        <v>1.4645744241774279E-3</v>
      </c>
      <c r="T60" s="27">
        <f>SUMIF('R4'!$B$7:$G$7,B60,'R4'!$B$41:$G$41)</f>
        <v>550705.06784934702</v>
      </c>
      <c r="U60" s="58">
        <f t="shared" si="53"/>
        <v>-1.9228700002158438E-2</v>
      </c>
      <c r="V60" s="24">
        <f t="shared" si="15"/>
        <v>1.2344159466424163</v>
      </c>
      <c r="W60" s="58">
        <f t="shared" si="54"/>
        <v>-2.0663011907569633E-2</v>
      </c>
      <c r="X60" s="85">
        <f>SUMIF('R4'!$B$7:$G$7,B60,'R4'!$B$52:$G$52)</f>
        <v>314372.13555850362</v>
      </c>
      <c r="Y60" s="58">
        <f t="shared" si="55"/>
        <v>-3.6420563142951064E-2</v>
      </c>
      <c r="Z60" s="85">
        <f>SUMIF('R4'!$B$7:$G$7,B60,'R4'!$B$35:$G$35)</f>
        <v>13341483.29112529</v>
      </c>
      <c r="AA60" s="58">
        <f t="shared" si="56"/>
        <v>-3.6578874172296334E-2</v>
      </c>
      <c r="AB60" s="5"/>
      <c r="AC60" s="5"/>
      <c r="AD60" s="5"/>
    </row>
    <row r="61" spans="1:30" ht="15.75" thickBot="1" x14ac:dyDescent="0.3">
      <c r="A61" s="105"/>
      <c r="B61" s="32">
        <v>2100</v>
      </c>
      <c r="C61" s="9">
        <f>SUMIF('R4'!$B$7:$G$7,B61,'R4'!$B$42:$G$42)</f>
        <v>19.934529999999999</v>
      </c>
      <c r="D61" s="44">
        <f>SUMIF('R4'!$B$7:$G$7,B61,'R4'!$B$46:$G$46)</f>
        <v>0.88225365744265238</v>
      </c>
      <c r="E61" s="36">
        <f>SUMIF('R4'!$B$7:$G$7,B61,'R4'!$B$47:$G$47)</f>
        <v>0.96476277921532627</v>
      </c>
      <c r="F61" s="51">
        <f t="shared" si="47"/>
        <v>1.0935208611226834</v>
      </c>
      <c r="G61" s="59">
        <f t="shared" si="49"/>
        <v>2.1098980390618787E-2</v>
      </c>
      <c r="H61" s="7">
        <f>SUMIF('R4'!$B$7:$G$7,B61,'R4'!$B$44:$G$44)</f>
        <v>0.99004983374916744</v>
      </c>
      <c r="I61" s="8">
        <f>SUMIF('R4'!$B$7:$G$7,B61,'R4'!$B$45:$G$45)</f>
        <v>1</v>
      </c>
      <c r="J61" s="8">
        <f t="shared" si="48"/>
        <v>1.0100501670841686</v>
      </c>
      <c r="K61" s="59">
        <f t="shared" si="50"/>
        <v>-1.9801326693244446E-2</v>
      </c>
      <c r="L61" s="28">
        <f>SUMIF('R4'!$B$7:$G$7,B61,'R4'!$B$36:$G$36)</f>
        <v>1.972435686390853</v>
      </c>
      <c r="M61" s="25">
        <f>SUMIF('R4'!$B$7:$G$7,B61,'R4'!$B$37:$G$37)</f>
        <v>64.952033348216474</v>
      </c>
      <c r="N61" s="25">
        <f t="shared" si="14"/>
        <v>66.924469034607327</v>
      </c>
      <c r="O61" s="59"/>
      <c r="P61" s="41">
        <f t="shared" si="20"/>
        <v>32.929861184505938</v>
      </c>
      <c r="Q61" s="59">
        <f t="shared" si="51"/>
        <v>-2.198455900834121E-4</v>
      </c>
      <c r="R61" s="33">
        <f>SUMIF('R4'!$B$7:$G$7,B61,'R4'!$B$40:$G$40)</f>
        <v>587410.69812391803</v>
      </c>
      <c r="S61" s="59">
        <f t="shared" si="52"/>
        <v>2.2475826770374865E-3</v>
      </c>
      <c r="T61" s="28">
        <f>SUMIF('R4'!$B$7:$G$7,B61,'R4'!$B$41:$G$41)</f>
        <v>725109.13299251883</v>
      </c>
      <c r="U61" s="59">
        <f t="shared" si="53"/>
        <v>-1.8461871058151429E-2</v>
      </c>
      <c r="V61" s="25">
        <f t="shared" si="15"/>
        <v>1.2344159466424163</v>
      </c>
      <c r="W61" s="59">
        <f t="shared" si="54"/>
        <v>-2.0663011907569976E-2</v>
      </c>
      <c r="X61" s="86">
        <f>SUMIF('R4'!$B$7:$G$7,B61,'R4'!$B$52:$G$52)</f>
        <v>416528.72488817881</v>
      </c>
      <c r="Y61" s="59">
        <f t="shared" si="55"/>
        <v>-3.5665945808877518E-2</v>
      </c>
      <c r="Z61" s="86">
        <f>SUMIF('R4'!$B$7:$G$7,B61,'R4'!$B$35:$G$35)</f>
        <v>27875963.7508034</v>
      </c>
      <c r="AA61" s="59">
        <f t="shared" si="56"/>
        <v>-3.5822797245760443E-2</v>
      </c>
      <c r="AB61" s="5"/>
      <c r="AC61" s="5"/>
      <c r="AD61" s="5"/>
    </row>
    <row r="62" spans="1:30" x14ac:dyDescent="0.25">
      <c r="A62" s="106" t="s">
        <v>6</v>
      </c>
      <c r="B62" s="21">
        <v>2000</v>
      </c>
      <c r="C62" s="3">
        <f>SUMIF('R5'!$B$7:$G$7,B62,'R5'!$B$17:$G$17)</f>
        <v>17.39819</v>
      </c>
      <c r="D62" s="42">
        <f>SUMIF('R5'!$B$7:$G$7,B62,'R5'!$B$21:$G$21)</f>
        <v>1</v>
      </c>
      <c r="E62" s="34">
        <f>SUMIF('R5'!$B$7:$G$7,B62,'R5'!$B$22:$G$22)</f>
        <v>1</v>
      </c>
      <c r="F62" s="45">
        <f>E62/D62</f>
        <v>1</v>
      </c>
      <c r="G62" s="53"/>
      <c r="H62" s="1">
        <f>SUMIF('R5'!$B$7:$G$7,B62,'R5'!$B$19:$G$19)</f>
        <v>0.92311634638663587</v>
      </c>
      <c r="I62" s="2">
        <f>SUMIF('R5'!$B$7:$G$7,B62,'R5'!$B$20:$G$20)</f>
        <v>1</v>
      </c>
      <c r="J62" s="2">
        <f>I62/H62</f>
        <v>1.0832870676749584</v>
      </c>
      <c r="K62" s="53"/>
      <c r="L62" s="26">
        <f>SUMIF('R5'!$B$7:$G$7,B62,'R5'!$B$11:$G$11)</f>
        <v>0.97033136301899992</v>
      </c>
      <c r="M62" s="24">
        <f>SUMIF('R5'!$B$7:$G$7,B62,'R5'!$B$12:$G$12)</f>
        <v>1.4521797769697999</v>
      </c>
      <c r="N62" s="23">
        <f t="shared" si="14"/>
        <v>2.4225111399887997</v>
      </c>
      <c r="O62" s="53"/>
      <c r="P62" s="38">
        <f t="shared" si="20"/>
        <v>1.4965813044026746</v>
      </c>
      <c r="Q62" s="53"/>
      <c r="R62" s="26">
        <f>SUMIF('R5'!$B$7:$G$7,B62,'R5'!$B$15:$G$15)</f>
        <v>45393.773600747983</v>
      </c>
      <c r="S62" s="53"/>
      <c r="T62" s="26">
        <f>SUMIF('R5'!$B$7:$G$7,B62,'R5'!$B$16:$G$16)</f>
        <v>59185.639391343168</v>
      </c>
      <c r="U62" s="53"/>
      <c r="V62" s="23">
        <f t="shared" si="15"/>
        <v>1.3038272585993584</v>
      </c>
      <c r="W62" s="53"/>
      <c r="X62" s="84">
        <f>SUMIF('R5'!$B$7:$G$7,B62,'R5'!$B$27:$G$27)</f>
        <v>18427.26254075639</v>
      </c>
      <c r="Y62" s="53"/>
      <c r="Z62" s="84">
        <f>SUMIF('R5'!$B$7:$G$7,B62,'R5'!$B$10:$G$10)</f>
        <v>77917.024970400002</v>
      </c>
      <c r="AA62" s="53"/>
      <c r="AB62" s="5"/>
      <c r="AC62" s="5"/>
      <c r="AD62" s="5"/>
    </row>
    <row r="63" spans="1:30" s="10" customFormat="1" x14ac:dyDescent="0.25">
      <c r="A63" s="107"/>
      <c r="B63" s="31">
        <v>2020</v>
      </c>
      <c r="C63" s="14">
        <f>SUMIF('R5'!$B$7:$G$7,B63,'R5'!$B$17:$G$17)</f>
        <v>17.39819</v>
      </c>
      <c r="D63" s="43">
        <f>SUMIF('R5'!$B$7:$G$7,B63,'R5'!$B$21:$G$21)</f>
        <v>0.96439833420871968</v>
      </c>
      <c r="E63" s="35">
        <f>SUMIF('R5'!$B$7:$G$7,B63,'R5'!$B$22:$G$22)</f>
        <v>0.99844694181596516</v>
      </c>
      <c r="F63" s="46">
        <f t="shared" ref="F63:F73" si="57">E63/D63</f>
        <v>1.0353055437773875</v>
      </c>
      <c r="G63" s="54"/>
      <c r="H63" s="4">
        <f>SUMIF('R5'!$B$7:$G$7,B63,'R5'!$B$19:$G$19)</f>
        <v>0.92311634638663587</v>
      </c>
      <c r="I63" s="5">
        <f>SUMIF('R5'!$B$7:$G$7,B63,'R5'!$B$20:$G$20)</f>
        <v>1</v>
      </c>
      <c r="J63" s="5">
        <f t="shared" ref="J63:J73" si="58">I63/H63</f>
        <v>1.0832870676749584</v>
      </c>
      <c r="K63" s="55"/>
      <c r="L63" s="27">
        <f>SUMIF('R5'!$B$7:$G$7,B63,'R5'!$B$11:$G$11)</f>
        <v>1.077592039064595</v>
      </c>
      <c r="M63" s="24">
        <f>SUMIF('R5'!$B$7:$G$7,B63,'R5'!$B$12:$G$12)</f>
        <v>2.9927587168420549</v>
      </c>
      <c r="N63" s="24">
        <f t="shared" si="14"/>
        <v>4.0703507559066496</v>
      </c>
      <c r="O63" s="55"/>
      <c r="P63" s="39">
        <f t="shared" si="20"/>
        <v>2.7772650579712175</v>
      </c>
      <c r="Q63" s="55"/>
      <c r="R63" s="27">
        <f>SUMIF('R5'!$B$7:$G$7,B63,'R5'!$B$15:$G$15)</f>
        <v>109613.8268010399</v>
      </c>
      <c r="S63" s="55"/>
      <c r="T63" s="27">
        <f>SUMIF('R5'!$B$7:$G$7,B63,'R5'!$B$16:$G$16)</f>
        <v>142917.4953025846</v>
      </c>
      <c r="U63" s="55"/>
      <c r="V63" s="24">
        <f t="shared" si="15"/>
        <v>1.3038272585993571</v>
      </c>
      <c r="W63" s="55"/>
      <c r="X63" s="85">
        <f>SUMIF('R5'!$B$7:$G$7,B63,'R5'!$B$27:$G$27)</f>
        <v>79742.572044224056</v>
      </c>
      <c r="Y63" s="55"/>
      <c r="Z63" s="85">
        <f>SUMIF('R5'!$B$7:$G$7,B63,'R5'!$B$10:$G$10)</f>
        <v>324580.23839814792</v>
      </c>
      <c r="AA63" s="55"/>
      <c r="AB63" s="13"/>
      <c r="AC63" s="13"/>
      <c r="AD63" s="13"/>
    </row>
    <row r="64" spans="1:30" x14ac:dyDescent="0.25">
      <c r="A64" s="107"/>
      <c r="B64" s="31">
        <v>2040</v>
      </c>
      <c r="C64" s="6">
        <f>SUMIF('R5'!$B$7:$G$7,B64,'R5'!$B$17:$G$17)</f>
        <v>17.39819</v>
      </c>
      <c r="D64" s="43">
        <f>SUMIF('R5'!$B$7:$G$7,B64,'R5'!$B$21:$G$21)</f>
        <v>0.96439833420871968</v>
      </c>
      <c r="E64" s="35">
        <f>SUMIF('R5'!$B$7:$G$7,B64,'R5'!$B$22:$G$22)</f>
        <v>0.99844694181596516</v>
      </c>
      <c r="F64" s="47">
        <f t="shared" si="57"/>
        <v>1.0353055437773875</v>
      </c>
      <c r="G64" s="55"/>
      <c r="H64" s="4">
        <f>SUMIF('R5'!$B$7:$G$7,B64,'R5'!$B$19:$G$19)</f>
        <v>0.92311634638663587</v>
      </c>
      <c r="I64" s="5">
        <f>SUMIF('R5'!$B$7:$G$7,B64,'R5'!$B$20:$G$20)</f>
        <v>1</v>
      </c>
      <c r="J64" s="5">
        <f t="shared" si="58"/>
        <v>1.0832870676749584</v>
      </c>
      <c r="K64" s="55"/>
      <c r="L64" s="27">
        <f>SUMIF('R5'!$B$7:$G$7,B64,'R5'!$B$11:$G$11)</f>
        <v>1.0805998628864859</v>
      </c>
      <c r="M64" s="24">
        <f>SUMIF('R5'!$B$7:$G$7,B64,'R5'!$B$12:$G$12)</f>
        <v>5.5692825622126696</v>
      </c>
      <c r="N64" s="24">
        <f t="shared" si="14"/>
        <v>6.6498824250991557</v>
      </c>
      <c r="O64" s="55"/>
      <c r="P64" s="40">
        <f t="shared" si="20"/>
        <v>5.1538805005361246</v>
      </c>
      <c r="Q64" s="55"/>
      <c r="R64" s="27">
        <f>SUMIF('R5'!$B$7:$G$7,B64,'R5'!$B$15:$G$15)</f>
        <v>200497.62255490071</v>
      </c>
      <c r="S64" s="55"/>
      <c r="T64" s="27">
        <f>SUMIF('R5'!$B$7:$G$7,B64,'R5'!$B$16:$G$16)</f>
        <v>261414.26557144479</v>
      </c>
      <c r="U64" s="55"/>
      <c r="V64" s="24">
        <f t="shared" si="15"/>
        <v>1.3038272585993569</v>
      </c>
      <c r="W64" s="55"/>
      <c r="X64" s="85">
        <f>SUMIF('R5'!$B$7:$G$7,B64,'R5'!$B$27:$G$27)</f>
        <v>150009.25288880811</v>
      </c>
      <c r="Y64" s="55"/>
      <c r="Z64" s="85">
        <f>SUMIF('R5'!$B$7:$G$7,B64,'R5'!$B$10:$G$10)</f>
        <v>997543.89438753994</v>
      </c>
      <c r="AA64" s="55"/>
      <c r="AB64" s="5"/>
      <c r="AC64" s="5"/>
      <c r="AD64" s="5"/>
    </row>
    <row r="65" spans="1:30" x14ac:dyDescent="0.25">
      <c r="A65" s="107"/>
      <c r="B65" s="31">
        <v>2060</v>
      </c>
      <c r="C65" s="6">
        <f>SUMIF('R5'!$B$7:$G$7,B65,'R5'!$B$17:$G$17)</f>
        <v>17.39819</v>
      </c>
      <c r="D65" s="43">
        <f>SUMIF('R5'!$B$7:$G$7,B65,'R5'!$B$21:$G$21)</f>
        <v>0.96439833420871968</v>
      </c>
      <c r="E65" s="35">
        <f>SUMIF('R5'!$B$7:$G$7,B65,'R5'!$B$22:$G$22)</f>
        <v>0.99844694181596516</v>
      </c>
      <c r="F65" s="47">
        <f t="shared" si="57"/>
        <v>1.0353055437773875</v>
      </c>
      <c r="G65" s="55"/>
      <c r="H65" s="4">
        <f>SUMIF('R5'!$B$7:$G$7,B65,'R5'!$B$19:$G$19)</f>
        <v>0.92311634638663587</v>
      </c>
      <c r="I65" s="5">
        <f>SUMIF('R5'!$B$7:$G$7,B65,'R5'!$B$20:$G$20)</f>
        <v>1</v>
      </c>
      <c r="J65" s="5">
        <f t="shared" si="58"/>
        <v>1.0832870676749584</v>
      </c>
      <c r="K65" s="55"/>
      <c r="L65" s="27">
        <f>SUMIF('R5'!$B$7:$G$7,B65,'R5'!$B$11:$G$11)</f>
        <v>1.009851139453539</v>
      </c>
      <c r="M65" s="24">
        <f>SUMIF('R5'!$B$7:$G$7,B65,'R5'!$B$12:$G$12)</f>
        <v>9.6584785355792118</v>
      </c>
      <c r="N65" s="24">
        <f t="shared" si="14"/>
        <v>10.668329675032751</v>
      </c>
      <c r="O65" s="55"/>
      <c r="P65" s="40">
        <f t="shared" si="20"/>
        <v>9.5642596797045822</v>
      </c>
      <c r="Q65" s="55"/>
      <c r="R65" s="27">
        <f>SUMIF('R5'!$B$7:$G$7,B65,'R5'!$B$15:$G$15)</f>
        <v>309898.1891654678</v>
      </c>
      <c r="S65" s="55"/>
      <c r="T65" s="27">
        <f>SUMIF('R5'!$B$7:$G$7,B65,'R5'!$B$16:$G$16)</f>
        <v>404053.70642451692</v>
      </c>
      <c r="U65" s="55"/>
      <c r="V65" s="24">
        <f t="shared" si="15"/>
        <v>1.3038272585993573</v>
      </c>
      <c r="W65" s="55"/>
      <c r="X65" s="85">
        <f>SUMIF('R5'!$B$7:$G$7,B65,'R5'!$B$27:$G$27)</f>
        <v>236117.14833106019</v>
      </c>
      <c r="Y65" s="55"/>
      <c r="Z65" s="85">
        <f>SUMIF('R5'!$B$7:$G$7,B65,'R5'!$B$10:$G$10)</f>
        <v>2518975.5803243588</v>
      </c>
      <c r="AA65" s="55"/>
      <c r="AB65" s="5"/>
      <c r="AC65" s="5"/>
      <c r="AD65" s="5"/>
    </row>
    <row r="66" spans="1:30" x14ac:dyDescent="0.25">
      <c r="A66" s="107"/>
      <c r="B66" s="31">
        <v>2080</v>
      </c>
      <c r="C66" s="6">
        <f>SUMIF('R5'!$B$7:$G$7,B66,'R5'!$B$17:$G$17)</f>
        <v>17.39819</v>
      </c>
      <c r="D66" s="43">
        <f>SUMIF('R5'!$B$7:$G$7,B66,'R5'!$B$21:$G$21)</f>
        <v>0.96439833420871968</v>
      </c>
      <c r="E66" s="35">
        <f>SUMIF('R5'!$B$7:$G$7,B66,'R5'!$B$22:$G$22)</f>
        <v>0.99844694181596516</v>
      </c>
      <c r="F66" s="47">
        <f t="shared" si="57"/>
        <v>1.0353055437773875</v>
      </c>
      <c r="G66" s="55"/>
      <c r="H66" s="4">
        <f>SUMIF('R5'!$B$7:$G$7,B66,'R5'!$B$19:$G$19)</f>
        <v>0.92311634638663587</v>
      </c>
      <c r="I66" s="5">
        <f>SUMIF('R5'!$B$7:$G$7,B66,'R5'!$B$20:$G$20)</f>
        <v>1</v>
      </c>
      <c r="J66" s="5">
        <f t="shared" si="58"/>
        <v>1.0832870676749584</v>
      </c>
      <c r="K66" s="55"/>
      <c r="L66" s="27">
        <f>SUMIF('R5'!$B$7:$G$7,B66,'R5'!$B$11:$G$11)</f>
        <v>0.90295008955022826</v>
      </c>
      <c r="M66" s="24">
        <f>SUMIF('R5'!$B$7:$G$7,B66,'R5'!$B$12:$G$12)</f>
        <v>16.026257597214869</v>
      </c>
      <c r="N66" s="24">
        <f t="shared" si="14"/>
        <v>16.929207686765096</v>
      </c>
      <c r="O66" s="55"/>
      <c r="P66" s="40">
        <f t="shared" si="20"/>
        <v>17.748774580882721</v>
      </c>
      <c r="Q66" s="55"/>
      <c r="R66" s="27">
        <f>SUMIF('R5'!$B$7:$G$7,B66,'R5'!$B$15:$G$15)</f>
        <v>432120.26022089558</v>
      </c>
      <c r="S66" s="55"/>
      <c r="T66" s="27">
        <f>SUMIF('R5'!$B$7:$G$7,B66,'R5'!$B$16:$G$16)</f>
        <v>563410.17426905094</v>
      </c>
      <c r="U66" s="55"/>
      <c r="V66" s="24">
        <f t="shared" si="15"/>
        <v>1.3038272585993567</v>
      </c>
      <c r="W66" s="55"/>
      <c r="X66" s="85">
        <f>SUMIF('R5'!$B$7:$G$7,B66,'R5'!$B$27:$G$27)</f>
        <v>332855.22294734378</v>
      </c>
      <c r="Y66" s="55"/>
      <c r="Z66" s="85">
        <f>SUMIF('R5'!$B$7:$G$7,B66,'R5'!$B$10:$G$10)</f>
        <v>5634975.1989000821</v>
      </c>
      <c r="AA66" s="55"/>
      <c r="AB66" s="5"/>
      <c r="AC66" s="5"/>
      <c r="AD66" s="5"/>
    </row>
    <row r="67" spans="1:30" ht="15.75" thickBot="1" x14ac:dyDescent="0.3">
      <c r="A67" s="108"/>
      <c r="B67" s="32">
        <v>2100</v>
      </c>
      <c r="C67" s="9">
        <f>SUMIF('R5'!$B$7:$G$7,B67,'R5'!$B$17:$G$17)</f>
        <v>17.39819</v>
      </c>
      <c r="D67" s="44">
        <f>SUMIF('R5'!$B$7:$G$7,B67,'R5'!$B$21:$G$21)</f>
        <v>0.96439833420871968</v>
      </c>
      <c r="E67" s="36">
        <f>SUMIF('R5'!$B$7:$G$7,B67,'R5'!$B$22:$G$22)</f>
        <v>0.99844694181596516</v>
      </c>
      <c r="F67" s="48">
        <f t="shared" si="57"/>
        <v>1.0353055437773875</v>
      </c>
      <c r="G67" s="56"/>
      <c r="H67" s="7">
        <f>SUMIF('R5'!$B$7:$G$7,B67,'R5'!$B$19:$G$19)</f>
        <v>0.92311634638663587</v>
      </c>
      <c r="I67" s="8">
        <f>SUMIF('R5'!$B$7:$G$7,B67,'R5'!$B$20:$G$20)</f>
        <v>1</v>
      </c>
      <c r="J67" s="8">
        <f t="shared" si="58"/>
        <v>1.0832870676749584</v>
      </c>
      <c r="K67" s="56"/>
      <c r="L67" s="28">
        <f>SUMIF('R5'!$B$7:$G$7,B67,'R5'!$B$11:$G$11)</f>
        <v>0.78665811203172464</v>
      </c>
      <c r="M67" s="25">
        <f>SUMIF('R5'!$B$7:$G$7,B67,'R5'!$B$12:$G$12)</f>
        <v>25.91023868058215</v>
      </c>
      <c r="N67" s="25">
        <f t="shared" si="14"/>
        <v>26.696896792613874</v>
      </c>
      <c r="O67" s="56"/>
      <c r="P67" s="41">
        <f t="shared" si="20"/>
        <v>32.937102261188187</v>
      </c>
      <c r="Q67" s="56"/>
      <c r="R67" s="28">
        <f>SUMIF('R5'!$B$7:$G$7,B67,'R5'!$B$15:$G$15)</f>
        <v>567655.96896973415</v>
      </c>
      <c r="S67" s="56"/>
      <c r="T67" s="28">
        <f>SUMIF('R5'!$B$7:$G$7,B67,'R5'!$B$16:$G$16)</f>
        <v>740125.32584936998</v>
      </c>
      <c r="U67" s="56"/>
      <c r="V67" s="25">
        <f t="shared" si="15"/>
        <v>1.3038272585993567</v>
      </c>
      <c r="W67" s="56"/>
      <c r="X67" s="86">
        <f>SUMIF('R5'!$B$7:$G$7,B67,'R5'!$B$27:$G$27)</f>
        <v>439999.32611759641</v>
      </c>
      <c r="Y67" s="56"/>
      <c r="Z67" s="86">
        <f>SUMIF('R5'!$B$7:$G$7,B67,'R5'!$B$10:$G$10)</f>
        <v>11746616.598181119</v>
      </c>
      <c r="AA67" s="56"/>
      <c r="AB67" s="5"/>
      <c r="AC67" s="5"/>
      <c r="AD67" s="5"/>
    </row>
    <row r="68" spans="1:30" x14ac:dyDescent="0.25">
      <c r="A68" s="106" t="str">
        <f>'R5'!B1</f>
        <v>North West</v>
      </c>
      <c r="B68" s="21">
        <v>2000</v>
      </c>
      <c r="C68" s="3">
        <f>SUMIF('R5'!$B$7:$G$7,B68,'R5'!$B$42:$G$42)</f>
        <v>17.39819</v>
      </c>
      <c r="D68" s="42">
        <f>SUMIF('R5'!$B$7:$G$7,B68,'R5'!$B$46:$G$46)</f>
        <v>1</v>
      </c>
      <c r="E68" s="34">
        <f>SUMIF('R5'!$B$7:$G$7,B68,'R5'!$B$47:$G$47)</f>
        <v>1</v>
      </c>
      <c r="F68" s="49">
        <f t="shared" si="57"/>
        <v>1</v>
      </c>
      <c r="G68" s="57">
        <f t="shared" ref="G68:G73" si="59">(F68-$F62)/$F62</f>
        <v>0</v>
      </c>
      <c r="H68" s="1">
        <f>SUMIF('R5'!$B$7:$G$7,B68,'R5'!$B$44:$G$44)</f>
        <v>0.92311634638663587</v>
      </c>
      <c r="I68" s="2">
        <f>SUMIF('R5'!$B$7:$G$7,B68,'R5'!$B$45:$G$45)</f>
        <v>1</v>
      </c>
      <c r="J68" s="2">
        <f t="shared" si="58"/>
        <v>1.0832870676749584</v>
      </c>
      <c r="K68" s="57">
        <f t="shared" ref="K68:K73" si="60">(J68-$J62)/$J62</f>
        <v>0</v>
      </c>
      <c r="L68" s="26">
        <f>SUMIF('R5'!$B$7:$G$7,B68,'R5'!$B$36:$G$36)</f>
        <v>0.97033136301899992</v>
      </c>
      <c r="M68" s="23">
        <f>SUMIF('R5'!$B$7:$G$7,B68,'R5'!$B$37:$G$37)</f>
        <v>1.4521797769697999</v>
      </c>
      <c r="N68" s="23">
        <f t="shared" si="14"/>
        <v>2.4225111399887997</v>
      </c>
      <c r="O68" s="57"/>
      <c r="P68" s="38">
        <f t="shared" si="20"/>
        <v>1.4965813044026746</v>
      </c>
      <c r="Q68" s="57">
        <f t="shared" ref="Q68:Q73" si="61">(P68-$P62)/$P62</f>
        <v>0</v>
      </c>
      <c r="R68" s="26">
        <f>SUMIF('R5'!$B$7:$G$7,B68,'R5'!$B$40:$G$40)</f>
        <v>45393.773600747983</v>
      </c>
      <c r="S68" s="57">
        <f t="shared" ref="S68:S73" si="62">(R68-$R62)/$R62</f>
        <v>0</v>
      </c>
      <c r="T68" s="26">
        <f>SUMIF('R5'!$B$7:$G$7,B68,'R5'!$B$41:$G$41)</f>
        <v>59185.639391343168</v>
      </c>
      <c r="U68" s="57">
        <f t="shared" ref="U68:U73" si="63">(T68-$T62)/$T62</f>
        <v>0</v>
      </c>
      <c r="V68" s="23">
        <f t="shared" si="15"/>
        <v>1.3038272585993584</v>
      </c>
      <c r="W68" s="57">
        <f t="shared" ref="W68:W73" si="64">(V68-$V62)/$V62</f>
        <v>0</v>
      </c>
      <c r="X68" s="84">
        <f>SUMIF('R5'!$B$7:$G$7,B68,'R5'!$B$52:$G$52)</f>
        <v>18427.26254075639</v>
      </c>
      <c r="Y68" s="57">
        <f t="shared" ref="Y68:Y73" si="65">(X68-$X62)/$X62</f>
        <v>0</v>
      </c>
      <c r="Z68" s="84">
        <f>SUMIF('R5'!$B$7:$G$7,B68,'R5'!$B$35:$G$35)</f>
        <v>77917.024970400002</v>
      </c>
      <c r="AA68" s="57">
        <f t="shared" ref="AA68:AA73" si="66">(Z68-$Z62)/$Z62</f>
        <v>0</v>
      </c>
      <c r="AB68" s="5"/>
      <c r="AC68" s="5"/>
      <c r="AD68" s="5"/>
    </row>
    <row r="69" spans="1:30" x14ac:dyDescent="0.25">
      <c r="A69" s="107"/>
      <c r="B69" s="31">
        <v>2020</v>
      </c>
      <c r="C69" s="14">
        <f>SUMIF('R5'!$B$7:$G$7,B69,'R5'!$B$42:$G$42)</f>
        <v>18.142510000000001</v>
      </c>
      <c r="D69" s="43">
        <f>SUMIF('R5'!$B$7:$G$7,B69,'R5'!$B$46:$G$46)</f>
        <v>0.94627095271536965</v>
      </c>
      <c r="E69" s="35">
        <f>SUMIF('R5'!$B$7:$G$7,B69,'R5'!$B$47:$G$47)</f>
        <v>0.99356517912022047</v>
      </c>
      <c r="F69" s="50">
        <f t="shared" si="57"/>
        <v>1.0499795817140301</v>
      </c>
      <c r="G69" s="58">
        <f t="shared" si="59"/>
        <v>1.4173630214615944E-2</v>
      </c>
      <c r="H69" s="4">
        <f>SUMIF('R5'!$B$7:$G$7,B69,'R5'!$B$44:$G$44)</f>
        <v>0.95122942450071424</v>
      </c>
      <c r="I69" s="5">
        <f>SUMIF('R5'!$B$7:$G$7,B69,'R5'!$B$45:$G$45)</f>
        <v>1</v>
      </c>
      <c r="J69" s="13">
        <f t="shared" si="58"/>
        <v>1.0512710963760239</v>
      </c>
      <c r="K69" s="58">
        <f t="shared" si="60"/>
        <v>-2.9554466451491831E-2</v>
      </c>
      <c r="L69" s="27">
        <f>SUMIF('R5'!$B$7:$G$7,B69,'R5'!$B$36:$G$36)</f>
        <v>1.0742089903204051</v>
      </c>
      <c r="M69" s="24">
        <f>SUMIF('R5'!$B$7:$G$7,B69,'R5'!$B$37:$G$37)</f>
        <v>2.995264939542452</v>
      </c>
      <c r="N69" s="24">
        <f t="shared" si="14"/>
        <v>4.0694739298628573</v>
      </c>
      <c r="O69" s="58"/>
      <c r="P69" s="39">
        <f t="shared" si="20"/>
        <v>2.7883446950570132</v>
      </c>
      <c r="Q69" s="58">
        <f t="shared" si="61"/>
        <v>3.9894057119234314E-3</v>
      </c>
      <c r="R69" s="27">
        <f>SUMIF('R5'!$B$7:$G$7,B69,'R5'!$B$40:$G$40)</f>
        <v>109970.4914349871</v>
      </c>
      <c r="S69" s="58">
        <f t="shared" si="62"/>
        <v>3.2538288677264582E-3</v>
      </c>
      <c r="T69" s="27">
        <f>SUMIF('R5'!$B$7:$G$7,B69,'R5'!$B$41:$G$41)</f>
        <v>141378.67531042109</v>
      </c>
      <c r="U69" s="58">
        <f t="shared" si="63"/>
        <v>-1.0767191160924863E-2</v>
      </c>
      <c r="V69" s="24">
        <f t="shared" si="15"/>
        <v>1.2856055607790209</v>
      </c>
      <c r="W69" s="58">
        <f t="shared" si="64"/>
        <v>-1.3975545993654845E-2</v>
      </c>
      <c r="X69" s="85">
        <f>SUMIF('R5'!$B$7:$G$7,B69,'R5'!$B$52:$G$52)</f>
        <v>78515.190280982439</v>
      </c>
      <c r="Y69" s="58">
        <f t="shared" si="65"/>
        <v>-1.53918005373708E-2</v>
      </c>
      <c r="Z69" s="85">
        <f>SUMIF('R5'!$B$7:$G$7,B69,'R5'!$B$35:$G$35)</f>
        <v>319515.51994667959</v>
      </c>
      <c r="AA69" s="58">
        <f t="shared" si="66"/>
        <v>-1.560390267892918E-2</v>
      </c>
      <c r="AB69" s="5"/>
      <c r="AC69" s="5"/>
      <c r="AD69" s="5"/>
    </row>
    <row r="70" spans="1:30" x14ac:dyDescent="0.25">
      <c r="A70" s="107"/>
      <c r="B70" s="31">
        <v>2040</v>
      </c>
      <c r="C70" s="6">
        <f>SUMIF('R5'!$B$7:$G$7,B70,'R5'!$B$42:$G$42)</f>
        <v>18.467829999999999</v>
      </c>
      <c r="D70" s="43">
        <f>SUMIF('R5'!$B$7:$G$7,B70,'R5'!$B$46:$G$46)</f>
        <v>0.93947441413050536</v>
      </c>
      <c r="E70" s="35">
        <f>SUMIF('R5'!$B$7:$G$7,B70,'R5'!$B$47:$G$47)</f>
        <v>0.99120776832621305</v>
      </c>
      <c r="F70" s="50">
        <f t="shared" si="57"/>
        <v>1.0550662726068889</v>
      </c>
      <c r="G70" s="58">
        <f t="shared" si="59"/>
        <v>1.9086856965338912E-2</v>
      </c>
      <c r="H70" s="4">
        <f>SUMIF('R5'!$B$7:$G$7,B70,'R5'!$B$44:$G$44)</f>
        <v>0.96078943915232329</v>
      </c>
      <c r="I70" s="5">
        <f>SUMIF('R5'!$B$7:$G$7,B70,'R5'!$B$45:$G$45)</f>
        <v>1</v>
      </c>
      <c r="J70" s="5">
        <f t="shared" si="58"/>
        <v>1.0408107741923882</v>
      </c>
      <c r="K70" s="58">
        <f t="shared" si="60"/>
        <v>-3.9210560847676684E-2</v>
      </c>
      <c r="L70" s="27">
        <f>SUMIF('R5'!$B$7:$G$7,B70,'R5'!$B$36:$G$36)</f>
        <v>1.0753958359537259</v>
      </c>
      <c r="M70" s="24">
        <f>SUMIF('R5'!$B$7:$G$7,B70,'R5'!$B$37:$G$37)</f>
        <v>5.5717656274006409</v>
      </c>
      <c r="N70" s="24">
        <f t="shared" si="14"/>
        <v>6.647161463354367</v>
      </c>
      <c r="O70" s="58"/>
      <c r="P70" s="40">
        <f t="shared" si="20"/>
        <v>5.1811299998751279</v>
      </c>
      <c r="Q70" s="58">
        <f t="shared" si="61"/>
        <v>5.2871810543858649E-3</v>
      </c>
      <c r="R70" s="27">
        <f>SUMIF('R5'!$B$7:$G$7,B70,'R5'!$B$40:$G$40)</f>
        <v>201880.6555296492</v>
      </c>
      <c r="S70" s="58">
        <f t="shared" si="62"/>
        <v>6.8980018671781938E-3</v>
      </c>
      <c r="T70" s="27">
        <f>SUMIF('R5'!$B$7:$G$7,B70,'R5'!$B$41:$G$41)</f>
        <v>258287.6031266647</v>
      </c>
      <c r="U70" s="58">
        <f t="shared" si="63"/>
        <v>-1.1960565495327055E-2</v>
      </c>
      <c r="V70" s="24">
        <f t="shared" si="15"/>
        <v>1.2794073926945977</v>
      </c>
      <c r="W70" s="58">
        <f t="shared" si="64"/>
        <v>-1.8729372118659618E-2</v>
      </c>
      <c r="X70" s="85">
        <f>SUMIF('R5'!$B$7:$G$7,B70,'R5'!$B$52:$G$52)</f>
        <v>147168.9550286546</v>
      </c>
      <c r="Y70" s="58">
        <f t="shared" si="65"/>
        <v>-1.8934151097058247E-2</v>
      </c>
      <c r="Z70" s="85">
        <f>SUMIF('R5'!$B$7:$G$7,B70,'R5'!$B$35:$G$35)</f>
        <v>978255.80646860471</v>
      </c>
      <c r="AA70" s="58">
        <f t="shared" si="66"/>
        <v>-1.9335578140927318E-2</v>
      </c>
      <c r="AB70" s="5"/>
      <c r="AC70" s="5"/>
      <c r="AD70" s="5"/>
    </row>
    <row r="71" spans="1:30" x14ac:dyDescent="0.25">
      <c r="A71" s="107"/>
      <c r="B71" s="31">
        <v>2060</v>
      </c>
      <c r="C71" s="6">
        <f>SUMIF('R5'!$B$7:$G$7,B71,'R5'!$B$42:$G$42)</f>
        <v>18.746179999999999</v>
      </c>
      <c r="D71" s="43">
        <f>SUMIF('R5'!$B$7:$G$7,B71,'R5'!$B$46:$G$46)</f>
        <v>0.93231395090361513</v>
      </c>
      <c r="E71" s="35">
        <f>SUMIF('R5'!$B$7:$G$7,B71,'R5'!$B$47:$G$47)</f>
        <v>0.98848865179879042</v>
      </c>
      <c r="F71" s="50">
        <f t="shared" si="57"/>
        <v>1.0602529875700453</v>
      </c>
      <c r="G71" s="58">
        <f t="shared" si="59"/>
        <v>2.4096696808591622E-2</v>
      </c>
      <c r="H71" s="4">
        <f>SUMIF('R5'!$B$7:$G$7,B71,'R5'!$B$44:$G$44)</f>
        <v>0.97044553354850793</v>
      </c>
      <c r="I71" s="5">
        <f>SUMIF('R5'!$B$7:$G$7,B71,'R5'!$B$45:$G$45)</f>
        <v>1</v>
      </c>
      <c r="J71" s="5">
        <f t="shared" si="58"/>
        <v>1.0304545339535172</v>
      </c>
      <c r="K71" s="58">
        <f t="shared" si="60"/>
        <v>-4.8770575499285589E-2</v>
      </c>
      <c r="L71" s="27">
        <f>SUMIF('R5'!$B$7:$G$7,B71,'R5'!$B$36:$G$36)</f>
        <v>1.003321162439345</v>
      </c>
      <c r="M71" s="24">
        <f>SUMIF('R5'!$B$7:$G$7,B71,'R5'!$B$37:$G$37)</f>
        <v>9.6590579466367057</v>
      </c>
      <c r="N71" s="24">
        <f t="shared" si="14"/>
        <v>10.662379109076051</v>
      </c>
      <c r="O71" s="58"/>
      <c r="P71" s="40">
        <f t="shared" si="20"/>
        <v>9.6270848340853536</v>
      </c>
      <c r="Q71" s="58">
        <f t="shared" si="61"/>
        <v>6.5687420129429122E-3</v>
      </c>
      <c r="R71" s="27">
        <f>SUMIF('R5'!$B$7:$G$7,B71,'R5'!$B$40:$G$40)</f>
        <v>313124.21026164462</v>
      </c>
      <c r="S71" s="58">
        <f t="shared" si="62"/>
        <v>1.0409938518402596E-2</v>
      </c>
      <c r="T71" s="27">
        <f>SUMIF('R5'!$B$7:$G$7,B71,'R5'!$B$41:$G$41)</f>
        <v>398653.64465952798</v>
      </c>
      <c r="U71" s="58">
        <f t="shared" si="63"/>
        <v>-1.3364712856551265E-2</v>
      </c>
      <c r="V71" s="24">
        <f t="shared" si="15"/>
        <v>1.2731485831977525</v>
      </c>
      <c r="W71" s="58">
        <f t="shared" si="64"/>
        <v>-2.3529708555534851E-2</v>
      </c>
      <c r="X71" s="85">
        <f>SUMIF('R5'!$B$7:$G$7,B71,'R5'!$B$52:$G$52)</f>
        <v>230672.29651787801</v>
      </c>
      <c r="Y71" s="58">
        <f t="shared" si="65"/>
        <v>-2.3059959226459665E-2</v>
      </c>
      <c r="Z71" s="85">
        <f>SUMIF('R5'!$B$7:$G$7,B71,'R5'!$B$35:$G$35)</f>
        <v>2459515.4754348188</v>
      </c>
      <c r="AA71" s="58">
        <f t="shared" si="66"/>
        <v>-2.3604875471592922E-2</v>
      </c>
      <c r="AB71" s="5"/>
      <c r="AC71" s="5"/>
      <c r="AD71" s="5"/>
    </row>
    <row r="72" spans="1:30" x14ac:dyDescent="0.25">
      <c r="A72" s="107"/>
      <c r="B72" s="31">
        <v>2080</v>
      </c>
      <c r="C72" s="6">
        <f>SUMIF('R5'!$B$7:$G$7,B72,'R5'!$B$42:$G$42)</f>
        <v>18.77139</v>
      </c>
      <c r="D72" s="43">
        <f>SUMIF('R5'!$B$7:$G$7,B72,'R5'!$B$46:$G$46)</f>
        <v>0.92479939883583451</v>
      </c>
      <c r="E72" s="35">
        <f>SUMIF('R5'!$B$7:$G$7,B72,'R5'!$B$47:$G$47)</f>
        <v>0.98540782953795247</v>
      </c>
      <c r="F72" s="50">
        <f t="shared" si="57"/>
        <v>1.0655368405066155</v>
      </c>
      <c r="G72" s="58">
        <f t="shared" si="59"/>
        <v>2.9200362067923341E-2</v>
      </c>
      <c r="H72" s="4">
        <f>SUMIF('R5'!$B$7:$G$7,B72,'R5'!$B$44:$G$44)</f>
        <v>0.97044553354850793</v>
      </c>
      <c r="I72" s="5">
        <f>SUMIF('R5'!$B$7:$G$7,B72,'R5'!$B$45:$G$45)</f>
        <v>1</v>
      </c>
      <c r="J72" s="5">
        <f t="shared" si="58"/>
        <v>1.0304545339535172</v>
      </c>
      <c r="K72" s="58">
        <f t="shared" si="60"/>
        <v>-4.8770575499285589E-2</v>
      </c>
      <c r="L72" s="27">
        <f>SUMIF('R5'!$B$7:$G$7,B72,'R5'!$B$36:$G$36)</f>
        <v>0.89786244426317463</v>
      </c>
      <c r="M72" s="24">
        <f>SUMIF('R5'!$B$7:$G$7,B72,'R5'!$B$37:$G$37)</f>
        <v>16.020714401796159</v>
      </c>
      <c r="N72" s="24">
        <f t="shared" si="14"/>
        <v>16.918576846059334</v>
      </c>
      <c r="O72" s="58"/>
      <c r="P72" s="40">
        <f t="shared" si="20"/>
        <v>17.843172419293538</v>
      </c>
      <c r="Q72" s="58">
        <f t="shared" si="61"/>
        <v>5.3185552602878494E-3</v>
      </c>
      <c r="R72" s="27">
        <f>SUMIF('R5'!$B$7:$G$7,B72,'R5'!$B$40:$G$40)</f>
        <v>437912.28820736828</v>
      </c>
      <c r="S72" s="58">
        <f t="shared" si="62"/>
        <v>1.340374085564023E-2</v>
      </c>
      <c r="T72" s="27">
        <f>SUMIF('R5'!$B$7:$G$7,B72,'R5'!$B$41:$G$41)</f>
        <v>554762.7063530935</v>
      </c>
      <c r="U72" s="58">
        <f t="shared" si="63"/>
        <v>-1.5348441172856655E-2</v>
      </c>
      <c r="V72" s="24">
        <f t="shared" si="15"/>
        <v>1.2668352117362645</v>
      </c>
      <c r="W72" s="58">
        <f t="shared" si="64"/>
        <v>-2.8371892533395192E-2</v>
      </c>
      <c r="X72" s="85">
        <f>SUMIF('R5'!$B$7:$G$7,B72,'R5'!$B$52:$G$52)</f>
        <v>323488.959603614</v>
      </c>
      <c r="Y72" s="58">
        <f t="shared" si="65"/>
        <v>-2.8139150892072612E-2</v>
      </c>
      <c r="Z72" s="85">
        <f>SUMIF('R5'!$B$7:$G$7,B72,'R5'!$B$35:$G$35)</f>
        <v>5472972.8219055263</v>
      </c>
      <c r="AA72" s="58">
        <f t="shared" si="66"/>
        <v>-2.8749439221343483E-2</v>
      </c>
      <c r="AB72" s="5"/>
      <c r="AC72" s="5"/>
      <c r="AD72" s="5"/>
    </row>
    <row r="73" spans="1:30" ht="15.75" thickBot="1" x14ac:dyDescent="0.3">
      <c r="A73" s="108"/>
      <c r="B73" s="32">
        <v>2100</v>
      </c>
      <c r="C73" s="9">
        <f>SUMIF('R5'!$B$7:$G$7,B73,'R5'!$B$42:$G$42)</f>
        <v>18.62368</v>
      </c>
      <c r="D73" s="44">
        <f>SUMIF('R5'!$B$7:$G$7,B73,'R5'!$B$46:$G$46)</f>
        <v>0.93231395090361513</v>
      </c>
      <c r="E73" s="36">
        <f>SUMIF('R5'!$B$7:$G$7,B73,'R5'!$B$47:$G$47)</f>
        <v>0.98848865179879042</v>
      </c>
      <c r="F73" s="51">
        <f t="shared" si="57"/>
        <v>1.0602529875700453</v>
      </c>
      <c r="G73" s="59">
        <f t="shared" si="59"/>
        <v>2.4096696808591622E-2</v>
      </c>
      <c r="H73" s="7">
        <f>SUMIF('R5'!$B$7:$G$7,B73,'R5'!$B$44:$G$44)</f>
        <v>0.96078943915232329</v>
      </c>
      <c r="I73" s="8">
        <f>SUMIF('R5'!$B$7:$G$7,B73,'R5'!$B$45:$G$45)</f>
        <v>1</v>
      </c>
      <c r="J73" s="8">
        <f t="shared" si="58"/>
        <v>1.0408107741923882</v>
      </c>
      <c r="K73" s="59">
        <f t="shared" si="60"/>
        <v>-3.9210560847676684E-2</v>
      </c>
      <c r="L73" s="28">
        <f>SUMIF('R5'!$B$7:$G$7,B73,'R5'!$B$36:$G$36)</f>
        <v>0.78305831478572197</v>
      </c>
      <c r="M73" s="25">
        <f>SUMIF('R5'!$B$7:$G$7,B73,'R5'!$B$37:$G$37)</f>
        <v>25.896268962917631</v>
      </c>
      <c r="N73" s="25">
        <f t="shared" si="14"/>
        <v>26.679327277703354</v>
      </c>
      <c r="O73" s="59"/>
      <c r="P73" s="41">
        <f t="shared" si="20"/>
        <v>33.070677462896171</v>
      </c>
      <c r="Q73" s="59">
        <f t="shared" si="61"/>
        <v>4.0554630655952988E-3</v>
      </c>
      <c r="R73" s="33">
        <f>SUMIF('R5'!$B$7:$G$7,B73,'R5'!$B$40:$G$40)</f>
        <v>574930.28595032159</v>
      </c>
      <c r="S73" s="59">
        <f t="shared" si="62"/>
        <v>1.2814657782582537E-2</v>
      </c>
      <c r="T73" s="28">
        <f>SUMIF('R5'!$B$7:$G$7,B73,'R5'!$B$41:$G$41)</f>
        <v>731971.67899513105</v>
      </c>
      <c r="U73" s="59">
        <f t="shared" si="63"/>
        <v>-1.1016575935814364E-2</v>
      </c>
      <c r="V73" s="25">
        <f t="shared" si="15"/>
        <v>1.2731485831977531</v>
      </c>
      <c r="W73" s="59">
        <f t="shared" si="64"/>
        <v>-2.3529708555533841E-2</v>
      </c>
      <c r="X73" s="86">
        <f>SUMIF('R5'!$B$7:$G$7,B73,'R5'!$B$52:$G$52)</f>
        <v>430824.92795246019</v>
      </c>
      <c r="Y73" s="59">
        <f t="shared" si="65"/>
        <v>-2.0850936855035616E-2</v>
      </c>
      <c r="Z73" s="86">
        <f>SUMIF('R5'!$B$7:$G$7,B73,'R5'!$B$35:$G$35)</f>
        <v>11494119.252236649</v>
      </c>
      <c r="AA73" s="59">
        <f t="shared" si="66"/>
        <v>-2.1495325384465788E-2</v>
      </c>
      <c r="AB73" s="5"/>
      <c r="AC73" s="5"/>
      <c r="AD73" s="5"/>
    </row>
    <row r="74" spans="1:30" x14ac:dyDescent="0.25">
      <c r="A74" s="94" t="s">
        <v>6</v>
      </c>
      <c r="B74" s="21">
        <v>2000</v>
      </c>
      <c r="C74" s="3">
        <f>SUMIF('R6'!$B$7:$G$7,B74,'R6'!$B$17:$G$17)</f>
        <v>16.019739999999999</v>
      </c>
      <c r="D74" s="42">
        <f>SUMIF('R6'!$B$7:$G$7,B74,'R6'!$B$21:$G$21)</f>
        <v>1</v>
      </c>
      <c r="E74" s="34">
        <f>SUMIF('R6'!$B$7:$G$7,B74,'R6'!$B$22:$G$22)</f>
        <v>1</v>
      </c>
      <c r="F74" s="45">
        <f>E74/D74</f>
        <v>1</v>
      </c>
      <c r="G74" s="53"/>
      <c r="H74" s="1">
        <f>SUMIF('R6'!$B$7:$G$7,B74,'R6'!$B$19:$G$19)</f>
        <v>0.86070797642505747</v>
      </c>
      <c r="I74" s="2">
        <f>SUMIF('R6'!$B$7:$G$7,B74,'R6'!$B$20:$G$20)</f>
        <v>1</v>
      </c>
      <c r="J74" s="2">
        <f>I74/H74</f>
        <v>1.1618342427282835</v>
      </c>
      <c r="K74" s="53"/>
      <c r="L74" s="26">
        <f>SUMIF('R6'!$B$7:$G$7,B74,'R6'!$B$11:$G$11)</f>
        <v>2.1370411467945001</v>
      </c>
      <c r="M74" s="24">
        <f>SUMIF('R6'!$B$7:$G$7,B74,'R6'!$B$12:$G$12)</f>
        <v>3.1982558270318999</v>
      </c>
      <c r="N74" s="23">
        <f t="shared" si="14"/>
        <v>5.3352969738264004</v>
      </c>
      <c r="O74" s="53"/>
      <c r="P74" s="38">
        <f t="shared" si="20"/>
        <v>1.4965813044026743</v>
      </c>
      <c r="Q74" s="53"/>
      <c r="R74" s="26">
        <f>SUMIF('R6'!$B$7:$G$7,B74,'R6'!$B$15:$G$15)</f>
        <v>44533.81267978299</v>
      </c>
      <c r="S74" s="53"/>
      <c r="T74" s="26">
        <f>SUMIF('R6'!$B$7:$G$7,B74,'R6'!$B$16:$G$16)</f>
        <v>59855.314921334641</v>
      </c>
      <c r="U74" s="53"/>
      <c r="V74" s="23">
        <f t="shared" si="15"/>
        <v>1.344042005828689</v>
      </c>
      <c r="W74" s="53"/>
      <c r="X74" s="84">
        <f>SUMIF('R6'!$B$7:$G$7,B74,'R6'!$B$27:$G$27)</f>
        <v>18427.262540756401</v>
      </c>
      <c r="Y74" s="53"/>
      <c r="Z74" s="84">
        <f>SUMIF('R6'!$B$7:$G$7,B74,'R6'!$B$10:$G$10)</f>
        <v>171603.1190412</v>
      </c>
      <c r="AA74" s="53"/>
      <c r="AB74" s="5"/>
      <c r="AC74" s="5"/>
      <c r="AD74" s="5"/>
    </row>
    <row r="75" spans="1:30" s="10" customFormat="1" x14ac:dyDescent="0.25">
      <c r="A75" s="95"/>
      <c r="B75" s="31">
        <v>2020</v>
      </c>
      <c r="C75" s="14">
        <f>SUMIF('R6'!$B$7:$G$7,B75,'R6'!$B$17:$G$17)</f>
        <v>16.019739999999999</v>
      </c>
      <c r="D75" s="43">
        <f>SUMIF('R6'!$B$7:$G$7,B75,'R6'!$B$21:$G$21)</f>
        <v>0.99257987162312367</v>
      </c>
      <c r="E75" s="35">
        <f>SUMIF('R6'!$B$7:$G$7,B75,'R6'!$B$22:$G$22)</f>
        <v>0.99687617775686799</v>
      </c>
      <c r="F75" s="46">
        <f t="shared" ref="F75:F85" si="67">E75/D75</f>
        <v>1.0043284235924699</v>
      </c>
      <c r="G75" s="54"/>
      <c r="H75" s="4">
        <f>SUMIF('R6'!$B$7:$G$7,B75,'R6'!$B$19:$G$19)</f>
        <v>0.86070797642505747</v>
      </c>
      <c r="I75" s="5">
        <f>SUMIF('R6'!$B$7:$G$7,B75,'R6'!$B$20:$G$20)</f>
        <v>1</v>
      </c>
      <c r="J75" s="5">
        <f t="shared" ref="J75:J85" si="68">I75/H75</f>
        <v>1.1618342427282835</v>
      </c>
      <c r="K75" s="55"/>
      <c r="L75" s="27">
        <f>SUMIF('R6'!$B$7:$G$7,B75,'R6'!$B$11:$G$11)</f>
        <v>2.3732702195405939</v>
      </c>
      <c r="M75" s="24">
        <f>SUMIF('R6'!$B$7:$G$7,B75,'R6'!$B$12:$G$12)</f>
        <v>6.5912004538537703</v>
      </c>
      <c r="N75" s="24">
        <f t="shared" si="14"/>
        <v>8.9644706733943647</v>
      </c>
      <c r="O75" s="55"/>
      <c r="P75" s="39">
        <f t="shared" si="20"/>
        <v>2.777265057971217</v>
      </c>
      <c r="Q75" s="55"/>
      <c r="R75" s="27">
        <f>SUMIF('R6'!$B$7:$G$7,B75,'R6'!$B$15:$G$15)</f>
        <v>108568.4832299315</v>
      </c>
      <c r="S75" s="55"/>
      <c r="T75" s="27">
        <f>SUMIF('R6'!$B$7:$G$7,B75,'R6'!$B$16:$G$16)</f>
        <v>145920.60197013541</v>
      </c>
      <c r="U75" s="55"/>
      <c r="V75" s="24">
        <f t="shared" si="15"/>
        <v>1.3440420058286879</v>
      </c>
      <c r="W75" s="55"/>
      <c r="X75" s="85">
        <f>SUMIF('R6'!$B$7:$G$7,B75,'R6'!$B$27:$G$27)</f>
        <v>81290.104600453633</v>
      </c>
      <c r="Y75" s="55"/>
      <c r="Z75" s="85">
        <f>SUMIF('R6'!$B$7:$G$7,B75,'R6'!$B$10:$G$10)</f>
        <v>728722.75872792688</v>
      </c>
      <c r="AA75" s="55"/>
      <c r="AB75" s="13"/>
      <c r="AC75" s="13"/>
      <c r="AD75" s="13"/>
    </row>
    <row r="76" spans="1:30" x14ac:dyDescent="0.25">
      <c r="A76" s="95"/>
      <c r="B76" s="31">
        <v>2040</v>
      </c>
      <c r="C76" s="6">
        <f>SUMIF('R6'!$B$7:$G$7,B76,'R6'!$B$17:$G$17)</f>
        <v>16.019739999999999</v>
      </c>
      <c r="D76" s="43">
        <f>SUMIF('R6'!$B$7:$G$7,B76,'R6'!$B$21:$G$21)</f>
        <v>0.99257987162312367</v>
      </c>
      <c r="E76" s="35">
        <f>SUMIF('R6'!$B$7:$G$7,B76,'R6'!$B$22:$G$22)</f>
        <v>0.99687617775686799</v>
      </c>
      <c r="F76" s="47">
        <f t="shared" si="67"/>
        <v>1.0043284235924699</v>
      </c>
      <c r="G76" s="55"/>
      <c r="H76" s="4">
        <f>SUMIF('R6'!$B$7:$G$7,B76,'R6'!$B$19:$G$19)</f>
        <v>0.86070797642505747</v>
      </c>
      <c r="I76" s="5">
        <f>SUMIF('R6'!$B$7:$G$7,B76,'R6'!$B$20:$G$20)</f>
        <v>1</v>
      </c>
      <c r="J76" s="5">
        <f t="shared" si="68"/>
        <v>1.1618342427282835</v>
      </c>
      <c r="K76" s="55"/>
      <c r="L76" s="27">
        <f>SUMIF('R6'!$B$7:$G$7,B76,'R6'!$B$11:$G$11)</f>
        <v>2.379894599123348</v>
      </c>
      <c r="M76" s="24">
        <f>SUMIF('R6'!$B$7:$G$7,B76,'R6'!$B$12:$G$12)</f>
        <v>12.26569236775306</v>
      </c>
      <c r="N76" s="24">
        <f t="shared" si="14"/>
        <v>14.645586966876408</v>
      </c>
      <c r="O76" s="55"/>
      <c r="P76" s="40">
        <f t="shared" si="20"/>
        <v>5.1538805005361246</v>
      </c>
      <c r="Q76" s="55"/>
      <c r="R76" s="27">
        <f>SUMIF('R6'!$B$7:$G$7,B76,'R6'!$B$15:$G$15)</f>
        <v>196923.44014454001</v>
      </c>
      <c r="S76" s="55"/>
      <c r="T76" s="27">
        <f>SUMIF('R6'!$B$7:$G$7,B76,'R6'!$B$16:$G$16)</f>
        <v>264673.3754865533</v>
      </c>
      <c r="U76" s="55"/>
      <c r="V76" s="24">
        <f t="shared" si="15"/>
        <v>1.3440420058286888</v>
      </c>
      <c r="W76" s="55"/>
      <c r="X76" s="85">
        <f>SUMIF('R6'!$B$7:$G$7,B76,'R6'!$B$27:$G$27)</f>
        <v>151640.51381148171</v>
      </c>
      <c r="Y76" s="55"/>
      <c r="Z76" s="85">
        <f>SUMIF('R6'!$B$7:$G$7,B76,'R6'!$B$10:$G$10)</f>
        <v>2220864.332727877</v>
      </c>
      <c r="AA76" s="55"/>
      <c r="AB76" s="5"/>
      <c r="AC76" s="5"/>
      <c r="AD76" s="5"/>
    </row>
    <row r="77" spans="1:30" x14ac:dyDescent="0.25">
      <c r="A77" s="95"/>
      <c r="B77" s="31">
        <v>2060</v>
      </c>
      <c r="C77" s="6">
        <f>SUMIF('R6'!$B$7:$G$7,B77,'R6'!$B$17:$G$17)</f>
        <v>16.019739999999999</v>
      </c>
      <c r="D77" s="43">
        <f>SUMIF('R6'!$B$7:$G$7,B77,'R6'!$B$21:$G$21)</f>
        <v>0.99257987162312367</v>
      </c>
      <c r="E77" s="35">
        <f>SUMIF('R6'!$B$7:$G$7,B77,'R6'!$B$22:$G$22)</f>
        <v>0.99687617775686799</v>
      </c>
      <c r="F77" s="47">
        <f t="shared" si="67"/>
        <v>1.0043284235924699</v>
      </c>
      <c r="G77" s="55"/>
      <c r="H77" s="4">
        <f>SUMIF('R6'!$B$7:$G$7,B77,'R6'!$B$19:$G$19)</f>
        <v>0.86070797642505747</v>
      </c>
      <c r="I77" s="5">
        <f>SUMIF('R6'!$B$7:$G$7,B77,'R6'!$B$20:$G$20)</f>
        <v>1</v>
      </c>
      <c r="J77" s="5">
        <f t="shared" si="68"/>
        <v>1.1618342427282835</v>
      </c>
      <c r="K77" s="55"/>
      <c r="L77" s="27">
        <f>SUMIF('R6'!$B$7:$G$7,B77,'R6'!$B$11:$G$11)</f>
        <v>2.2240788244080152</v>
      </c>
      <c r="M77" s="24">
        <f>SUMIF('R6'!$B$7:$G$7,B77,'R6'!$B$12:$G$12)</f>
        <v>21.271667424770332</v>
      </c>
      <c r="N77" s="24">
        <f t="shared" si="14"/>
        <v>23.495746249178346</v>
      </c>
      <c r="O77" s="55"/>
      <c r="P77" s="40">
        <f t="shared" si="20"/>
        <v>9.5642596797045751</v>
      </c>
      <c r="Q77" s="55"/>
      <c r="R77" s="27">
        <f>SUMIF('R6'!$B$7:$G$7,B77,'R6'!$B$15:$G$15)</f>
        <v>302761.75679711433</v>
      </c>
      <c r="S77" s="55"/>
      <c r="T77" s="27">
        <f>SUMIF('R6'!$B$7:$G$7,B77,'R6'!$B$16:$G$16)</f>
        <v>406924.51889381098</v>
      </c>
      <c r="U77" s="55"/>
      <c r="V77" s="24">
        <f t="shared" si="15"/>
        <v>1.3440420058286882</v>
      </c>
      <c r="W77" s="55"/>
      <c r="X77" s="85">
        <f>SUMIF('R6'!$B$7:$G$7,B77,'R6'!$B$27:$G$27)</f>
        <v>237420.66655761871</v>
      </c>
      <c r="Y77" s="55"/>
      <c r="Z77" s="85">
        <f>SUMIF('R6'!$B$7:$G$7,B77,'R6'!$B$10:$G$10)</f>
        <v>5578375.7357485928</v>
      </c>
      <c r="AA77" s="55"/>
      <c r="AB77" s="5"/>
      <c r="AC77" s="5"/>
      <c r="AD77" s="5"/>
    </row>
    <row r="78" spans="1:30" x14ac:dyDescent="0.25">
      <c r="A78" s="95"/>
      <c r="B78" s="31">
        <v>2080</v>
      </c>
      <c r="C78" s="6">
        <f>SUMIF('R6'!$B$7:$G$7,B78,'R6'!$B$17:$G$17)</f>
        <v>16.019739999999999</v>
      </c>
      <c r="D78" s="43">
        <f>SUMIF('R6'!$B$7:$G$7,B78,'R6'!$B$21:$G$21)</f>
        <v>0.99257987162312367</v>
      </c>
      <c r="E78" s="35">
        <f>SUMIF('R6'!$B$7:$G$7,B78,'R6'!$B$22:$G$22)</f>
        <v>0.99687617775686799</v>
      </c>
      <c r="F78" s="47">
        <f t="shared" si="67"/>
        <v>1.0043284235924699</v>
      </c>
      <c r="G78" s="55"/>
      <c r="H78" s="4">
        <f>SUMIF('R6'!$B$7:$G$7,B78,'R6'!$B$19:$G$19)</f>
        <v>0.86070797642505747</v>
      </c>
      <c r="I78" s="5">
        <f>SUMIF('R6'!$B$7:$G$7,B78,'R6'!$B$20:$G$20)</f>
        <v>1</v>
      </c>
      <c r="J78" s="5">
        <f t="shared" si="68"/>
        <v>1.1618342427282835</v>
      </c>
      <c r="K78" s="55"/>
      <c r="L78" s="27">
        <f>SUMIF('R6'!$B$7:$G$7,B78,'R6'!$B$11:$G$11)</f>
        <v>1.988641786107898</v>
      </c>
      <c r="M78" s="24">
        <f>SUMIF('R6'!$B$7:$G$7,B78,'R6'!$B$12:$G$12)</f>
        <v>35.295954783753068</v>
      </c>
      <c r="N78" s="24">
        <f t="shared" ref="N78:N121" si="69">M78+L78</f>
        <v>37.284596569860966</v>
      </c>
      <c r="O78" s="55"/>
      <c r="P78" s="40">
        <f t="shared" si="20"/>
        <v>17.748774580882717</v>
      </c>
      <c r="Q78" s="55"/>
      <c r="R78" s="27">
        <f>SUMIF('R6'!$B$7:$G$7,B78,'R6'!$B$15:$G$15)</f>
        <v>420847.23599471513</v>
      </c>
      <c r="S78" s="55"/>
      <c r="T78" s="27">
        <f>SUMIF('R6'!$B$7:$G$7,B78,'R6'!$B$16:$G$16)</f>
        <v>565636.36321379628</v>
      </c>
      <c r="U78" s="55"/>
      <c r="V78" s="24">
        <f t="shared" ref="V78:V121" si="70">T78/R78</f>
        <v>1.3440420058286884</v>
      </c>
      <c r="W78" s="55"/>
      <c r="X78" s="85">
        <f>SUMIF('R6'!$B$7:$G$7,B78,'R6'!$B$27:$G$27)</f>
        <v>333644.70634259499</v>
      </c>
      <c r="Y78" s="55"/>
      <c r="Z78" s="85">
        <f>SUMIF('R6'!$B$7:$G$7,B78,'R6'!$B$10:$G$10)</f>
        <v>12439808.27365339</v>
      </c>
      <c r="AA78" s="55"/>
      <c r="AB78" s="5"/>
      <c r="AC78" s="5"/>
      <c r="AD78" s="5"/>
    </row>
    <row r="79" spans="1:30" ht="15.75" thickBot="1" x14ac:dyDescent="0.3">
      <c r="A79" s="96"/>
      <c r="B79" s="32">
        <v>2100</v>
      </c>
      <c r="C79" s="9">
        <f>SUMIF('R6'!$B$7:$G$7,B79,'R6'!$B$17:$G$17)</f>
        <v>16.019739999999999</v>
      </c>
      <c r="D79" s="44">
        <f>SUMIF('R6'!$B$7:$G$7,B79,'R6'!$B$21:$G$21)</f>
        <v>0.99257987162312367</v>
      </c>
      <c r="E79" s="36">
        <f>SUMIF('R6'!$B$7:$G$7,B79,'R6'!$B$22:$G$22)</f>
        <v>0.99687617775686799</v>
      </c>
      <c r="F79" s="48">
        <f t="shared" si="67"/>
        <v>1.0043284235924699</v>
      </c>
      <c r="G79" s="56"/>
      <c r="H79" s="7">
        <f>SUMIF('R6'!$B$7:$G$7,B79,'R6'!$B$19:$G$19)</f>
        <v>0.86070797642505747</v>
      </c>
      <c r="I79" s="8">
        <f>SUMIF('R6'!$B$7:$G$7,B79,'R6'!$B$20:$G$20)</f>
        <v>1</v>
      </c>
      <c r="J79" s="8">
        <f t="shared" si="68"/>
        <v>1.1618342427282835</v>
      </c>
      <c r="K79" s="56"/>
      <c r="L79" s="28">
        <f>SUMIF('R6'!$B$7:$G$7,B79,'R6'!$B$11:$G$11)</f>
        <v>1.7325223299399359</v>
      </c>
      <c r="M79" s="25">
        <f>SUMIF('R6'!$B$7:$G$7,B79,'R6'!$B$12:$G$12)</f>
        <v>57.064265151023697</v>
      </c>
      <c r="N79" s="25">
        <f t="shared" si="69"/>
        <v>58.79678748096363</v>
      </c>
      <c r="O79" s="56"/>
      <c r="P79" s="41">
        <f t="shared" si="20"/>
        <v>32.937102261188194</v>
      </c>
      <c r="Q79" s="56"/>
      <c r="R79" s="28">
        <f>SUMIF('R6'!$B$7:$G$7,B79,'R6'!$B$15:$G$15)</f>
        <v>551864.36227689253</v>
      </c>
      <c r="S79" s="56"/>
      <c r="T79" s="28">
        <f>SUMIF('R6'!$B$7:$G$7,B79,'R6'!$B$16:$G$16)</f>
        <v>741728.88442000479</v>
      </c>
      <c r="U79" s="56"/>
      <c r="V79" s="25">
        <f t="shared" si="70"/>
        <v>1.3440420058286888</v>
      </c>
      <c r="W79" s="56"/>
      <c r="X79" s="86">
        <f>SUMIF('R6'!$B$7:$G$7,B79,'R6'!$B$27:$G$27)</f>
        <v>440258.92054905329</v>
      </c>
      <c r="Y79" s="56"/>
      <c r="Z79" s="86">
        <f>SUMIF('R6'!$B$7:$G$7,B79,'R6'!$B$10:$G$10)</f>
        <v>25885810.18812114</v>
      </c>
      <c r="AA79" s="56"/>
      <c r="AB79" s="5"/>
      <c r="AC79" s="5"/>
      <c r="AD79" s="5"/>
    </row>
    <row r="80" spans="1:30" x14ac:dyDescent="0.25">
      <c r="A80" s="94" t="str">
        <f>'R6'!B1</f>
        <v>Gauteng</v>
      </c>
      <c r="B80" s="21">
        <v>2000</v>
      </c>
      <c r="C80" s="3">
        <f>SUMIF('R6'!$B$7:$G$7,B80,'R6'!$B$42:$G$42)</f>
        <v>16.019739999999999</v>
      </c>
      <c r="D80" s="42">
        <f>SUMIF('R6'!$B$7:$G$7,B80,'R6'!$B$46:$G$46)</f>
        <v>1</v>
      </c>
      <c r="E80" s="34">
        <f>SUMIF('R6'!$B$7:$G$7,B80,'R6'!$B$47:$G$47)</f>
        <v>1</v>
      </c>
      <c r="F80" s="49">
        <f t="shared" si="67"/>
        <v>1</v>
      </c>
      <c r="G80" s="57">
        <f t="shared" ref="G80:G85" si="71">(F80-$F74)/$F74</f>
        <v>0</v>
      </c>
      <c r="H80" s="1">
        <f>SUMIF('R6'!$B$7:$G$7,B80,'R6'!$B$44:$G$44)</f>
        <v>0.86070797642505747</v>
      </c>
      <c r="I80" s="2">
        <f>SUMIF('R6'!$B$7:$G$7,B80,'R6'!$B$45:$G$45)</f>
        <v>1</v>
      </c>
      <c r="J80" s="2">
        <f t="shared" si="68"/>
        <v>1.1618342427282835</v>
      </c>
      <c r="K80" s="57">
        <f t="shared" ref="K80:K85" si="72">(J80-$J74)/$J74</f>
        <v>0</v>
      </c>
      <c r="L80" s="26">
        <f>SUMIF('R6'!$B$7:$G$7,B80,'R6'!$B$36:$G$36)</f>
        <v>2.1370411467945001</v>
      </c>
      <c r="M80" s="23">
        <f>SUMIF('R6'!$B$7:$G$7,B80,'R6'!$B$37:$G$37)</f>
        <v>3.1982558270318999</v>
      </c>
      <c r="N80" s="23">
        <f t="shared" si="69"/>
        <v>5.3352969738264004</v>
      </c>
      <c r="O80" s="57"/>
      <c r="P80" s="38">
        <f t="shared" si="20"/>
        <v>1.4965813044026743</v>
      </c>
      <c r="Q80" s="57">
        <f t="shared" ref="Q80:Q85" si="73">(P80-$P74)/$P74</f>
        <v>0</v>
      </c>
      <c r="R80" s="26">
        <f>SUMIF('R6'!$B$7:$G$7,B80,'R6'!$B$40:$G$40)</f>
        <v>44533.81267978299</v>
      </c>
      <c r="S80" s="57">
        <f t="shared" ref="S80:S85" si="74">(R80-$R74)/$R74</f>
        <v>0</v>
      </c>
      <c r="T80" s="26">
        <f>SUMIF('R6'!$B$7:$G$7,B80,'R6'!$B$41:$G$41)</f>
        <v>59855.314921334641</v>
      </c>
      <c r="U80" s="57">
        <f t="shared" ref="U80:U85" si="75">(T80-$T74)/$T74</f>
        <v>0</v>
      </c>
      <c r="V80" s="23">
        <f t="shared" si="70"/>
        <v>1.344042005828689</v>
      </c>
      <c r="W80" s="57">
        <f t="shared" ref="W80:W85" si="76">(V80-$V74)/$V74</f>
        <v>0</v>
      </c>
      <c r="X80" s="84">
        <f>SUMIF('R6'!$B$7:$G$7,B80,'R6'!$B$52:$G$52)</f>
        <v>18427.262540756401</v>
      </c>
      <c r="Y80" s="57">
        <f t="shared" ref="Y80:Y85" si="77">(X80-$X74)/$X74</f>
        <v>0</v>
      </c>
      <c r="Z80" s="84">
        <f>SUMIF('R6'!$B$7:$G$7,B80,'R6'!$B$35:$G$35)</f>
        <v>171603.1190412</v>
      </c>
      <c r="AA80" s="57">
        <f t="shared" ref="AA80:AA85" si="78">(Z80-$Z74)/$Z74</f>
        <v>0</v>
      </c>
      <c r="AB80" s="5"/>
      <c r="AC80" s="5"/>
      <c r="AD80" s="5"/>
    </row>
    <row r="81" spans="1:30" x14ac:dyDescent="0.25">
      <c r="A81" s="95"/>
      <c r="B81" s="31">
        <v>2020</v>
      </c>
      <c r="C81" s="14">
        <f>SUMIF('R6'!$B$7:$G$7,B81,'R6'!$B$42:$G$42)</f>
        <v>16.609369999999998</v>
      </c>
      <c r="D81" s="43">
        <f>SUMIF('R6'!$B$7:$G$7,B81,'R6'!$B$46:$G$46)</f>
        <v>0.98300570279749855</v>
      </c>
      <c r="E81" s="35">
        <f>SUMIF('R6'!$B$7:$G$7,B81,'R6'!$B$47:$G$47)</f>
        <v>0.99977488244563673</v>
      </c>
      <c r="F81" s="50">
        <f t="shared" si="67"/>
        <v>1.0170590868398988</v>
      </c>
      <c r="G81" s="58">
        <f t="shared" si="71"/>
        <v>1.2675797028517292E-2</v>
      </c>
      <c r="H81" s="4">
        <f>SUMIF('R6'!$B$7:$G$7,B81,'R6'!$B$44:$G$44)</f>
        <v>0.88692043671715748</v>
      </c>
      <c r="I81" s="5">
        <f>SUMIF('R6'!$B$7:$G$7,B81,'R6'!$B$45:$G$45)</f>
        <v>1</v>
      </c>
      <c r="J81" s="13">
        <f t="shared" si="68"/>
        <v>1.1274968515793757</v>
      </c>
      <c r="K81" s="58">
        <f t="shared" si="72"/>
        <v>-2.9554466451492088E-2</v>
      </c>
      <c r="L81" s="27">
        <f>SUMIF('R6'!$B$7:$G$7,B81,'R6'!$B$36:$G$36)</f>
        <v>2.3651288584642529</v>
      </c>
      <c r="M81" s="24">
        <f>SUMIF('R6'!$B$7:$G$7,B81,'R6'!$B$37:$G$37)</f>
        <v>6.5972317189890139</v>
      </c>
      <c r="N81" s="24">
        <f t="shared" si="69"/>
        <v>8.9623605774532678</v>
      </c>
      <c r="O81" s="58"/>
      <c r="P81" s="39">
        <f t="shared" si="20"/>
        <v>2.7893751731027412</v>
      </c>
      <c r="Q81" s="58">
        <f t="shared" si="73"/>
        <v>4.3604462947337682E-3</v>
      </c>
      <c r="R81" s="27">
        <f>SUMIF('R6'!$B$7:$G$7,B81,'R6'!$B$40:$G$40)</f>
        <v>109694.09059044671</v>
      </c>
      <c r="S81" s="58">
        <f t="shared" si="74"/>
        <v>1.0367717472218345E-2</v>
      </c>
      <c r="T81" s="27">
        <f>SUMIF('R6'!$B$7:$G$7,B81,'R6'!$B$41:$G$41)</f>
        <v>145588.021336493</v>
      </c>
      <c r="U81" s="58">
        <f t="shared" si="75"/>
        <v>-2.279189018905507E-3</v>
      </c>
      <c r="V81" s="24">
        <f t="shared" si="70"/>
        <v>1.3272184540921141</v>
      </c>
      <c r="W81" s="58">
        <f t="shared" si="76"/>
        <v>-1.2517132398850137E-2</v>
      </c>
      <c r="X81" s="85">
        <f>SUMIF('R6'!$B$7:$G$7,B81,'R6'!$B$52:$G$52)</f>
        <v>81359.815569567771</v>
      </c>
      <c r="Y81" s="58">
        <f t="shared" si="77"/>
        <v>8.5755787197927514E-4</v>
      </c>
      <c r="Z81" s="85">
        <f>SUMIF('R6'!$B$7:$G$7,B81,'R6'!$B$35:$G$35)</f>
        <v>729176.00364956271</v>
      </c>
      <c r="AA81" s="58">
        <f t="shared" si="78"/>
        <v>6.2197168430286136E-4</v>
      </c>
      <c r="AB81" s="5"/>
      <c r="AC81" s="5"/>
      <c r="AD81" s="5"/>
    </row>
    <row r="82" spans="1:30" x14ac:dyDescent="0.25">
      <c r="A82" s="95"/>
      <c r="B82" s="31">
        <v>2040</v>
      </c>
      <c r="C82" s="6">
        <f>SUMIF('R6'!$B$7:$G$7,B82,'R6'!$B$42:$G$42)</f>
        <v>16.96264</v>
      </c>
      <c r="D82" s="43">
        <f>SUMIF('R6'!$B$7:$G$7,B82,'R6'!$B$46:$G$46)</f>
        <v>0.97451937357749729</v>
      </c>
      <c r="E82" s="35">
        <f>SUMIF('R6'!$B$7:$G$7,B82,'R6'!$B$47:$G$47)</f>
        <v>0.99985329417805535</v>
      </c>
      <c r="F82" s="50">
        <f t="shared" si="67"/>
        <v>1.0259963232003857</v>
      </c>
      <c r="G82" s="58">
        <f t="shared" si="71"/>
        <v>2.1574515964021032E-2</v>
      </c>
      <c r="H82" s="4">
        <f>SUMIF('R6'!$B$7:$G$7,B82,'R6'!$B$44:$G$44)</f>
        <v>0.90483741803595918</v>
      </c>
      <c r="I82" s="5">
        <f>SUMIF('R6'!$B$7:$G$7,B82,'R6'!$B$45:$G$45)</f>
        <v>1</v>
      </c>
      <c r="J82" s="5">
        <f t="shared" si="68"/>
        <v>1.1051709180756482</v>
      </c>
      <c r="K82" s="58">
        <f t="shared" si="72"/>
        <v>-4.8770575499285845E-2</v>
      </c>
      <c r="L82" s="27">
        <f>SUMIF('R6'!$B$7:$G$7,B82,'R6'!$B$36:$G$36)</f>
        <v>2.364471542846756</v>
      </c>
      <c r="M82" s="24">
        <f>SUMIF('R6'!$B$7:$G$7,B82,'R6'!$B$37:$G$37)</f>
        <v>12.273815891798071</v>
      </c>
      <c r="N82" s="24">
        <f t="shared" si="69"/>
        <v>14.638287434644827</v>
      </c>
      <c r="O82" s="58"/>
      <c r="P82" s="40">
        <f t="shared" si="20"/>
        <v>5.1909340710528271</v>
      </c>
      <c r="Q82" s="58">
        <f t="shared" si="73"/>
        <v>7.1894508444361694E-3</v>
      </c>
      <c r="R82" s="27">
        <f>SUMIF('R6'!$B$7:$G$7,B82,'R6'!$B$40:$G$40)</f>
        <v>200717.50839750489</v>
      </c>
      <c r="S82" s="58">
        <f t="shared" si="74"/>
        <v>1.9266717309935601E-2</v>
      </c>
      <c r="T82" s="27">
        <f>SUMIF('R6'!$B$7:$G$7,B82,'R6'!$B$41:$G$41)</f>
        <v>264075.46231411688</v>
      </c>
      <c r="U82" s="58">
        <f t="shared" si="75"/>
        <v>-2.2590605169003457E-3</v>
      </c>
      <c r="V82" s="24">
        <f t="shared" si="70"/>
        <v>1.3156573356377892</v>
      </c>
      <c r="W82" s="58">
        <f t="shared" si="76"/>
        <v>-2.1118886216207687E-2</v>
      </c>
      <c r="X82" s="85">
        <f>SUMIF('R6'!$B$7:$G$7,B82,'R6'!$B$52:$G$52)</f>
        <v>151789.7260545496</v>
      </c>
      <c r="Y82" s="58">
        <f t="shared" si="77"/>
        <v>9.8398666238618741E-4</v>
      </c>
      <c r="Z82" s="85">
        <f>SUMIF('R6'!$B$7:$G$7,B82,'R6'!$B$35:$G$35)</f>
        <v>2221941.639612494</v>
      </c>
      <c r="AA82" s="58">
        <f t="shared" si="78"/>
        <v>4.8508450909913448E-4</v>
      </c>
      <c r="AB82" s="5"/>
      <c r="AC82" s="5"/>
      <c r="AD82" s="5"/>
    </row>
    <row r="83" spans="1:30" x14ac:dyDescent="0.25">
      <c r="A83" s="95"/>
      <c r="B83" s="31">
        <v>2060</v>
      </c>
      <c r="C83" s="6">
        <f>SUMIF('R6'!$B$7:$G$7,B83,'R6'!$B$42:$G$42)</f>
        <v>17.221920000000001</v>
      </c>
      <c r="D83" s="43">
        <f>SUMIF('R6'!$B$7:$G$7,B83,'R6'!$B$46:$G$46)</f>
        <v>0.96966048781639314</v>
      </c>
      <c r="E83" s="35">
        <f>SUMIF('R6'!$B$7:$G$7,B83,'R6'!$B$47:$G$47)</f>
        <v>0.99933476497980267</v>
      </c>
      <c r="F83" s="50">
        <f t="shared" si="67"/>
        <v>1.0306027496595576</v>
      </c>
      <c r="G83" s="58">
        <f t="shared" si="71"/>
        <v>2.6161089788840942E-2</v>
      </c>
      <c r="H83" s="4">
        <f>SUMIF('R6'!$B$7:$G$7,B83,'R6'!$B$44:$G$44)</f>
        <v>0.91393118527122841</v>
      </c>
      <c r="I83" s="5">
        <f>SUMIF('R6'!$B$7:$G$7,B83,'R6'!$B$45:$G$45)</f>
        <v>1</v>
      </c>
      <c r="J83" s="5">
        <f t="shared" si="68"/>
        <v>1.0941742837052102</v>
      </c>
      <c r="K83" s="58">
        <f t="shared" si="72"/>
        <v>-5.8235466415751745E-2</v>
      </c>
      <c r="L83" s="27">
        <f>SUMIF('R6'!$B$7:$G$7,B83,'R6'!$B$36:$G$36)</f>
        <v>2.205407373418371</v>
      </c>
      <c r="M83" s="24">
        <f>SUMIF('R6'!$B$7:$G$7,B83,'R6'!$B$37:$G$37)</f>
        <v>21.274076317777869</v>
      </c>
      <c r="N83" s="24">
        <f t="shared" si="69"/>
        <v>23.47948369119624</v>
      </c>
      <c r="O83" s="58"/>
      <c r="P83" s="40">
        <f t="shared" si="20"/>
        <v>9.6463250164994019</v>
      </c>
      <c r="Q83" s="58">
        <f t="shared" si="73"/>
        <v>8.5804170467025237E-3</v>
      </c>
      <c r="R83" s="27">
        <f>SUMIF('R6'!$B$7:$G$7,B83,'R6'!$B$40:$G$40)</f>
        <v>310320.54182170308</v>
      </c>
      <c r="S83" s="58">
        <f t="shared" si="74"/>
        <v>2.4966115616953631E-2</v>
      </c>
      <c r="T83" s="27">
        <f>SUMIF('R6'!$B$7:$G$7,B83,'R6'!$B$41:$G$41)</f>
        <v>406450.65149148571</v>
      </c>
      <c r="U83" s="58">
        <f t="shared" si="75"/>
        <v>-1.1645093385216387E-3</v>
      </c>
      <c r="V83" s="24">
        <f t="shared" si="70"/>
        <v>1.309776816917956</v>
      </c>
      <c r="W83" s="58">
        <f t="shared" si="76"/>
        <v>-2.5494135422951657E-2</v>
      </c>
      <c r="X83" s="85">
        <f>SUMIF('R6'!$B$7:$G$7,B83,'R6'!$B$52:$G$52)</f>
        <v>237775.14355171609</v>
      </c>
      <c r="Y83" s="58">
        <f t="shared" si="77"/>
        <v>1.4930334382299937E-3</v>
      </c>
      <c r="Z83" s="85">
        <f>SUMIF('R6'!$B$7:$G$7,B83,'R6'!$B$35:$G$35)</f>
        <v>5582837.6051943628</v>
      </c>
      <c r="AA83" s="58">
        <f t="shared" si="78"/>
        <v>7.9985100630215701E-4</v>
      </c>
      <c r="AB83" s="5"/>
      <c r="AC83" s="5"/>
      <c r="AD83" s="5"/>
    </row>
    <row r="84" spans="1:30" x14ac:dyDescent="0.25">
      <c r="A84" s="95"/>
      <c r="B84" s="31">
        <v>2080</v>
      </c>
      <c r="C84" s="6">
        <f>SUMIF('R6'!$B$7:$G$7,B84,'R6'!$B$42:$G$42)</f>
        <v>17.214169999999999</v>
      </c>
      <c r="D84" s="43">
        <f>SUMIF('R6'!$B$7:$G$7,B84,'R6'!$B$46:$G$46)</f>
        <v>0.96966048781639314</v>
      </c>
      <c r="E84" s="35">
        <f>SUMIF('R6'!$B$7:$G$7,B84,'R6'!$B$47:$G$47)</f>
        <v>0.99933476497980267</v>
      </c>
      <c r="F84" s="50">
        <f t="shared" si="67"/>
        <v>1.0306027496595576</v>
      </c>
      <c r="G84" s="58">
        <f t="shared" si="71"/>
        <v>2.6161089788840942E-2</v>
      </c>
      <c r="H84" s="4">
        <f>SUMIF('R6'!$B$7:$G$7,B84,'R6'!$B$44:$G$44)</f>
        <v>0.91393118527122841</v>
      </c>
      <c r="I84" s="5">
        <f>SUMIF('R6'!$B$7:$G$7,B84,'R6'!$B$45:$G$45)</f>
        <v>1</v>
      </c>
      <c r="J84" s="5">
        <f t="shared" si="68"/>
        <v>1.0941742837052102</v>
      </c>
      <c r="K84" s="58">
        <f t="shared" si="72"/>
        <v>-5.8235466415751745E-2</v>
      </c>
      <c r="L84" s="27">
        <f>SUMIF('R6'!$B$7:$G$7,B84,'R6'!$B$36:$G$36)</f>
        <v>1.9710307036106649</v>
      </c>
      <c r="M84" s="24">
        <f>SUMIF('R6'!$B$7:$G$7,B84,'R6'!$B$37:$G$37)</f>
        <v>35.283551637487783</v>
      </c>
      <c r="N84" s="24">
        <f t="shared" si="69"/>
        <v>37.254582341098448</v>
      </c>
      <c r="O84" s="58"/>
      <c r="P84" s="40">
        <f t="shared" ref="P84:P121" si="79">M84/L84</f>
        <v>17.901066468854609</v>
      </c>
      <c r="Q84" s="58">
        <f t="shared" si="73"/>
        <v>8.5804170467028065E-3</v>
      </c>
      <c r="R84" s="27">
        <f>SUMIF('R6'!$B$7:$G$7,B84,'R6'!$B$40:$G$40)</f>
        <v>432048.19461095228</v>
      </c>
      <c r="S84" s="58">
        <f t="shared" si="74"/>
        <v>2.6615260023658119E-2</v>
      </c>
      <c r="T84" s="27">
        <f>SUMIF('R6'!$B$7:$G$7,B84,'R6'!$B$41:$G$41)</f>
        <v>565886.70909268258</v>
      </c>
      <c r="U84" s="58">
        <f t="shared" si="75"/>
        <v>4.4259155734594689E-4</v>
      </c>
      <c r="V84" s="24">
        <f t="shared" si="70"/>
        <v>1.3097768169179558</v>
      </c>
      <c r="W84" s="58">
        <f t="shared" si="76"/>
        <v>-2.5494135422951984E-2</v>
      </c>
      <c r="X84" s="85">
        <f>SUMIF('R6'!$B$7:$G$7,B84,'R6'!$B$52:$G$52)</f>
        <v>334653.39723478322</v>
      </c>
      <c r="Y84" s="58">
        <f t="shared" si="77"/>
        <v>3.0232486025193457E-3</v>
      </c>
      <c r="Z84" s="85">
        <f>SUMIF('R6'!$B$7:$G$7,B84,'R6'!$B$35:$G$35)</f>
        <v>12467372.543011559</v>
      </c>
      <c r="AA84" s="58">
        <f t="shared" si="78"/>
        <v>2.2158114298713436E-3</v>
      </c>
      <c r="AB84" s="5"/>
      <c r="AC84" s="5"/>
      <c r="AD84" s="5"/>
    </row>
    <row r="85" spans="1:30" ht="15.75" thickBot="1" x14ac:dyDescent="0.3">
      <c r="A85" s="96"/>
      <c r="B85" s="32">
        <v>2100</v>
      </c>
      <c r="C85" s="9">
        <f>SUMIF('R6'!$B$7:$G$7,B85,'R6'!$B$42:$G$42)</f>
        <v>17.119350000000001</v>
      </c>
      <c r="D85" s="44">
        <f>SUMIF('R6'!$B$7:$G$7,B85,'R6'!$B$46:$G$46)</f>
        <v>0.97451937357749729</v>
      </c>
      <c r="E85" s="36">
        <f>SUMIF('R6'!$B$7:$G$7,B85,'R6'!$B$47:$G$47)</f>
        <v>0.99985329417805535</v>
      </c>
      <c r="F85" s="51">
        <f t="shared" si="67"/>
        <v>1.0259963232003857</v>
      </c>
      <c r="G85" s="59">
        <f t="shared" si="71"/>
        <v>2.1574515964021032E-2</v>
      </c>
      <c r="H85" s="7">
        <f>SUMIF('R6'!$B$7:$G$7,B85,'R6'!$B$44:$G$44)</f>
        <v>0.91393118527122841</v>
      </c>
      <c r="I85" s="8">
        <f>SUMIF('R6'!$B$7:$G$7,B85,'R6'!$B$45:$G$45)</f>
        <v>1</v>
      </c>
      <c r="J85" s="8">
        <f t="shared" si="68"/>
        <v>1.0941742837052102</v>
      </c>
      <c r="K85" s="59">
        <f t="shared" si="72"/>
        <v>-5.8235466415751745E-2</v>
      </c>
      <c r="L85" s="28">
        <f>SUMIF('R6'!$B$7:$G$7,B85,'R6'!$B$36:$G$36)</f>
        <v>1.714841842418539</v>
      </c>
      <c r="M85" s="25">
        <f>SUMIF('R6'!$B$7:$G$7,B85,'R6'!$B$37:$G$37)</f>
        <v>57.030393032060708</v>
      </c>
      <c r="N85" s="25">
        <f t="shared" si="69"/>
        <v>58.745234874479245</v>
      </c>
      <c r="O85" s="59"/>
      <c r="P85" s="41">
        <f t="shared" si="79"/>
        <v>33.256940448588253</v>
      </c>
      <c r="Q85" s="59">
        <f t="shared" si="73"/>
        <v>9.7105745631103618E-3</v>
      </c>
      <c r="R85" s="33">
        <f>SUMIF('R6'!$B$7:$G$7,B85,'R6'!$B$40:$G$40)</f>
        <v>564938.57863628573</v>
      </c>
      <c r="S85" s="59">
        <f t="shared" si="74"/>
        <v>2.369099592778804E-2</v>
      </c>
      <c r="T85" s="28">
        <f>SUMIF('R6'!$B$7:$G$7,B85,'R6'!$B$41:$G$41)</f>
        <v>743265.58516761567</v>
      </c>
      <c r="U85" s="59">
        <f t="shared" si="75"/>
        <v>2.0717822642332562E-3</v>
      </c>
      <c r="V85" s="25">
        <f t="shared" si="70"/>
        <v>1.3156573356377899</v>
      </c>
      <c r="W85" s="59">
        <f t="shared" si="76"/>
        <v>-2.1118886216207194E-2</v>
      </c>
      <c r="X85" s="86">
        <f>SUMIF('R6'!$B$7:$G$7,B85,'R6'!$B$52:$G$52)</f>
        <v>442520.36835778481</v>
      </c>
      <c r="Y85" s="59">
        <f t="shared" si="77"/>
        <v>5.1366314302302776E-3</v>
      </c>
      <c r="Z85" s="86">
        <f>SUMIF('R6'!$B$7:$G$7,B85,'R6'!$B$35:$G$35)</f>
        <v>25995962.975919139</v>
      </c>
      <c r="AA85" s="59">
        <f t="shared" si="78"/>
        <v>4.2553347566670775E-3</v>
      </c>
      <c r="AB85" s="5"/>
      <c r="AC85" s="5"/>
      <c r="AD85" s="5"/>
    </row>
    <row r="86" spans="1:30" x14ac:dyDescent="0.25">
      <c r="A86" s="103" t="s">
        <v>6</v>
      </c>
      <c r="B86" s="21">
        <v>2000</v>
      </c>
      <c r="C86" s="3">
        <f>SUMIF('R7'!$B$7:$G$7,B86,'R7'!$B$17:$G$17)</f>
        <v>18.701260000000001</v>
      </c>
      <c r="D86" s="42">
        <f>SUMIF('R7'!$B$7:$G$7,B86,'R7'!$B$21:$G$21)</f>
        <v>1</v>
      </c>
      <c r="E86" s="34">
        <f>SUMIF('R7'!$B$7:$G$7,B86,'R7'!$B$22:$G$22)</f>
        <v>1</v>
      </c>
      <c r="F86" s="45">
        <f>E86/D86</f>
        <v>1</v>
      </c>
      <c r="G86" s="53"/>
      <c r="H86" s="1">
        <f>SUMIF('R7'!$B$7:$G$7,B86,'R7'!$B$19:$G$19)</f>
        <v>0.97044553354850793</v>
      </c>
      <c r="I86" s="2">
        <f>SUMIF('R7'!$B$7:$G$7,B86,'R7'!$B$20:$G$20)</f>
        <v>1</v>
      </c>
      <c r="J86" s="2">
        <f>I86/H86</f>
        <v>1.0304545339535172</v>
      </c>
      <c r="K86" s="53"/>
      <c r="L86" s="26">
        <f>SUMIF('R7'!$B$7:$G$7,B86,'R7'!$B$11:$G$11)</f>
        <v>0.82533526478849994</v>
      </c>
      <c r="M86" s="24">
        <f>SUMIF('R7'!$B$7:$G$7,B86,'R7'!$B$12:$G$12)</f>
        <v>1.2351813271467</v>
      </c>
      <c r="N86" s="23">
        <f t="shared" si="69"/>
        <v>2.0605165919352002</v>
      </c>
      <c r="O86" s="53"/>
      <c r="P86" s="38">
        <f t="shared" si="79"/>
        <v>1.4965813044026746</v>
      </c>
      <c r="Q86" s="53"/>
      <c r="R86" s="26">
        <f>SUMIF('R7'!$B$7:$G$7,B86,'R7'!$B$15:$G$15)</f>
        <v>46414.168855270647</v>
      </c>
      <c r="S86" s="53"/>
      <c r="T86" s="26">
        <f>SUMIF('R7'!$B$7:$G$7,B86,'R7'!$B$16:$G$16)</f>
        <v>59092.133318389097</v>
      </c>
      <c r="U86" s="53"/>
      <c r="V86" s="23">
        <f t="shared" si="70"/>
        <v>1.2731485831977529</v>
      </c>
      <c r="W86" s="53"/>
      <c r="X86" s="84">
        <f>SUMIF('R7'!$B$7:$G$7,B86,'R7'!$B$27:$G$27)</f>
        <v>18427.262540756401</v>
      </c>
      <c r="Y86" s="53"/>
      <c r="Z86" s="84">
        <f>SUMIF('R7'!$B$7:$G$7,B86,'R7'!$B$10:$G$10)</f>
        <v>66273.9254716</v>
      </c>
      <c r="AA86" s="53"/>
      <c r="AB86" s="5"/>
      <c r="AC86" s="5"/>
      <c r="AD86" s="5"/>
    </row>
    <row r="87" spans="1:30" s="10" customFormat="1" x14ac:dyDescent="0.25">
      <c r="A87" s="104"/>
      <c r="B87" s="31">
        <v>2020</v>
      </c>
      <c r="C87" s="14">
        <f>SUMIF('R7'!$B$7:$G$7,B87,'R7'!$B$17:$G$17)</f>
        <v>18.701260000000001</v>
      </c>
      <c r="D87" s="43">
        <f>SUMIF('R7'!$B$7:$G$7,B87,'R7'!$B$21:$G$21)</f>
        <v>0.93231395090361513</v>
      </c>
      <c r="E87" s="35">
        <f>SUMIF('R7'!$B$7:$G$7,B87,'R7'!$B$22:$G$22)</f>
        <v>0.98848865179879042</v>
      </c>
      <c r="F87" s="46">
        <f t="shared" ref="F87:F97" si="80">E87/D87</f>
        <v>1.0602529875700453</v>
      </c>
      <c r="G87" s="54"/>
      <c r="H87" s="4">
        <f>SUMIF('R7'!$B$7:$G$7,B87,'R7'!$B$19:$G$19)</f>
        <v>0.97044553354850793</v>
      </c>
      <c r="I87" s="5">
        <f>SUMIF('R7'!$B$7:$G$7,B87,'R7'!$B$20:$G$20)</f>
        <v>1</v>
      </c>
      <c r="J87" s="5">
        <f t="shared" ref="J87:J97" si="81">I87/H87</f>
        <v>1.0304545339535172</v>
      </c>
      <c r="K87" s="55"/>
      <c r="L87" s="27">
        <f>SUMIF('R7'!$B$7:$G$7,B87,'R7'!$B$11:$G$11)</f>
        <v>0.91656803520009766</v>
      </c>
      <c r="M87" s="24">
        <f>SUMIF('R7'!$B$7:$G$7,B87,'R7'!$B$12:$G$12)</f>
        <v>2.545552377414563</v>
      </c>
      <c r="N87" s="24">
        <f t="shared" si="69"/>
        <v>3.4621204126146607</v>
      </c>
      <c r="O87" s="55"/>
      <c r="P87" s="39">
        <f t="shared" si="79"/>
        <v>2.7772650579712161</v>
      </c>
      <c r="Q87" s="55"/>
      <c r="R87" s="27">
        <f>SUMIF('R7'!$B$7:$G$7,B87,'R7'!$B$15:$G$15)</f>
        <v>110519.97821770579</v>
      </c>
      <c r="S87" s="55"/>
      <c r="T87" s="27">
        <f>SUMIF('R7'!$B$7:$G$7,B87,'R7'!$B$16:$G$16)</f>
        <v>140708.35368291859</v>
      </c>
      <c r="U87" s="55"/>
      <c r="V87" s="24">
        <f t="shared" si="70"/>
        <v>1.2731485831977525</v>
      </c>
      <c r="W87" s="55"/>
      <c r="X87" s="85">
        <f>SUMIF('R7'!$B$7:$G$7,B87,'R7'!$B$27:$G$27)</f>
        <v>77726.913338533879</v>
      </c>
      <c r="Y87" s="55"/>
      <c r="Z87" s="85">
        <f>SUMIF('R7'!$B$7:$G$7,B87,'R7'!$B$10:$G$10)</f>
        <v>269099.93327886891</v>
      </c>
      <c r="AA87" s="55"/>
      <c r="AB87" s="13"/>
      <c r="AC87" s="13"/>
      <c r="AD87" s="13"/>
    </row>
    <row r="88" spans="1:30" x14ac:dyDescent="0.25">
      <c r="A88" s="104"/>
      <c r="B88" s="31">
        <v>2040</v>
      </c>
      <c r="C88" s="6">
        <f>SUMIF('R7'!$B$7:$G$7,B88,'R7'!$B$17:$G$17)</f>
        <v>18.701260000000001</v>
      </c>
      <c r="D88" s="43">
        <f>SUMIF('R7'!$B$7:$G$7,B88,'R7'!$B$21:$G$21)</f>
        <v>0.93231395090361513</v>
      </c>
      <c r="E88" s="35">
        <f>SUMIF('R7'!$B$7:$G$7,B88,'R7'!$B$22:$G$22)</f>
        <v>0.98848865179879042</v>
      </c>
      <c r="F88" s="47">
        <f t="shared" si="80"/>
        <v>1.0602529875700453</v>
      </c>
      <c r="G88" s="55"/>
      <c r="H88" s="4">
        <f>SUMIF('R7'!$B$7:$G$7,B88,'R7'!$B$19:$G$19)</f>
        <v>0.97044553354850793</v>
      </c>
      <c r="I88" s="5">
        <f>SUMIF('R7'!$B$7:$G$7,B88,'R7'!$B$20:$G$20)</f>
        <v>1</v>
      </c>
      <c r="J88" s="5">
        <f t="shared" si="81"/>
        <v>1.0304545339535172</v>
      </c>
      <c r="K88" s="55"/>
      <c r="L88" s="27">
        <f>SUMIF('R7'!$B$7:$G$7,B88,'R7'!$B$11:$G$11)</f>
        <v>0.91912640151194525</v>
      </c>
      <c r="M88" s="24">
        <f>SUMIF('R7'!$B$7:$G$7,B88,'R7'!$B$12:$G$12)</f>
        <v>4.7370676382803527</v>
      </c>
      <c r="N88" s="24">
        <f t="shared" si="69"/>
        <v>5.6561940397922976</v>
      </c>
      <c r="O88" s="55"/>
      <c r="P88" s="40">
        <f t="shared" si="79"/>
        <v>5.1538805005361263</v>
      </c>
      <c r="Q88" s="55"/>
      <c r="R88" s="27">
        <f>SUMIF('R7'!$B$7:$G$7,B88,'R7'!$B$15:$G$15)</f>
        <v>203428.17633565419</v>
      </c>
      <c r="S88" s="55"/>
      <c r="T88" s="27">
        <f>SUMIF('R7'!$B$7:$G$7,B88,'R7'!$B$16:$G$16)</f>
        <v>258994.2944842407</v>
      </c>
      <c r="U88" s="55"/>
      <c r="V88" s="24">
        <f t="shared" si="70"/>
        <v>1.2731485831977525</v>
      </c>
      <c r="W88" s="55"/>
      <c r="X88" s="85">
        <f>SUMIF('R7'!$B$7:$G$7,B88,'R7'!$B$27:$G$27)</f>
        <v>147138.2742633879</v>
      </c>
      <c r="Y88" s="55"/>
      <c r="Z88" s="85">
        <f>SUMIF('R7'!$B$7:$G$7,B88,'R7'!$B$10:$G$10)</f>
        <v>832242.62991389912</v>
      </c>
      <c r="AA88" s="55"/>
      <c r="AB88" s="5"/>
      <c r="AC88" s="5"/>
      <c r="AD88" s="5"/>
    </row>
    <row r="89" spans="1:30" x14ac:dyDescent="0.25">
      <c r="A89" s="104"/>
      <c r="B89" s="31">
        <v>2060</v>
      </c>
      <c r="C89" s="6">
        <f>SUMIF('R7'!$B$7:$G$7,B89,'R7'!$B$17:$G$17)</f>
        <v>18.701260000000001</v>
      </c>
      <c r="D89" s="43">
        <f>SUMIF('R7'!$B$7:$G$7,B89,'R7'!$B$21:$G$21)</f>
        <v>0.93231395090361513</v>
      </c>
      <c r="E89" s="35">
        <f>SUMIF('R7'!$B$7:$G$7,B89,'R7'!$B$22:$G$22)</f>
        <v>0.98848865179879042</v>
      </c>
      <c r="F89" s="47">
        <f t="shared" si="80"/>
        <v>1.0602529875700453</v>
      </c>
      <c r="G89" s="55"/>
      <c r="H89" s="4">
        <f>SUMIF('R7'!$B$7:$G$7,B89,'R7'!$B$19:$G$19)</f>
        <v>0.97044553354850793</v>
      </c>
      <c r="I89" s="5">
        <f>SUMIF('R7'!$B$7:$G$7,B89,'R7'!$B$20:$G$20)</f>
        <v>1</v>
      </c>
      <c r="J89" s="5">
        <f t="shared" si="81"/>
        <v>1.0304545339535172</v>
      </c>
      <c r="K89" s="55"/>
      <c r="L89" s="27">
        <f>SUMIF('R7'!$B$7:$G$7,B89,'R7'!$B$11:$G$11)</f>
        <v>0.85894962210093528</v>
      </c>
      <c r="M89" s="24">
        <f>SUMIF('R7'!$B$7:$G$7,B89,'R7'!$B$12:$G$12)</f>
        <v>8.215217237557459</v>
      </c>
      <c r="N89" s="24">
        <f t="shared" si="69"/>
        <v>9.0741668596583942</v>
      </c>
      <c r="O89" s="55"/>
      <c r="P89" s="40">
        <f t="shared" si="79"/>
        <v>9.5642596797045769</v>
      </c>
      <c r="Q89" s="55"/>
      <c r="R89" s="27">
        <f>SUMIF('R7'!$B$7:$G$7,B89,'R7'!$B$15:$G$15)</f>
        <v>315681.46857163479</v>
      </c>
      <c r="S89" s="55"/>
      <c r="T89" s="27">
        <f>SUMIF('R7'!$B$7:$G$7,B89,'R7'!$B$16:$G$16)</f>
        <v>401909.41445376311</v>
      </c>
      <c r="U89" s="55"/>
      <c r="V89" s="24">
        <f t="shared" si="70"/>
        <v>1.2731485831977538</v>
      </c>
      <c r="W89" s="55"/>
      <c r="X89" s="85">
        <f>SUMIF('R7'!$B$7:$G$7,B89,'R7'!$B$27:$G$27)</f>
        <v>232521.60422127001</v>
      </c>
      <c r="Y89" s="55"/>
      <c r="Z89" s="85">
        <f>SUMIF('R7'!$B$7:$G$7,B89,'R7'!$B$10:$G$10)</f>
        <v>2109939.835179253</v>
      </c>
      <c r="AA89" s="55"/>
      <c r="AB89" s="5"/>
      <c r="AC89" s="5"/>
      <c r="AD89" s="5"/>
    </row>
    <row r="90" spans="1:30" x14ac:dyDescent="0.25">
      <c r="A90" s="104"/>
      <c r="B90" s="31">
        <v>2080</v>
      </c>
      <c r="C90" s="6">
        <f>SUMIF('R7'!$B$7:$G$7,B90,'R7'!$B$17:$G$17)</f>
        <v>18.701260000000001</v>
      </c>
      <c r="D90" s="43">
        <f>SUMIF('R7'!$B$7:$G$7,B90,'R7'!$B$21:$G$21)</f>
        <v>0.93231395090361513</v>
      </c>
      <c r="E90" s="35">
        <f>SUMIF('R7'!$B$7:$G$7,B90,'R7'!$B$22:$G$22)</f>
        <v>0.98848865179879042</v>
      </c>
      <c r="F90" s="47">
        <f t="shared" si="80"/>
        <v>1.0602529875700453</v>
      </c>
      <c r="G90" s="55"/>
      <c r="H90" s="4">
        <f>SUMIF('R7'!$B$7:$G$7,B90,'R7'!$B$19:$G$19)</f>
        <v>0.97044553354850793</v>
      </c>
      <c r="I90" s="5">
        <f>SUMIF('R7'!$B$7:$G$7,B90,'R7'!$B$20:$G$20)</f>
        <v>1</v>
      </c>
      <c r="J90" s="5">
        <f t="shared" si="81"/>
        <v>1.0304545339535172</v>
      </c>
      <c r="K90" s="55"/>
      <c r="L90" s="27">
        <f>SUMIF('R7'!$B$7:$G$7,B90,'R7'!$B$11:$G$11)</f>
        <v>0.76802273908891994</v>
      </c>
      <c r="M90" s="24">
        <f>SUMIF('R7'!$B$7:$G$7,B90,'R7'!$B$12:$G$12)</f>
        <v>13.63146246908134</v>
      </c>
      <c r="N90" s="24">
        <f t="shared" si="69"/>
        <v>14.39948520817026</v>
      </c>
      <c r="O90" s="55"/>
      <c r="P90" s="40">
        <f t="shared" si="79"/>
        <v>17.748774580882714</v>
      </c>
      <c r="Q90" s="55"/>
      <c r="R90" s="27">
        <f>SUMIF('R7'!$B$7:$G$7,B90,'R7'!$B$15:$G$15)</f>
        <v>441222.3009654975</v>
      </c>
      <c r="S90" s="55"/>
      <c r="T90" s="27">
        <f>SUMIF('R7'!$B$7:$G$7,B90,'R7'!$B$16:$G$16)</f>
        <v>561741.54734947579</v>
      </c>
      <c r="U90" s="55"/>
      <c r="V90" s="24">
        <f t="shared" si="70"/>
        <v>1.2731485831977531</v>
      </c>
      <c r="W90" s="55"/>
      <c r="X90" s="85">
        <f>SUMIF('R7'!$B$7:$G$7,B90,'R7'!$B$27:$G$27)</f>
        <v>328559.42785221792</v>
      </c>
      <c r="Y90" s="55"/>
      <c r="Z90" s="85">
        <f>SUMIF('R7'!$B$7:$G$7,B90,'R7'!$B$10:$G$10)</f>
        <v>4731086.6213628966</v>
      </c>
      <c r="AA90" s="55"/>
      <c r="AB90" s="5"/>
      <c r="AC90" s="5"/>
      <c r="AD90" s="5"/>
    </row>
    <row r="91" spans="1:30" ht="15.75" thickBot="1" x14ac:dyDescent="0.3">
      <c r="A91" s="105"/>
      <c r="B91" s="32">
        <v>2100</v>
      </c>
      <c r="C91" s="9">
        <f>SUMIF('R7'!$B$7:$G$7,B91,'R7'!$B$17:$G$17)</f>
        <v>18.701260000000001</v>
      </c>
      <c r="D91" s="44">
        <f>SUMIF('R7'!$B$7:$G$7,B91,'R7'!$B$21:$G$21)</f>
        <v>0.93231395090361513</v>
      </c>
      <c r="E91" s="36">
        <f>SUMIF('R7'!$B$7:$G$7,B91,'R7'!$B$22:$G$22)</f>
        <v>0.98848865179879042</v>
      </c>
      <c r="F91" s="48">
        <f t="shared" si="80"/>
        <v>1.0602529875700453</v>
      </c>
      <c r="G91" s="56"/>
      <c r="H91" s="7">
        <f>SUMIF('R7'!$B$7:$G$7,B91,'R7'!$B$19:$G$19)</f>
        <v>0.97044553354850793</v>
      </c>
      <c r="I91" s="8">
        <f>SUMIF('R7'!$B$7:$G$7,B91,'R7'!$B$20:$G$20)</f>
        <v>1</v>
      </c>
      <c r="J91" s="8">
        <f t="shared" si="81"/>
        <v>1.0304545339535172</v>
      </c>
      <c r="K91" s="56"/>
      <c r="L91" s="28">
        <f>SUMIF('R7'!$B$7:$G$7,B91,'R7'!$B$11:$G$11)</f>
        <v>0.66910820976834895</v>
      </c>
      <c r="M91" s="25">
        <f>SUMIF('R7'!$B$7:$G$7,B91,'R7'!$B$12:$G$12)</f>
        <v>22.038485528940669</v>
      </c>
      <c r="N91" s="25">
        <f t="shared" si="69"/>
        <v>22.707593738709019</v>
      </c>
      <c r="O91" s="56"/>
      <c r="P91" s="41">
        <f t="shared" si="79"/>
        <v>32.937102261188194</v>
      </c>
      <c r="Q91" s="56"/>
      <c r="R91" s="28">
        <f>SUMIF('R7'!$B$7:$G$7,B91,'R7'!$B$15:$G$15)</f>
        <v>580388.66046277736</v>
      </c>
      <c r="S91" s="56"/>
      <c r="T91" s="28">
        <f>SUMIF('R7'!$B$7:$G$7,B91,'R7'!$B$16:$G$16)</f>
        <v>738921.00077222695</v>
      </c>
      <c r="U91" s="56"/>
      <c r="V91" s="25">
        <f t="shared" si="70"/>
        <v>1.2731485831977534</v>
      </c>
      <c r="W91" s="56"/>
      <c r="X91" s="86">
        <f>SUMIF('R7'!$B$7:$G$7,B91,'R7'!$B$27:$G$27)</f>
        <v>434902.04771889932</v>
      </c>
      <c r="Y91" s="56"/>
      <c r="Z91" s="86">
        <f>SUMIF('R7'!$B$7:$G$7,B91,'R7'!$B$10:$G$10)</f>
        <v>9875579.0157334059</v>
      </c>
      <c r="AA91" s="56"/>
      <c r="AB91" s="5"/>
      <c r="AC91" s="5"/>
      <c r="AD91" s="5"/>
    </row>
    <row r="92" spans="1:30" x14ac:dyDescent="0.25">
      <c r="A92" s="103" t="str">
        <f>'R7'!B1</f>
        <v>Mpumalanga</v>
      </c>
      <c r="B92" s="21">
        <v>2000</v>
      </c>
      <c r="C92" s="3">
        <f>SUMIF('R7'!$B$7:$G$7,B92,'R7'!$B$42:$G$42)</f>
        <v>18.701260000000001</v>
      </c>
      <c r="D92" s="42">
        <f>SUMIF('R7'!$B$7:$G$7,B92,'R7'!$B$46:$G$46)</f>
        <v>1</v>
      </c>
      <c r="E92" s="34">
        <f>SUMIF('R7'!$B$7:$G$7,B92,'R7'!$B$47:$G$47)</f>
        <v>1</v>
      </c>
      <c r="F92" s="49">
        <f t="shared" si="80"/>
        <v>1</v>
      </c>
      <c r="G92" s="57">
        <f t="shared" ref="G92:G97" si="82">(F92-$F86)/$F86</f>
        <v>0</v>
      </c>
      <c r="H92" s="1">
        <f>SUMIF('R7'!$B$7:$G$7,B92,'R7'!$B$44:$G$44)</f>
        <v>0.97044553354850793</v>
      </c>
      <c r="I92" s="2">
        <f>SUMIF('R7'!$B$7:$G$7,B92,'R7'!$B$45:$G$45)</f>
        <v>1</v>
      </c>
      <c r="J92" s="2">
        <f t="shared" si="81"/>
        <v>1.0304545339535172</v>
      </c>
      <c r="K92" s="57">
        <f t="shared" ref="K92:K97" si="83">(J92-$J86)/$J86</f>
        <v>0</v>
      </c>
      <c r="L92" s="26">
        <f>SUMIF('R7'!$B$7:$G$7,B92,'R7'!$B$36:$G$36)</f>
        <v>0.82533526478849994</v>
      </c>
      <c r="M92" s="23">
        <f>SUMIF('R7'!$B$7:$G$7,B92,'R7'!$B$37:$G$37)</f>
        <v>1.2351813271467</v>
      </c>
      <c r="N92" s="23">
        <f t="shared" si="69"/>
        <v>2.0605165919352002</v>
      </c>
      <c r="O92" s="57"/>
      <c r="P92" s="38">
        <f t="shared" si="79"/>
        <v>1.4965813044026746</v>
      </c>
      <c r="Q92" s="57">
        <f t="shared" ref="Q92:Q97" si="84">(P92-$P86)/$P86</f>
        <v>0</v>
      </c>
      <c r="R92" s="26">
        <f>SUMIF('R7'!$B$7:$G$7,B92,'R7'!$B$40:$G$40)</f>
        <v>46414.168855270647</v>
      </c>
      <c r="S92" s="57">
        <f t="shared" ref="S92:S97" si="85">(R92-$R86)/$R86</f>
        <v>0</v>
      </c>
      <c r="T92" s="26">
        <f>SUMIF('R7'!$B$7:$G$7,B92,'R7'!$B$41:$G$41)</f>
        <v>59092.133318389097</v>
      </c>
      <c r="U92" s="57">
        <f t="shared" ref="U92:U97" si="86">(T92-$T86)/$T86</f>
        <v>0</v>
      </c>
      <c r="V92" s="23">
        <f t="shared" si="70"/>
        <v>1.2731485831977529</v>
      </c>
      <c r="W92" s="57">
        <f t="shared" ref="W92:W97" si="87">(V92-$V86)/$V86</f>
        <v>0</v>
      </c>
      <c r="X92" s="84">
        <f>SUMIF('R7'!$B$7:$G$7,B92,'R7'!$B$52:$G$52)</f>
        <v>18427.262540756401</v>
      </c>
      <c r="Y92" s="57">
        <f t="shared" ref="Y92:Y97" si="88">(X92-$X86)/$X86</f>
        <v>0</v>
      </c>
      <c r="Z92" s="84">
        <f>SUMIF('R7'!$B$7:$G$7,B92,'R7'!$B$35:$G$35)</f>
        <v>66273.9254716</v>
      </c>
      <c r="AA92" s="57">
        <f t="shared" ref="AA92:AA97" si="89">(Z92-$Z86)/$Z86</f>
        <v>0</v>
      </c>
      <c r="AB92" s="5"/>
      <c r="AC92" s="5"/>
      <c r="AD92" s="5"/>
    </row>
    <row r="93" spans="1:30" x14ac:dyDescent="0.25">
      <c r="A93" s="104"/>
      <c r="B93" s="31">
        <v>2020</v>
      </c>
      <c r="C93" s="14">
        <f>SUMIF('R7'!$B$7:$G$7,B93,'R7'!$B$42:$G$42)</f>
        <v>19.223690000000001</v>
      </c>
      <c r="D93" s="43">
        <f>SUMIF('R7'!$B$7:$G$7,B93,'R7'!$B$46:$G$46)</f>
        <v>0.9087454042219193</v>
      </c>
      <c r="E93" s="35">
        <f>SUMIF('R7'!$B$7:$G$7,B93,'R7'!$B$47:$G$47)</f>
        <v>0.97818889133398601</v>
      </c>
      <c r="F93" s="50">
        <f t="shared" si="80"/>
        <v>1.0764168784672152</v>
      </c>
      <c r="G93" s="58">
        <f t="shared" si="82"/>
        <v>1.5245315115041919E-2</v>
      </c>
      <c r="H93" s="4">
        <f>SUMIF('R7'!$B$7:$G$7,B93,'R7'!$B$44:$G$44)</f>
        <v>0.98019867330675492</v>
      </c>
      <c r="I93" s="5">
        <f>SUMIF('R7'!$B$7:$G$7,B93,'R7'!$B$45:$G$45)</f>
        <v>1</v>
      </c>
      <c r="J93" s="13">
        <f t="shared" si="81"/>
        <v>1.0202013400267562</v>
      </c>
      <c r="K93" s="58">
        <f t="shared" si="83"/>
        <v>-9.9501662508318413E-3</v>
      </c>
      <c r="L93" s="27">
        <f>SUMIF('R7'!$B$7:$G$7,B93,'R7'!$B$36:$G$36)</f>
        <v>0.91749639782684111</v>
      </c>
      <c r="M93" s="24">
        <f>SUMIF('R7'!$B$7:$G$7,B93,'R7'!$B$37:$G$37)</f>
        <v>2.5448646298633819</v>
      </c>
      <c r="N93" s="24">
        <f t="shared" si="69"/>
        <v>3.462361027690223</v>
      </c>
      <c r="O93" s="58"/>
      <c r="P93" s="39">
        <f t="shared" si="79"/>
        <v>2.7737053092427222</v>
      </c>
      <c r="Q93" s="58">
        <f t="shared" si="84"/>
        <v>-1.2817461258430793E-3</v>
      </c>
      <c r="R93" s="27">
        <f>SUMIF('R7'!$B$7:$G$7,B93,'R7'!$B$40:$G$40)</f>
        <v>110311.9463442376</v>
      </c>
      <c r="S93" s="58">
        <f t="shared" si="85"/>
        <v>-1.8823010719238957E-3</v>
      </c>
      <c r="T93" s="27">
        <f>SUMIF('R7'!$B$7:$G$7,B93,'R7'!$B$41:$G$41)</f>
        <v>138334.54447611849</v>
      </c>
      <c r="U93" s="58">
        <f t="shared" si="86"/>
        <v>-1.6870421298151181E-2</v>
      </c>
      <c r="V93" s="24">
        <f t="shared" si="70"/>
        <v>1.2540304931655728</v>
      </c>
      <c r="W93" s="58">
        <f t="shared" si="87"/>
        <v>-1.5016385584910282E-2</v>
      </c>
      <c r="X93" s="85">
        <f>SUMIF('R7'!$B$7:$G$7,B93,'R7'!$B$52:$G$52)</f>
        <v>75614.144110242545</v>
      </c>
      <c r="Y93" s="58">
        <f t="shared" si="88"/>
        <v>-2.7181952010487311E-2</v>
      </c>
      <c r="Z93" s="85">
        <f>SUMIF('R7'!$B$7:$G$7,B93,'R7'!$B$35:$G$35)</f>
        <v>261803.46570945601</v>
      </c>
      <c r="AA93" s="58">
        <f t="shared" si="89"/>
        <v>-2.7114341800492197E-2</v>
      </c>
      <c r="AB93" s="5"/>
      <c r="AC93" s="5"/>
      <c r="AD93" s="5"/>
    </row>
    <row r="94" spans="1:30" x14ac:dyDescent="0.25">
      <c r="A94" s="104"/>
      <c r="B94" s="31">
        <v>2040</v>
      </c>
      <c r="C94" s="6">
        <f>SUMIF('R7'!$B$7:$G$7,B94,'R7'!$B$42:$G$42)</f>
        <v>19.433769999999999</v>
      </c>
      <c r="D94" s="43">
        <f>SUMIF('R7'!$B$7:$G$7,B94,'R7'!$B$46:$G$46)</f>
        <v>0.9087454042219193</v>
      </c>
      <c r="E94" s="35">
        <f>SUMIF('R7'!$B$7:$G$7,B94,'R7'!$B$47:$G$47)</f>
        <v>0.97818889133398601</v>
      </c>
      <c r="F94" s="50">
        <f t="shared" si="80"/>
        <v>1.0764168784672152</v>
      </c>
      <c r="G94" s="58">
        <f t="shared" si="82"/>
        <v>1.5245315115041919E-2</v>
      </c>
      <c r="H94" s="4">
        <f>SUMIF('R7'!$B$7:$G$7,B94,'R7'!$B$44:$G$44)</f>
        <v>0.98019867330675492</v>
      </c>
      <c r="I94" s="5">
        <f>SUMIF('R7'!$B$7:$G$7,B94,'R7'!$B$45:$G$45)</f>
        <v>1</v>
      </c>
      <c r="J94" s="5">
        <f t="shared" si="81"/>
        <v>1.0202013400267562</v>
      </c>
      <c r="K94" s="58">
        <f t="shared" si="83"/>
        <v>-9.9501662508318413E-3</v>
      </c>
      <c r="L94" s="27">
        <f>SUMIF('R7'!$B$7:$G$7,B94,'R7'!$B$36:$G$36)</f>
        <v>0.92022153780724625</v>
      </c>
      <c r="M94" s="24">
        <f>SUMIF('R7'!$B$7:$G$7,B94,'R7'!$B$37:$G$37)</f>
        <v>4.7366328873513792</v>
      </c>
      <c r="N94" s="24">
        <f t="shared" si="69"/>
        <v>5.6568544251586257</v>
      </c>
      <c r="O94" s="58"/>
      <c r="P94" s="40">
        <f t="shared" si="79"/>
        <v>5.1472745341715047</v>
      </c>
      <c r="Q94" s="58">
        <f t="shared" si="84"/>
        <v>-1.2817461258433237E-3</v>
      </c>
      <c r="R94" s="27">
        <f>SUMIF('R7'!$B$7:$G$7,B94,'R7'!$B$40:$G$40)</f>
        <v>203579.0139368629</v>
      </c>
      <c r="S94" s="58">
        <f t="shared" si="85"/>
        <v>7.4147841231113321E-4</v>
      </c>
      <c r="T94" s="27">
        <f>SUMIF('R7'!$B$7:$G$7,B94,'R7'!$B$41:$G$41)</f>
        <v>255294.29124540501</v>
      </c>
      <c r="U94" s="58">
        <f t="shared" si="86"/>
        <v>-1.428604149834208E-2</v>
      </c>
      <c r="V94" s="24">
        <f t="shared" si="70"/>
        <v>1.2540304931655719</v>
      </c>
      <c r="W94" s="58">
        <f t="shared" si="87"/>
        <v>-1.5016385584910981E-2</v>
      </c>
      <c r="X94" s="85">
        <f>SUMIF('R7'!$B$7:$G$7,B94,'R7'!$B$52:$G$52)</f>
        <v>143518.2342900231</v>
      </c>
      <c r="Y94" s="58">
        <f t="shared" si="88"/>
        <v>-2.4602979690278727E-2</v>
      </c>
      <c r="Z94" s="85">
        <f>SUMIF('R7'!$B$7:$G$7,B94,'R7'!$B$35:$G$35)</f>
        <v>811861.75873446942</v>
      </c>
      <c r="AA94" s="58">
        <f t="shared" si="89"/>
        <v>-2.4489097826601639E-2</v>
      </c>
      <c r="AB94" s="5"/>
      <c r="AC94" s="5"/>
      <c r="AD94" s="5"/>
    </row>
    <row r="95" spans="1:30" x14ac:dyDescent="0.25">
      <c r="A95" s="104"/>
      <c r="B95" s="31">
        <v>2060</v>
      </c>
      <c r="C95" s="6">
        <f>SUMIF('R7'!$B$7:$G$7,B95,'R7'!$B$42:$G$42)</f>
        <v>19.762260000000001</v>
      </c>
      <c r="D95" s="43">
        <f>SUMIF('R7'!$B$7:$G$7,B95,'R7'!$B$46:$G$46)</f>
        <v>0.89139111669784621</v>
      </c>
      <c r="E95" s="35">
        <f>SUMIF('R7'!$B$7:$G$7,B95,'R7'!$B$47:$G$47)</f>
        <v>0.96957624782154495</v>
      </c>
      <c r="F95" s="50">
        <f t="shared" si="80"/>
        <v>1.0877113644719001</v>
      </c>
      <c r="G95" s="58">
        <f t="shared" si="82"/>
        <v>2.5897948153662514E-2</v>
      </c>
      <c r="H95" s="4">
        <f>SUMIF('R7'!$B$7:$G$7,B95,'R7'!$B$44:$G$44)</f>
        <v>0.99004983374916744</v>
      </c>
      <c r="I95" s="5">
        <f>SUMIF('R7'!$B$7:$G$7,B95,'R7'!$B$45:$G$45)</f>
        <v>1</v>
      </c>
      <c r="J95" s="5">
        <f t="shared" si="81"/>
        <v>1.0100501670841686</v>
      </c>
      <c r="K95" s="58">
        <f t="shared" si="83"/>
        <v>-1.9801326693244446E-2</v>
      </c>
      <c r="L95" s="27">
        <f>SUMIF('R7'!$B$7:$G$7,B95,'R7'!$B$36:$G$36)</f>
        <v>0.86016045815580233</v>
      </c>
      <c r="M95" s="24">
        <f>SUMIF('R7'!$B$7:$G$7,B95,'R7'!$B$37:$G$37)</f>
        <v>8.2153536849129996</v>
      </c>
      <c r="N95" s="24">
        <f t="shared" si="69"/>
        <v>9.0755141430688013</v>
      </c>
      <c r="O95" s="58"/>
      <c r="P95" s="40">
        <f t="shared" si="79"/>
        <v>9.5509548329236704</v>
      </c>
      <c r="Q95" s="58">
        <f t="shared" si="84"/>
        <v>-1.3911005374665289E-3</v>
      </c>
      <c r="R95" s="27">
        <f>SUMIF('R7'!$B$7:$G$7,B95,'R7'!$B$40:$G$40)</f>
        <v>316455.86765447672</v>
      </c>
      <c r="S95" s="58">
        <f t="shared" si="85"/>
        <v>2.453102763193102E-3</v>
      </c>
      <c r="T95" s="27">
        <f>SUMIF('R7'!$B$7:$G$7,B95,'R7'!$B$41:$G$41)</f>
        <v>392724.57876927668</v>
      </c>
      <c r="U95" s="58">
        <f t="shared" si="86"/>
        <v>-2.2852999591884613E-2</v>
      </c>
      <c r="V95" s="24">
        <f t="shared" si="70"/>
        <v>1.2410089965469504</v>
      </c>
      <c r="W95" s="58">
        <f t="shared" si="87"/>
        <v>-2.5244175797673789E-2</v>
      </c>
      <c r="X95" s="85">
        <f>SUMIF('R7'!$B$7:$G$7,B95,'R7'!$B$52:$G$52)</f>
        <v>222853.63364928859</v>
      </c>
      <c r="Y95" s="58">
        <f t="shared" si="88"/>
        <v>-4.157880556673469E-2</v>
      </c>
      <c r="Z95" s="85">
        <f>SUMIF('R7'!$B$7:$G$7,B95,'R7'!$B$35:$G$35)</f>
        <v>2022511.304018392</v>
      </c>
      <c r="AA95" s="58">
        <f t="shared" si="89"/>
        <v>-4.1436504351051034E-2</v>
      </c>
      <c r="AB95" s="5"/>
      <c r="AC95" s="5"/>
      <c r="AD95" s="5"/>
    </row>
    <row r="96" spans="1:30" x14ac:dyDescent="0.25">
      <c r="A96" s="104"/>
      <c r="B96" s="31">
        <v>2080</v>
      </c>
      <c r="C96" s="6">
        <f>SUMIF('R7'!$B$7:$G$7,B96,'R7'!$B$42:$G$42)</f>
        <v>19.68939</v>
      </c>
      <c r="D96" s="43">
        <f>SUMIF('R7'!$B$7:$G$7,B96,'R7'!$B$46:$G$46)</f>
        <v>0.89139111669784621</v>
      </c>
      <c r="E96" s="35">
        <f>SUMIF('R7'!$B$7:$G$7,B96,'R7'!$B$47:$G$47)</f>
        <v>0.96957624782154495</v>
      </c>
      <c r="F96" s="50">
        <f t="shared" si="80"/>
        <v>1.0877113644719001</v>
      </c>
      <c r="G96" s="58">
        <f t="shared" si="82"/>
        <v>2.5897948153662514E-2</v>
      </c>
      <c r="H96" s="4">
        <f>SUMIF('R7'!$B$7:$G$7,B96,'R7'!$B$44:$G$44)</f>
        <v>0.99004983374916744</v>
      </c>
      <c r="I96" s="5">
        <f>SUMIF('R7'!$B$7:$G$7,B96,'R7'!$B$45:$G$45)</f>
        <v>1</v>
      </c>
      <c r="J96" s="5">
        <f t="shared" si="81"/>
        <v>1.0100501670841686</v>
      </c>
      <c r="K96" s="58">
        <f t="shared" si="83"/>
        <v>-1.9801326693244446E-2</v>
      </c>
      <c r="L96" s="27">
        <f>SUMIF('R7'!$B$7:$G$7,B96,'R7'!$B$36:$G$36)</f>
        <v>0.76916388447241724</v>
      </c>
      <c r="M96" s="24">
        <f>SUMIF('R7'!$B$7:$G$7,B96,'R7'!$B$37:$G$37)</f>
        <v>13.632725491233931</v>
      </c>
      <c r="N96" s="24">
        <f t="shared" si="69"/>
        <v>14.401889375706348</v>
      </c>
      <c r="O96" s="58"/>
      <c r="P96" s="40">
        <f t="shared" si="79"/>
        <v>17.724084251023893</v>
      </c>
      <c r="Q96" s="58">
        <f t="shared" si="84"/>
        <v>-1.3911005374655481E-3</v>
      </c>
      <c r="R96" s="27">
        <f>SUMIF('R7'!$B$7:$G$7,B96,'R7'!$B$40:$G$40)</f>
        <v>443048.18081119901</v>
      </c>
      <c r="S96" s="58">
        <f t="shared" si="85"/>
        <v>4.1382310950875681E-3</v>
      </c>
      <c r="T96" s="27">
        <f>SUMIF('R7'!$B$7:$G$7,B96,'R7'!$B$41:$G$41)</f>
        <v>549826.77829045814</v>
      </c>
      <c r="U96" s="58">
        <f t="shared" si="86"/>
        <v>-2.121041093584115E-2</v>
      </c>
      <c r="V96" s="24">
        <f t="shared" si="70"/>
        <v>1.2410089965469508</v>
      </c>
      <c r="W96" s="58">
        <f t="shared" si="87"/>
        <v>-2.5244175797672928E-2</v>
      </c>
      <c r="X96" s="85">
        <f>SUMIF('R7'!$B$7:$G$7,B96,'R7'!$B$52:$G$52)</f>
        <v>315431.83843937842</v>
      </c>
      <c r="Y96" s="58">
        <f t="shared" si="88"/>
        <v>-3.9954992308862104E-2</v>
      </c>
      <c r="Z96" s="85">
        <f>SUMIF('R7'!$B$7:$G$7,B96,'R7'!$B$35:$G$35)</f>
        <v>4542814.4427796053</v>
      </c>
      <c r="AA96" s="58">
        <f t="shared" si="89"/>
        <v>-3.979470122850029E-2</v>
      </c>
      <c r="AB96" s="5"/>
      <c r="AC96" s="5"/>
      <c r="AD96" s="5"/>
    </row>
    <row r="97" spans="1:30" ht="15.75" thickBot="1" x14ac:dyDescent="0.3">
      <c r="A97" s="105"/>
      <c r="B97" s="32">
        <v>2100</v>
      </c>
      <c r="C97" s="9">
        <f>SUMIF('R7'!$B$7:$G$7,B97,'R7'!$B$42:$G$42)</f>
        <v>19.674620000000001</v>
      </c>
      <c r="D97" s="44">
        <f>SUMIF('R7'!$B$7:$G$7,B97,'R7'!$B$46:$G$46)</f>
        <v>0.89139111669784621</v>
      </c>
      <c r="E97" s="36">
        <f>SUMIF('R7'!$B$7:$G$7,B97,'R7'!$B$47:$G$47)</f>
        <v>0.96957624782154495</v>
      </c>
      <c r="F97" s="51">
        <f t="shared" si="80"/>
        <v>1.0877113644719001</v>
      </c>
      <c r="G97" s="59">
        <f t="shared" si="82"/>
        <v>2.5897948153662514E-2</v>
      </c>
      <c r="H97" s="7">
        <f>SUMIF('R7'!$B$7:$G$7,B97,'R7'!$B$44:$G$44)</f>
        <v>0.99004983374916744</v>
      </c>
      <c r="I97" s="8">
        <f>SUMIF('R7'!$B$7:$G$7,B97,'R7'!$B$45:$G$45)</f>
        <v>1</v>
      </c>
      <c r="J97" s="8">
        <f t="shared" si="81"/>
        <v>1.0100501670841686</v>
      </c>
      <c r="K97" s="59">
        <f t="shared" si="83"/>
        <v>-1.9801326693244446E-2</v>
      </c>
      <c r="L97" s="28">
        <f>SUMIF('R7'!$B$7:$G$7,B97,'R7'!$B$36:$G$36)</f>
        <v>0.67013163974851619</v>
      </c>
      <c r="M97" s="25">
        <f>SUMIF('R7'!$B$7:$G$7,B97,'R7'!$B$37:$G$37)</f>
        <v>22.041489705435641</v>
      </c>
      <c r="N97" s="25">
        <f t="shared" si="69"/>
        <v>22.711621345184156</v>
      </c>
      <c r="O97" s="59"/>
      <c r="P97" s="41">
        <f t="shared" si="79"/>
        <v>32.891283440530081</v>
      </c>
      <c r="Q97" s="59">
        <f t="shared" si="84"/>
        <v>-1.3911005374660369E-3</v>
      </c>
      <c r="R97" s="33">
        <f>SUMIF('R7'!$B$7:$G$7,B97,'R7'!$B$40:$G$40)</f>
        <v>583347.58708955324</v>
      </c>
      <c r="S97" s="59">
        <f t="shared" si="85"/>
        <v>5.0981813194223274E-3</v>
      </c>
      <c r="T97" s="28">
        <f>SUMIF('R7'!$B$7:$G$7,B97,'R7'!$B$41:$G$41)</f>
        <v>723939.603692092</v>
      </c>
      <c r="U97" s="59">
        <f t="shared" si="86"/>
        <v>-2.0274693863726007E-2</v>
      </c>
      <c r="V97" s="25">
        <f t="shared" si="70"/>
        <v>1.2410089965469517</v>
      </c>
      <c r="W97" s="59">
        <f t="shared" si="87"/>
        <v>-2.5244175797672401E-2</v>
      </c>
      <c r="X97" s="86">
        <f>SUMIF('R7'!$B$7:$G$7,B97,'R7'!$B$52:$G$52)</f>
        <v>417928.06858449482</v>
      </c>
      <c r="Y97" s="59">
        <f t="shared" si="88"/>
        <v>-3.9029430243970036E-2</v>
      </c>
      <c r="Z97" s="86">
        <f>SUMIF('R7'!$B$7:$G$7,B97,'R7'!$B$35:$G$35)</f>
        <v>9491824.0432151984</v>
      </c>
      <c r="AA97" s="59">
        <f t="shared" si="89"/>
        <v>-3.8858984562507505E-2</v>
      </c>
      <c r="AB97" s="5"/>
      <c r="AC97" s="5"/>
      <c r="AD97" s="5"/>
    </row>
    <row r="98" spans="1:30" x14ac:dyDescent="0.25">
      <c r="A98" s="106" t="s">
        <v>6</v>
      </c>
      <c r="B98" s="21">
        <v>2000</v>
      </c>
      <c r="C98" s="3">
        <f>SUMIF('R8'!$B$7:$G$7,B98,'R8'!$B$17:$G$17)</f>
        <v>19.567530000000001</v>
      </c>
      <c r="D98" s="42">
        <f>SUMIF('R8'!$B$7:$G$7,B98,'R8'!$B$21:$G$21)</f>
        <v>1</v>
      </c>
      <c r="E98" s="34">
        <f>SUMIF('R8'!$B$7:$G$7,B98,'R8'!$B$22:$G$22)</f>
        <v>1</v>
      </c>
      <c r="F98" s="45">
        <f>E98/D98</f>
        <v>1</v>
      </c>
      <c r="G98" s="53"/>
      <c r="H98" s="1">
        <f>SUMIF('R8'!$B$7:$G$7,B98,'R8'!$B$19:$G$19)</f>
        <v>0.99004983374916744</v>
      </c>
      <c r="I98" s="2">
        <f>SUMIF('R8'!$B$7:$G$7,B98,'R8'!$B$20:$G$20)</f>
        <v>1</v>
      </c>
      <c r="J98" s="2">
        <f>I98/H98</f>
        <v>1.0100501670841686</v>
      </c>
      <c r="K98" s="53"/>
      <c r="L98" s="26">
        <f>SUMIF('R8'!$B$7:$G$7,B98,'R8'!$B$11:$G$11)</f>
        <v>1.5094523999114999</v>
      </c>
      <c r="M98" s="24">
        <f>SUMIF('R8'!$B$7:$G$7,B98,'R8'!$B$12:$G$12)</f>
        <v>2.2590182415933011</v>
      </c>
      <c r="N98" s="23">
        <f t="shared" si="69"/>
        <v>3.768470641504801</v>
      </c>
      <c r="O98" s="53"/>
      <c r="P98" s="38">
        <f t="shared" si="79"/>
        <v>1.4965813044026752</v>
      </c>
      <c r="Q98" s="53"/>
      <c r="R98" s="26">
        <f>SUMIF('R8'!$B$7:$G$7,B98,'R8'!$B$15:$G$15)</f>
        <v>47481.627330410549</v>
      </c>
      <c r="S98" s="53"/>
      <c r="T98" s="26">
        <f>SUMIF('R8'!$B$7:$G$7,B98,'R8'!$B$16:$G$16)</f>
        <v>59235.606824504393</v>
      </c>
      <c r="U98" s="53"/>
      <c r="V98" s="23">
        <f t="shared" si="70"/>
        <v>1.2475479497006576</v>
      </c>
      <c r="W98" s="53"/>
      <c r="X98" s="84">
        <f>SUMIF('R8'!$B$7:$G$7,B98,'R8'!$B$27:$G$27)</f>
        <v>18427.26254075639</v>
      </c>
      <c r="Y98" s="53"/>
      <c r="Z98" s="84">
        <f>SUMIF('R8'!$B$7:$G$7,B98,'R8'!$B$10:$G$10)</f>
        <v>121208.1200484</v>
      </c>
      <c r="AA98" s="53"/>
      <c r="AB98" s="5"/>
      <c r="AC98" s="5"/>
      <c r="AD98" s="5"/>
    </row>
    <row r="99" spans="1:30" s="10" customFormat="1" x14ac:dyDescent="0.25">
      <c r="A99" s="107"/>
      <c r="B99" s="31">
        <v>2020</v>
      </c>
      <c r="C99" s="14">
        <f>SUMIF('R8'!$B$7:$G$7,B99,'R8'!$B$17:$G$17)</f>
        <v>19.567530000000001</v>
      </c>
      <c r="D99" s="43">
        <f>SUMIF('R8'!$B$7:$G$7,B99,'R8'!$B$21:$G$21)</f>
        <v>0.90022563327805616</v>
      </c>
      <c r="E99" s="35">
        <f>SUMIF('R8'!$B$7:$G$7,B99,'R8'!$B$22:$G$22)</f>
        <v>0.97405330480158026</v>
      </c>
      <c r="F99" s="46">
        <f t="shared" ref="F99:F109" si="90">E99/D99</f>
        <v>1.0820101858849431</v>
      </c>
      <c r="G99" s="54"/>
      <c r="H99" s="4">
        <f>SUMIF('R8'!$B$7:$G$7,B99,'R8'!$B$19:$G$19)</f>
        <v>0.99004983374916744</v>
      </c>
      <c r="I99" s="5">
        <f>SUMIF('R8'!$B$7:$G$7,B99,'R8'!$B$20:$G$20)</f>
        <v>1</v>
      </c>
      <c r="J99" s="5">
        <f t="shared" ref="J99:J109" si="91">I99/H99</f>
        <v>1.0100501670841686</v>
      </c>
      <c r="K99" s="55"/>
      <c r="L99" s="27">
        <f>SUMIF('R8'!$B$7:$G$7,B99,'R8'!$B$11:$G$11)</f>
        <v>1.6763076527082541</v>
      </c>
      <c r="M99" s="24">
        <f>SUMIF('R8'!$B$7:$G$7,B99,'R8'!$B$12:$G$12)</f>
        <v>4.6555506702763836</v>
      </c>
      <c r="N99" s="24">
        <f t="shared" si="69"/>
        <v>6.3318583229846377</v>
      </c>
      <c r="O99" s="55"/>
      <c r="P99" s="39">
        <f t="shared" si="79"/>
        <v>2.7772650579712166</v>
      </c>
      <c r="Q99" s="55"/>
      <c r="R99" s="27">
        <f>SUMIF('R8'!$B$7:$G$7,B99,'R8'!$B$15:$G$15)</f>
        <v>111810.56769758731</v>
      </c>
      <c r="S99" s="55"/>
      <c r="T99" s="27">
        <f>SUMIF('R8'!$B$7:$G$7,B99,'R8'!$B$16:$G$16)</f>
        <v>139489.04448599159</v>
      </c>
      <c r="U99" s="55"/>
      <c r="V99" s="24">
        <f t="shared" si="70"/>
        <v>1.2475479497006574</v>
      </c>
      <c r="W99" s="55"/>
      <c r="X99" s="85">
        <f>SUMIF('R8'!$B$7:$G$7,B99,'R8'!$B$27:$G$27)</f>
        <v>75928.125015397236</v>
      </c>
      <c r="Y99" s="55"/>
      <c r="Z99" s="85">
        <f>SUMIF('R8'!$B$7:$G$7,B99,'R8'!$B$10:$G$10)</f>
        <v>480766.13032736111</v>
      </c>
      <c r="AA99" s="55"/>
      <c r="AB99" s="13"/>
      <c r="AC99" s="13"/>
      <c r="AD99" s="13"/>
    </row>
    <row r="100" spans="1:30" x14ac:dyDescent="0.25">
      <c r="A100" s="107"/>
      <c r="B100" s="31">
        <v>2040</v>
      </c>
      <c r="C100" s="6">
        <f>SUMIF('R8'!$B$7:$G$7,B100,'R8'!$B$17:$G$17)</f>
        <v>19.567530000000001</v>
      </c>
      <c r="D100" s="43">
        <f>SUMIF('R8'!$B$7:$G$7,B100,'R8'!$B$21:$G$21)</f>
        <v>0.90022563327805616</v>
      </c>
      <c r="E100" s="35">
        <f>SUMIF('R8'!$B$7:$G$7,B100,'R8'!$B$22:$G$22)</f>
        <v>0.97405330480158026</v>
      </c>
      <c r="F100" s="47">
        <f t="shared" si="90"/>
        <v>1.0820101858849431</v>
      </c>
      <c r="G100" s="55"/>
      <c r="H100" s="4">
        <f>SUMIF('R8'!$B$7:$G$7,B100,'R8'!$B$19:$G$19)</f>
        <v>0.99004983374916744</v>
      </c>
      <c r="I100" s="5">
        <f>SUMIF('R8'!$B$7:$G$7,B100,'R8'!$B$20:$G$20)</f>
        <v>1</v>
      </c>
      <c r="J100" s="5">
        <f t="shared" si="91"/>
        <v>1.0100501670841686</v>
      </c>
      <c r="K100" s="55"/>
      <c r="L100" s="27">
        <f>SUMIF('R8'!$B$7:$G$7,B100,'R8'!$B$11:$G$11)</f>
        <v>1.6809866387325101</v>
      </c>
      <c r="M100" s="24">
        <f>SUMIF('R8'!$B$7:$G$7,B100,'R8'!$B$12:$G$12)</f>
        <v>8.6636042590252504</v>
      </c>
      <c r="N100" s="24">
        <f t="shared" si="69"/>
        <v>10.34459089775776</v>
      </c>
      <c r="O100" s="55"/>
      <c r="P100" s="40">
        <f t="shared" si="79"/>
        <v>5.1538805005361272</v>
      </c>
      <c r="Q100" s="55"/>
      <c r="R100" s="27">
        <f>SUMIF('R8'!$B$7:$G$7,B100,'R8'!$B$15:$G$15)</f>
        <v>206524.08446256211</v>
      </c>
      <c r="S100" s="55"/>
      <c r="T100" s="27">
        <f>SUMIF('R8'!$B$7:$G$7,B100,'R8'!$B$16:$G$16)</f>
        <v>257648.69813507481</v>
      </c>
      <c r="U100" s="55"/>
      <c r="V100" s="24">
        <f t="shared" si="70"/>
        <v>1.2475479497006576</v>
      </c>
      <c r="W100" s="55"/>
      <c r="X100" s="85">
        <f>SUMIF('R8'!$B$7:$G$7,B100,'R8'!$B$27:$G$27)</f>
        <v>144236.2590445028</v>
      </c>
      <c r="Y100" s="55"/>
      <c r="Z100" s="85">
        <f>SUMIF('R8'!$B$7:$G$7,B100,'R8'!$B$10:$G$10)</f>
        <v>1492065.092438394</v>
      </c>
      <c r="AA100" s="55"/>
      <c r="AB100" s="5"/>
      <c r="AC100" s="5"/>
      <c r="AD100" s="5"/>
    </row>
    <row r="101" spans="1:30" x14ac:dyDescent="0.25">
      <c r="A101" s="107"/>
      <c r="B101" s="31">
        <v>2060</v>
      </c>
      <c r="C101" s="6">
        <f>SUMIF('R8'!$B$7:$G$7,B101,'R8'!$B$17:$G$17)</f>
        <v>19.567530000000001</v>
      </c>
      <c r="D101" s="43">
        <f>SUMIF('R8'!$B$7:$G$7,B101,'R8'!$B$21:$G$21)</f>
        <v>0.90022563327805616</v>
      </c>
      <c r="E101" s="35">
        <f>SUMIF('R8'!$B$7:$G$7,B101,'R8'!$B$22:$G$22)</f>
        <v>0.97405330480158026</v>
      </c>
      <c r="F101" s="47">
        <f t="shared" si="90"/>
        <v>1.0820101858849431</v>
      </c>
      <c r="G101" s="55"/>
      <c r="H101" s="4">
        <f>SUMIF('R8'!$B$7:$G$7,B101,'R8'!$B$19:$G$19)</f>
        <v>0.99004983374916744</v>
      </c>
      <c r="I101" s="5">
        <f>SUMIF('R8'!$B$7:$G$7,B101,'R8'!$B$20:$G$20)</f>
        <v>1</v>
      </c>
      <c r="J101" s="5">
        <f t="shared" si="91"/>
        <v>1.0100501670841686</v>
      </c>
      <c r="K101" s="55"/>
      <c r="L101" s="27">
        <f>SUMIF('R8'!$B$7:$G$7,B101,'R8'!$B$11:$G$11)</f>
        <v>1.570929564987853</v>
      </c>
      <c r="M101" s="24">
        <f>SUMIF('R8'!$B$7:$G$7,B101,'R8'!$B$12:$G$12)</f>
        <v>15.02477829806918</v>
      </c>
      <c r="N101" s="24">
        <f t="shared" si="69"/>
        <v>16.595707863057033</v>
      </c>
      <c r="O101" s="55"/>
      <c r="P101" s="40">
        <f t="shared" si="79"/>
        <v>9.5642596797045805</v>
      </c>
      <c r="Q101" s="55"/>
      <c r="R101" s="27">
        <f>SUMIF('R8'!$B$7:$G$7,B101,'R8'!$B$15:$G$15)</f>
        <v>321199.2669600175</v>
      </c>
      <c r="S101" s="55"/>
      <c r="T101" s="27">
        <f>SUMIF('R8'!$B$7:$G$7,B101,'R8'!$B$16:$G$16)</f>
        <v>400711.48694132408</v>
      </c>
      <c r="U101" s="55"/>
      <c r="V101" s="24">
        <f t="shared" si="70"/>
        <v>1.2475479497006579</v>
      </c>
      <c r="W101" s="55"/>
      <c r="X101" s="85">
        <f>SUMIF('R8'!$B$7:$G$7,B101,'R8'!$B$27:$G$27)</f>
        <v>228443.05522539199</v>
      </c>
      <c r="Y101" s="55"/>
      <c r="Z101" s="85">
        <f>SUMIF('R8'!$B$7:$G$7,B101,'R8'!$B$10:$G$10)</f>
        <v>3791174.2078648098</v>
      </c>
      <c r="AA101" s="55"/>
      <c r="AB101" s="5"/>
      <c r="AC101" s="5"/>
      <c r="AD101" s="5"/>
    </row>
    <row r="102" spans="1:30" x14ac:dyDescent="0.25">
      <c r="A102" s="107"/>
      <c r="B102" s="31">
        <v>2080</v>
      </c>
      <c r="C102" s="6">
        <f>SUMIF('R8'!$B$7:$G$7,B102,'R8'!$B$17:$G$17)</f>
        <v>19.567530000000001</v>
      </c>
      <c r="D102" s="43">
        <f>SUMIF('R8'!$B$7:$G$7,B102,'R8'!$B$21:$G$21)</f>
        <v>0.90022563327805616</v>
      </c>
      <c r="E102" s="35">
        <f>SUMIF('R8'!$B$7:$G$7,B102,'R8'!$B$22:$G$22)</f>
        <v>0.97405330480158026</v>
      </c>
      <c r="F102" s="47">
        <f t="shared" si="90"/>
        <v>1.0820101858849431</v>
      </c>
      <c r="G102" s="55"/>
      <c r="H102" s="4">
        <f>SUMIF('R8'!$B$7:$G$7,B102,'R8'!$B$19:$G$19)</f>
        <v>0.99004983374916744</v>
      </c>
      <c r="I102" s="5">
        <f>SUMIF('R8'!$B$7:$G$7,B102,'R8'!$B$20:$G$20)</f>
        <v>1</v>
      </c>
      <c r="J102" s="5">
        <f t="shared" si="91"/>
        <v>1.0100501670841686</v>
      </c>
      <c r="K102" s="55"/>
      <c r="L102" s="27">
        <f>SUMIF('R8'!$B$7:$G$7,B102,'R8'!$B$11:$G$11)</f>
        <v>1.4046337484457949</v>
      </c>
      <c r="M102" s="24">
        <f>SUMIF('R8'!$B$7:$G$7,B102,'R8'!$B$12:$G$12)</f>
        <v>24.930527769864749</v>
      </c>
      <c r="N102" s="24">
        <f t="shared" si="69"/>
        <v>26.335161518310546</v>
      </c>
      <c r="O102" s="55"/>
      <c r="P102" s="40">
        <f t="shared" si="79"/>
        <v>17.748774580882728</v>
      </c>
      <c r="Q102" s="55"/>
      <c r="R102" s="27">
        <f>SUMIF('R8'!$B$7:$G$7,B102,'R8'!$B$15:$G$15)</f>
        <v>449527.21310879482</v>
      </c>
      <c r="S102" s="55"/>
      <c r="T102" s="27">
        <f>SUMIF('R8'!$B$7:$G$7,B102,'R8'!$B$16:$G$16)</f>
        <v>560806.75304852705</v>
      </c>
      <c r="U102" s="55"/>
      <c r="V102" s="24">
        <f t="shared" si="70"/>
        <v>1.2475479497006565</v>
      </c>
      <c r="W102" s="55"/>
      <c r="X102" s="85">
        <f>SUMIF('R8'!$B$7:$G$7,B102,'R8'!$B$27:$G$27)</f>
        <v>323222.55454639468</v>
      </c>
      <c r="Y102" s="55"/>
      <c r="Z102" s="85">
        <f>SUMIF('R8'!$B$7:$G$7,B102,'R8'!$B$10:$G$10)</f>
        <v>8512118.1803402435</v>
      </c>
      <c r="AA102" s="55"/>
      <c r="AB102" s="5"/>
      <c r="AC102" s="5"/>
      <c r="AD102" s="5"/>
    </row>
    <row r="103" spans="1:30" ht="15.75" thickBot="1" x14ac:dyDescent="0.3">
      <c r="A103" s="108"/>
      <c r="B103" s="32">
        <v>2100</v>
      </c>
      <c r="C103" s="9">
        <f>SUMIF('R8'!$B$7:$G$7,B103,'R8'!$B$17:$G$17)</f>
        <v>19.567530000000001</v>
      </c>
      <c r="D103" s="44">
        <f>SUMIF('R8'!$B$7:$G$7,B103,'R8'!$B$21:$G$21)</f>
        <v>0.90022563327805616</v>
      </c>
      <c r="E103" s="36">
        <f>SUMIF('R8'!$B$7:$G$7,B103,'R8'!$B$22:$G$22)</f>
        <v>0.97405330480158026</v>
      </c>
      <c r="F103" s="48">
        <f t="shared" si="90"/>
        <v>1.0820101858849431</v>
      </c>
      <c r="G103" s="56"/>
      <c r="H103" s="7">
        <f>SUMIF('R8'!$B$7:$G$7,B103,'R8'!$B$19:$G$19)</f>
        <v>0.99004983374916744</v>
      </c>
      <c r="I103" s="8">
        <f>SUMIF('R8'!$B$7:$G$7,B103,'R8'!$B$20:$G$20)</f>
        <v>1</v>
      </c>
      <c r="J103" s="8">
        <f t="shared" si="91"/>
        <v>1.0100501670841686</v>
      </c>
      <c r="K103" s="56"/>
      <c r="L103" s="28">
        <f>SUMIF('R8'!$B$7:$G$7,B103,'R8'!$B$11:$G$11)</f>
        <v>1.223729357177219</v>
      </c>
      <c r="M103" s="25">
        <f>SUMIF('R8'!$B$7:$G$7,B103,'R8'!$B$12:$G$12)</f>
        <v>40.306098977364179</v>
      </c>
      <c r="N103" s="25">
        <f t="shared" si="69"/>
        <v>41.529828334541399</v>
      </c>
      <c r="O103" s="56"/>
      <c r="P103" s="41">
        <f t="shared" si="79"/>
        <v>32.937102261188215</v>
      </c>
      <c r="Q103" s="56"/>
      <c r="R103" s="28">
        <f>SUMIF('R8'!$B$7:$G$7,B103,'R8'!$B$15:$G$15)</f>
        <v>591757.01203304692</v>
      </c>
      <c r="S103" s="56"/>
      <c r="T103" s="28">
        <f>SUMIF('R8'!$B$7:$G$7,B103,'R8'!$B$16:$G$16)</f>
        <v>738245.24708281481</v>
      </c>
      <c r="U103" s="56"/>
      <c r="V103" s="25">
        <f t="shared" si="70"/>
        <v>1.2475479497006572</v>
      </c>
      <c r="W103" s="56"/>
      <c r="X103" s="86">
        <f>SUMIF('R8'!$B$7:$G$7,B103,'R8'!$B$27:$G$27)</f>
        <v>428159.06043698522</v>
      </c>
      <c r="Y103" s="56"/>
      <c r="Z103" s="86">
        <f>SUMIF('R8'!$B$7:$G$7,B103,'R8'!$B$10:$G$10)</f>
        <v>17781372.279826529</v>
      </c>
      <c r="AA103" s="56"/>
      <c r="AB103" s="5"/>
      <c r="AC103" s="5"/>
      <c r="AD103" s="5"/>
    </row>
    <row r="104" spans="1:30" x14ac:dyDescent="0.25">
      <c r="A104" s="106" t="str">
        <f>'R8'!B1</f>
        <v>Limpopo</v>
      </c>
      <c r="B104" s="21">
        <v>2000</v>
      </c>
      <c r="C104" s="3">
        <f>SUMIF('R8'!$B$7:$G$7,B104,'R8'!$B$42:$G$42)</f>
        <v>19.567530000000001</v>
      </c>
      <c r="D104" s="42">
        <f>SUMIF('R8'!$B$7:$G$7,B104,'R8'!$B$46:$G$46)</f>
        <v>1</v>
      </c>
      <c r="E104" s="34">
        <f>SUMIF('R8'!$B$7:$G$7,B104,'R8'!$B$47:$G$47)</f>
        <v>1</v>
      </c>
      <c r="F104" s="49">
        <f t="shared" si="90"/>
        <v>1</v>
      </c>
      <c r="G104" s="57">
        <f t="shared" ref="G104:G109" si="92">(F104-$F98)/$F98</f>
        <v>0</v>
      </c>
      <c r="H104" s="1">
        <f>SUMIF('R8'!$B$7:$G$7,B104,'R8'!$B$44:$G$44)</f>
        <v>0.99004983374916744</v>
      </c>
      <c r="I104" s="2">
        <f>SUMIF('R8'!$B$7:$G$7,B104,'R8'!$B$45:$G$45)</f>
        <v>1</v>
      </c>
      <c r="J104" s="2">
        <f t="shared" si="91"/>
        <v>1.0100501670841686</v>
      </c>
      <c r="K104" s="57">
        <f t="shared" ref="K104:K109" si="93">(J104-$J98)/$J98</f>
        <v>0</v>
      </c>
      <c r="L104" s="26">
        <f>SUMIF('R8'!$B$7:$G$7,B104,'R8'!$B$36:$G$36)</f>
        <v>1.5094523999114999</v>
      </c>
      <c r="M104" s="23">
        <f>SUMIF('R8'!$B$7:$G$7,B104,'R8'!$B$37:$G$37)</f>
        <v>2.2590182415933011</v>
      </c>
      <c r="N104" s="23">
        <f t="shared" si="69"/>
        <v>3.768470641504801</v>
      </c>
      <c r="O104" s="57"/>
      <c r="P104" s="38">
        <f t="shared" si="79"/>
        <v>1.4965813044026752</v>
      </c>
      <c r="Q104" s="57">
        <f t="shared" ref="Q104:Q109" si="94">(P104-$P98)/$P98</f>
        <v>0</v>
      </c>
      <c r="R104" s="26">
        <f>SUMIF('R8'!$B$7:$G$7,B104,'R8'!$B$40:$G$40)</f>
        <v>47481.627330410549</v>
      </c>
      <c r="S104" s="57">
        <f t="shared" ref="S104:S109" si="95">(R104-$R98)/$R98</f>
        <v>0</v>
      </c>
      <c r="T104" s="26">
        <f>SUMIF('R8'!$B$7:$G$7,B104,'R8'!$B$41:$G$41)</f>
        <v>59235.606824504393</v>
      </c>
      <c r="U104" s="57">
        <f t="shared" ref="U104:U109" si="96">(T104-$T98)/$T98</f>
        <v>0</v>
      </c>
      <c r="V104" s="23">
        <f t="shared" si="70"/>
        <v>1.2475479497006576</v>
      </c>
      <c r="W104" s="57">
        <f t="shared" ref="W104:W109" si="97">(V104-$V98)/$V98</f>
        <v>0</v>
      </c>
      <c r="X104" s="84">
        <f>SUMIF('R8'!$B$7:$G$7,B104,'R8'!$B$52:$G$52)</f>
        <v>18427.26254075639</v>
      </c>
      <c r="Y104" s="57">
        <f t="shared" ref="Y104:Y109" si="98">(X104-$X98)/$X98</f>
        <v>0</v>
      </c>
      <c r="Z104" s="84">
        <f>SUMIF('R8'!$B$7:$G$7,B104,'R8'!$B$35:$G$35)</f>
        <v>121208.1200484</v>
      </c>
      <c r="AA104" s="57">
        <f t="shared" ref="AA104:AA109" si="99">(Z104-$Z98)/$Z98</f>
        <v>0</v>
      </c>
      <c r="AB104" s="5"/>
      <c r="AC104" s="5"/>
      <c r="AD104" s="5"/>
    </row>
    <row r="105" spans="1:30" x14ac:dyDescent="0.25">
      <c r="A105" s="107"/>
      <c r="B105" s="31">
        <v>2020</v>
      </c>
      <c r="C105" s="14">
        <f>SUMIF('R8'!$B$7:$G$7,B105,'R8'!$B$42:$G$42)</f>
        <v>20.30819</v>
      </c>
      <c r="D105" s="43">
        <f>SUMIF('R8'!$B$7:$G$7,B105,'R8'!$B$46:$G$46)</f>
        <v>0.87282505847383773</v>
      </c>
      <c r="E105" s="35">
        <f>SUMIF('R8'!$B$7:$G$7,B105,'R8'!$B$47:$G$47)</f>
        <v>0.95961542839364711</v>
      </c>
      <c r="F105" s="50">
        <f t="shared" si="90"/>
        <v>1.0994361574260541</v>
      </c>
      <c r="G105" s="58">
        <f t="shared" si="92"/>
        <v>1.6105182528257576E-2</v>
      </c>
      <c r="H105" s="4">
        <f>SUMIF('R8'!$B$7:$G$7,B105,'R8'!$B$44:$G$44)</f>
        <v>1</v>
      </c>
      <c r="I105" s="5">
        <f>SUMIF('R8'!$B$7:$G$7,B105,'R8'!$B$45:$G$45)</f>
        <v>1</v>
      </c>
      <c r="J105" s="13">
        <f t="shared" si="91"/>
        <v>1</v>
      </c>
      <c r="K105" s="58">
        <f t="shared" si="93"/>
        <v>-9.9501662508324935E-3</v>
      </c>
      <c r="L105" s="27">
        <f>SUMIF('R8'!$B$7:$G$7,B105,'R8'!$B$36:$G$36)</f>
        <v>1.6782858362478941</v>
      </c>
      <c r="M105" s="24">
        <f>SUMIF('R8'!$B$7:$G$7,B105,'R8'!$B$37:$G$37)</f>
        <v>4.6540851967146706</v>
      </c>
      <c r="N105" s="24">
        <f t="shared" si="69"/>
        <v>6.3323710329625644</v>
      </c>
      <c r="O105" s="58"/>
      <c r="P105" s="39">
        <f t="shared" si="79"/>
        <v>2.7731183188196979</v>
      </c>
      <c r="Q105" s="58">
        <f t="shared" si="94"/>
        <v>-1.4931016899581854E-3</v>
      </c>
      <c r="R105" s="27">
        <f>SUMIF('R8'!$B$7:$G$7,B105,'R8'!$B$40:$G$40)</f>
        <v>111147.96769828199</v>
      </c>
      <c r="S105" s="58">
        <f t="shared" si="95"/>
        <v>-5.9260945807684132E-3</v>
      </c>
      <c r="T105" s="27">
        <f>SUMIF('R8'!$B$7:$G$7,B105,'R8'!$B$41:$G$41)</f>
        <v>136464.6314177523</v>
      </c>
      <c r="U105" s="58">
        <f t="shared" si="96"/>
        <v>-2.1682083201473343E-2</v>
      </c>
      <c r="V105" s="24">
        <f t="shared" si="70"/>
        <v>1.2277744185858077</v>
      </c>
      <c r="W105" s="58">
        <f t="shared" si="97"/>
        <v>-1.5849916726322424E-2</v>
      </c>
      <c r="X105" s="85">
        <f>SUMIF('R8'!$B$7:$G$7,B105,'R8'!$B$52:$G$52)</f>
        <v>73174.879437184325</v>
      </c>
      <c r="Y105" s="58">
        <f t="shared" si="98"/>
        <v>-3.6261208579226586E-2</v>
      </c>
      <c r="Z105" s="85">
        <f>SUMIF('R8'!$B$7:$G$7,B105,'R8'!$B$35:$G$35)</f>
        <v>463370.48688855401</v>
      </c>
      <c r="AA105" s="58">
        <f t="shared" si="99"/>
        <v>-3.6183171695065422E-2</v>
      </c>
      <c r="AB105" s="5"/>
      <c r="AC105" s="5"/>
      <c r="AD105" s="5"/>
    </row>
    <row r="106" spans="1:30" x14ac:dyDescent="0.25">
      <c r="A106" s="107"/>
      <c r="B106" s="31">
        <v>2040</v>
      </c>
      <c r="C106" s="6">
        <f>SUMIF('R8'!$B$7:$G$7,B106,'R8'!$B$42:$G$42)</f>
        <v>20.607230000000001</v>
      </c>
      <c r="D106" s="43">
        <f>SUMIF('R8'!$B$7:$G$7,B106,'R8'!$B$46:$G$46)</f>
        <v>0.85313575176011658</v>
      </c>
      <c r="E106" s="35">
        <f>SUMIF('R8'!$B$7:$G$7,B106,'R8'!$B$47:$G$47)</f>
        <v>0.94834437421114004</v>
      </c>
      <c r="F106" s="50">
        <f t="shared" si="90"/>
        <v>1.1115984440396469</v>
      </c>
      <c r="G106" s="58">
        <f t="shared" si="92"/>
        <v>2.7345637352299459E-2</v>
      </c>
      <c r="H106" s="4">
        <f>SUMIF('R8'!$B$7:$G$7,B106,'R8'!$B$44:$G$44)</f>
        <v>1</v>
      </c>
      <c r="I106" s="5">
        <f>SUMIF('R8'!$B$7:$G$7,B106,'R8'!$B$45:$G$45)</f>
        <v>1</v>
      </c>
      <c r="J106" s="5">
        <f t="shared" si="91"/>
        <v>1</v>
      </c>
      <c r="K106" s="58">
        <f t="shared" si="93"/>
        <v>-9.9501662508324935E-3</v>
      </c>
      <c r="L106" s="27">
        <f>SUMIF('R8'!$B$7:$G$7,B106,'R8'!$B$36:$G$36)</f>
        <v>1.6873715950749799</v>
      </c>
      <c r="M106" s="24">
        <f>SUMIF('R8'!$B$7:$G$7,B106,'R8'!$B$37:$G$37)</f>
        <v>8.659676524508372</v>
      </c>
      <c r="N106" s="24">
        <f t="shared" si="69"/>
        <v>10.347048119583352</v>
      </c>
      <c r="O106" s="58"/>
      <c r="P106" s="40">
        <f t="shared" si="79"/>
        <v>5.1320506696828518</v>
      </c>
      <c r="Q106" s="58">
        <f t="shared" si="94"/>
        <v>-4.2356105949690843E-3</v>
      </c>
      <c r="R106" s="27">
        <f>SUMIF('R8'!$B$7:$G$7,B106,'R8'!$B$40:$G$40)</f>
        <v>205106.4775223269</v>
      </c>
      <c r="S106" s="58">
        <f t="shared" si="95"/>
        <v>-6.8641240750407168E-3</v>
      </c>
      <c r="T106" s="27">
        <f>SUMIF('R8'!$B$7:$G$7,B106,'R8'!$B$41:$G$41)</f>
        <v>249069.2092320201</v>
      </c>
      <c r="U106" s="58">
        <f t="shared" si="96"/>
        <v>-3.3299174283259236E-2</v>
      </c>
      <c r="V106" s="24">
        <f t="shared" si="70"/>
        <v>1.2143410205311904</v>
      </c>
      <c r="W106" s="58">
        <f t="shared" si="97"/>
        <v>-2.6617757800359527E-2</v>
      </c>
      <c r="X106" s="85">
        <f>SUMIF('R8'!$B$7:$G$7,B106,'R8'!$B$52:$G$52)</f>
        <v>135731.89219001689</v>
      </c>
      <c r="Y106" s="58">
        <f t="shared" si="98"/>
        <v>-5.8961365961813832E-2</v>
      </c>
      <c r="Z106" s="85">
        <f>SUMIF('R8'!$B$7:$G$7,B106,'R8'!$B$35:$G$35)</f>
        <v>1404424.4198522039</v>
      </c>
      <c r="AA106" s="58">
        <f t="shared" si="99"/>
        <v>-5.8737834582648175E-2</v>
      </c>
      <c r="AB106" s="5"/>
      <c r="AC106" s="5"/>
      <c r="AD106" s="5"/>
    </row>
    <row r="107" spans="1:30" x14ac:dyDescent="0.25">
      <c r="A107" s="107"/>
      <c r="B107" s="31">
        <v>2060</v>
      </c>
      <c r="C107" s="6">
        <f>SUMIF('R8'!$B$7:$G$7,B107,'R8'!$B$42:$G$42)</f>
        <v>20.968589999999999</v>
      </c>
      <c r="D107" s="43">
        <f>SUMIF('R8'!$B$7:$G$7,B107,'R8'!$B$46:$G$46)</f>
        <v>0.84289864993793617</v>
      </c>
      <c r="E107" s="35">
        <f>SUMIF('R8'!$B$7:$G$7,B107,'R8'!$B$47:$G$47)</f>
        <v>0.94223331790392795</v>
      </c>
      <c r="F107" s="50">
        <f t="shared" si="90"/>
        <v>1.117848887257449</v>
      </c>
      <c r="G107" s="58">
        <f t="shared" si="92"/>
        <v>3.3122332710014656E-2</v>
      </c>
      <c r="H107" s="4">
        <f>SUMIF('R8'!$B$7:$G$7,B107,'R8'!$B$44:$G$44)</f>
        <v>1</v>
      </c>
      <c r="I107" s="5">
        <f>SUMIF('R8'!$B$7:$G$7,B107,'R8'!$B$45:$G$45)</f>
        <v>1</v>
      </c>
      <c r="J107" s="5">
        <f t="shared" si="91"/>
        <v>1</v>
      </c>
      <c r="K107" s="58">
        <f t="shared" si="93"/>
        <v>-9.9501662508324935E-3</v>
      </c>
      <c r="L107" s="27">
        <f>SUMIF('R8'!$B$7:$G$7,B107,'R8'!$B$36:$G$36)</f>
        <v>1.5795570459054289</v>
      </c>
      <c r="M107" s="24">
        <f>SUMIF('R8'!$B$7:$G$7,B107,'R8'!$B$37:$G$37)</f>
        <v>15.02223228453877</v>
      </c>
      <c r="N107" s="24">
        <f t="shared" si="69"/>
        <v>16.601789330444198</v>
      </c>
      <c r="O107" s="58"/>
      <c r="P107" s="40">
        <f t="shared" si="79"/>
        <v>9.5104082017675857</v>
      </c>
      <c r="Q107" s="58">
        <f t="shared" si="94"/>
        <v>-5.6304909883686987E-3</v>
      </c>
      <c r="R107" s="27">
        <f>SUMIF('R8'!$B$7:$G$7,B107,'R8'!$B$40:$G$40)</f>
        <v>319413.45820379339</v>
      </c>
      <c r="S107" s="58">
        <f t="shared" si="95"/>
        <v>-5.5598157901350625E-3</v>
      </c>
      <c r="T107" s="27">
        <f>SUMIF('R8'!$B$7:$G$7,B107,'R8'!$B$41:$G$41)</f>
        <v>385708.05438274163</v>
      </c>
      <c r="U107" s="58">
        <f t="shared" si="96"/>
        <v>-3.7441982692099363E-2</v>
      </c>
      <c r="V107" s="24">
        <f t="shared" si="70"/>
        <v>1.2075510423128468</v>
      </c>
      <c r="W107" s="58">
        <f t="shared" si="97"/>
        <v>-3.2060416914161949E-2</v>
      </c>
      <c r="X107" s="85">
        <f>SUMIF('R8'!$B$7:$G$7,B107,'R8'!$B$52:$G$52)</f>
        <v>212679.0147914954</v>
      </c>
      <c r="Y107" s="58">
        <f t="shared" si="98"/>
        <v>-6.9006433215240845E-2</v>
      </c>
      <c r="Z107" s="85">
        <f>SUMIF('R8'!$B$7:$G$7,B107,'R8'!$B$35:$G$35)</f>
        <v>3530852.1985748331</v>
      </c>
      <c r="AA107" s="58">
        <f t="shared" si="99"/>
        <v>-6.8665272292140353E-2</v>
      </c>
      <c r="AB107" s="5"/>
      <c r="AC107" s="5"/>
      <c r="AD107" s="5"/>
    </row>
    <row r="108" spans="1:30" x14ac:dyDescent="0.25">
      <c r="A108" s="107"/>
      <c r="B108" s="31">
        <v>2080</v>
      </c>
      <c r="C108" s="6">
        <f>SUMIF('R8'!$B$7:$G$7,B108,'R8'!$B$42:$G$42)</f>
        <v>20.846430000000002</v>
      </c>
      <c r="D108" s="43">
        <f>SUMIF('R8'!$B$7:$G$7,B108,'R8'!$B$46:$G$46)</f>
        <v>0.84289864993793617</v>
      </c>
      <c r="E108" s="35">
        <f>SUMIF('R8'!$B$7:$G$7,B108,'R8'!$B$47:$G$47)</f>
        <v>0.94223331790392795</v>
      </c>
      <c r="F108" s="50">
        <f t="shared" si="90"/>
        <v>1.117848887257449</v>
      </c>
      <c r="G108" s="58">
        <f t="shared" si="92"/>
        <v>3.3122332710014656E-2</v>
      </c>
      <c r="H108" s="4">
        <f>SUMIF('R8'!$B$7:$G$7,B108,'R8'!$B$44:$G$44)</f>
        <v>1</v>
      </c>
      <c r="I108" s="5">
        <f>SUMIF('R8'!$B$7:$G$7,B108,'R8'!$B$45:$G$45)</f>
        <v>1</v>
      </c>
      <c r="J108" s="5">
        <f t="shared" si="91"/>
        <v>1</v>
      </c>
      <c r="K108" s="58">
        <f t="shared" si="93"/>
        <v>-9.9501662508324935E-3</v>
      </c>
      <c r="L108" s="27">
        <f>SUMIF('R8'!$B$7:$G$7,B108,'R8'!$B$36:$G$36)</f>
        <v>1.412784426206831</v>
      </c>
      <c r="M108" s="24">
        <f>SUMIF('R8'!$B$7:$G$7,B108,'R8'!$B$37:$G$37)</f>
        <v>24.934006667781748</v>
      </c>
      <c r="N108" s="24">
        <f t="shared" si="69"/>
        <v>26.346791093988578</v>
      </c>
      <c r="O108" s="58"/>
      <c r="P108" s="40">
        <f t="shared" si="79"/>
        <v>17.648840265550479</v>
      </c>
      <c r="Q108" s="58">
        <f t="shared" si="94"/>
        <v>-5.6304909883687481E-3</v>
      </c>
      <c r="R108" s="27">
        <f>SUMIF('R8'!$B$7:$G$7,B108,'R8'!$B$40:$G$40)</f>
        <v>448005.59896410711</v>
      </c>
      <c r="S108" s="58">
        <f t="shared" si="95"/>
        <v>-3.3849210911274766E-3</v>
      </c>
      <c r="T108" s="27">
        <f>SUMIF('R8'!$B$7:$G$7,B108,'R8'!$B$41:$G$41)</f>
        <v>540989.62799109844</v>
      </c>
      <c r="U108" s="58">
        <f t="shared" si="96"/>
        <v>-3.5336816023885893E-2</v>
      </c>
      <c r="V108" s="24">
        <f t="shared" si="70"/>
        <v>1.2075510423128462</v>
      </c>
      <c r="W108" s="58">
        <f t="shared" si="97"/>
        <v>-3.2060416914161449E-2</v>
      </c>
      <c r="X108" s="85">
        <f>SUMIF('R8'!$B$7:$G$7,B108,'R8'!$B$52:$G$52)</f>
        <v>301592.45400681562</v>
      </c>
      <c r="Y108" s="58">
        <f t="shared" si="98"/>
        <v>-6.6920145996415353E-2</v>
      </c>
      <c r="Z108" s="85">
        <f>SUMIF('R8'!$B$7:$G$7,B108,'R8'!$B$35:$G$35)</f>
        <v>7945993.3812409304</v>
      </c>
      <c r="AA108" s="58">
        <f t="shared" si="99"/>
        <v>-6.6508099054222031E-2</v>
      </c>
      <c r="AB108" s="5"/>
      <c r="AC108" s="5"/>
      <c r="AD108" s="5"/>
    </row>
    <row r="109" spans="1:30" ht="15.75" thickBot="1" x14ac:dyDescent="0.3">
      <c r="A109" s="108"/>
      <c r="B109" s="32">
        <v>2100</v>
      </c>
      <c r="C109" s="9">
        <f>SUMIF('R8'!$B$7:$G$7,B109,'R8'!$B$42:$G$42)</f>
        <v>20.650020000000001</v>
      </c>
      <c r="D109" s="44">
        <f>SUMIF('R8'!$B$7:$G$7,B109,'R8'!$B$46:$G$46)</f>
        <v>0.85313575176011658</v>
      </c>
      <c r="E109" s="36">
        <f>SUMIF('R8'!$B$7:$G$7,B109,'R8'!$B$47:$G$47)</f>
        <v>0.94834437421114004</v>
      </c>
      <c r="F109" s="51">
        <f t="shared" si="90"/>
        <v>1.1115984440396469</v>
      </c>
      <c r="G109" s="59">
        <f t="shared" si="92"/>
        <v>2.7345637352299459E-2</v>
      </c>
      <c r="H109" s="7">
        <f>SUMIF('R8'!$B$7:$G$7,B109,'R8'!$B$44:$G$44)</f>
        <v>1</v>
      </c>
      <c r="I109" s="8">
        <f>SUMIF('R8'!$B$7:$G$7,B109,'R8'!$B$45:$G$45)</f>
        <v>1</v>
      </c>
      <c r="J109" s="8">
        <f t="shared" si="91"/>
        <v>1</v>
      </c>
      <c r="K109" s="59">
        <f t="shared" si="93"/>
        <v>-9.9501662508324935E-3</v>
      </c>
      <c r="L109" s="28">
        <f>SUMIF('R8'!$B$7:$G$7,B109,'R8'!$B$36:$G$36)</f>
        <v>1.229362313341781</v>
      </c>
      <c r="M109" s="25">
        <f>SUMIF('R8'!$B$7:$G$7,B109,'R8'!$B$37:$G$37)</f>
        <v>40.320125444105628</v>
      </c>
      <c r="N109" s="25">
        <f t="shared" si="69"/>
        <v>41.549487757447409</v>
      </c>
      <c r="O109" s="59"/>
      <c r="P109" s="41">
        <f t="shared" si="79"/>
        <v>32.797593521883108</v>
      </c>
      <c r="Q109" s="59">
        <f t="shared" si="94"/>
        <v>-4.2356105949702414E-3</v>
      </c>
      <c r="R109" s="33">
        <f>SUMIF('R8'!$B$7:$G$7,B109,'R8'!$B$40:$G$40)</f>
        <v>591151.69922298973</v>
      </c>
      <c r="S109" s="59">
        <f t="shared" si="95"/>
        <v>-1.022907710003423E-3</v>
      </c>
      <c r="T109" s="28">
        <f>SUMIF('R8'!$B$7:$G$7,B109,'R8'!$B$41:$G$41)</f>
        <v>717859.75772319245</v>
      </c>
      <c r="U109" s="59">
        <f t="shared" si="96"/>
        <v>-2.7613438000685907E-2</v>
      </c>
      <c r="V109" s="25">
        <f t="shared" si="70"/>
        <v>1.21434102053119</v>
      </c>
      <c r="W109" s="59">
        <f t="shared" si="97"/>
        <v>-2.6617757800359538E-2</v>
      </c>
      <c r="X109" s="86">
        <f>SUMIF('R8'!$B$7:$G$7,B109,'R8'!$B$52:$G$52)</f>
        <v>405334.56395490927</v>
      </c>
      <c r="Y109" s="59">
        <f t="shared" si="98"/>
        <v>-5.3308451440408487E-2</v>
      </c>
      <c r="Z109" s="86">
        <f>SUMIF('R8'!$B$7:$G$7,B109,'R8'!$B$35:$G$35)</f>
        <v>16841443.50271479</v>
      </c>
      <c r="AA109" s="59">
        <f t="shared" si="99"/>
        <v>-5.2860305848166443E-2</v>
      </c>
      <c r="AB109" s="5"/>
      <c r="AC109" s="5"/>
      <c r="AD109" s="5"/>
    </row>
    <row r="110" spans="1:30" x14ac:dyDescent="0.25">
      <c r="A110" s="91" t="s">
        <v>6</v>
      </c>
      <c r="B110" s="21">
        <v>2000</v>
      </c>
      <c r="C110" s="3">
        <f>SUMIF('R9'!$B$7:$G$7,B110,'R9'!$B$17:$G$17)</f>
        <v>17.474866370000001</v>
      </c>
      <c r="D110" s="42">
        <f>SUMIF('R9'!$B$7:$G$7,B110,'R9'!$B$21:$G$21)</f>
        <v>0.96439833420871968</v>
      </c>
      <c r="E110" s="34">
        <f>SUMIF('R9'!$B$7:$G$7,B110,'R9'!$B$22:$G$22)</f>
        <v>0.99844694181596516</v>
      </c>
      <c r="F110" s="45">
        <f>E110/D110</f>
        <v>1.0353055437773875</v>
      </c>
      <c r="G110" s="53"/>
      <c r="H110" s="1">
        <f>SUMIF('R9'!$B$7:$G$7,B110,'R9'!$B$19:$G$19)</f>
        <v>0.91305087301969401</v>
      </c>
      <c r="I110" s="2">
        <f>SUMIF('R9'!$B$7:$G$7,B110,'R9'!$B$20:$G$20)</f>
        <v>0.99563611390647888</v>
      </c>
      <c r="J110" s="2">
        <f>I110/H110</f>
        <v>1.0904497693689885</v>
      </c>
      <c r="K110" s="53"/>
      <c r="L110" s="26">
        <f>SUMIF('R9'!$B$7:$G$7,B110,'R9'!$B$11:$G$11)</f>
        <v>11.890499999999999</v>
      </c>
      <c r="M110" s="24">
        <f>SUMIF('R9'!$B$7:$G$7,B110,'R9'!$B$12:$G$12)</f>
        <v>17.795100000000001</v>
      </c>
      <c r="N110" s="23">
        <f t="shared" si="69"/>
        <v>29.685600000000001</v>
      </c>
      <c r="O110" s="90">
        <f>N110</f>
        <v>29.685600000000001</v>
      </c>
      <c r="P110" s="38">
        <f t="shared" si="79"/>
        <v>1.4965813044026746</v>
      </c>
      <c r="Q110" s="53"/>
      <c r="R110" s="26">
        <f>SUMIF('R9'!$B$7:$G$7,B110,'R9'!$B$15:$G$15)</f>
        <v>12693901918.097731</v>
      </c>
      <c r="S110" s="53"/>
      <c r="T110" s="26">
        <f>SUMIF('R9'!$B$7:$G$7,B110,'R9'!$B$16:$G$16)</f>
        <v>16550655338.802481</v>
      </c>
      <c r="U110" s="53"/>
      <c r="V110" s="23">
        <f t="shared" si="70"/>
        <v>1.3038272585993567</v>
      </c>
      <c r="W110" s="90">
        <f>V110</f>
        <v>1.3038272585993567</v>
      </c>
      <c r="X110" s="84">
        <f>SUMIF('R9'!$B$7:$G$7,B110,'R9'!$B$27:$G$27)</f>
        <v>5152994447.4046478</v>
      </c>
      <c r="Y110" s="87">
        <f>X110/1000000/1000</f>
        <v>5.1529944474046481</v>
      </c>
      <c r="Z110" s="84">
        <f>SUMIF('R9'!$B$7:$G$7,B110,'R9'!$B$10:$G$10)</f>
        <v>267000000000</v>
      </c>
      <c r="AA110" s="53"/>
      <c r="AB110" s="5"/>
      <c r="AC110" s="5"/>
      <c r="AD110" s="5"/>
    </row>
    <row r="111" spans="1:30" s="10" customFormat="1" x14ac:dyDescent="0.25">
      <c r="A111" s="92"/>
      <c r="B111" s="31">
        <v>2020</v>
      </c>
      <c r="C111" s="14">
        <f>SUMIF('R9'!$B$7:$G$7,B111,'R9'!$B$17:$G$17)</f>
        <v>17.474866370000001</v>
      </c>
      <c r="D111" s="43">
        <f>SUMIF('R9'!$B$7:$G$7,B111,'R9'!$B$21:$G$21)</f>
        <v>0.96439833420871968</v>
      </c>
      <c r="E111" s="35">
        <f>SUMIF('R9'!$B$7:$G$7,B111,'R9'!$B$22:$G$22)</f>
        <v>0.99844694181596516</v>
      </c>
      <c r="F111" s="46">
        <f t="shared" ref="F111:F121" si="100">E111/D111</f>
        <v>1.0353055437773875</v>
      </c>
      <c r="G111" s="54"/>
      <c r="H111" s="4">
        <f>SUMIF('R9'!$B$7:$G$7,B111,'R9'!$B$19:$G$19)</f>
        <v>0.91305087301969401</v>
      </c>
      <c r="I111" s="5">
        <f>SUMIF('R9'!$B$7:$G$7,B111,'R9'!$B$20:$G$20)</f>
        <v>0.99563611390647888</v>
      </c>
      <c r="J111" s="5">
        <f t="shared" ref="J111:J121" si="101">I111/H111</f>
        <v>1.0904497693689885</v>
      </c>
      <c r="K111" s="55"/>
      <c r="L111" s="27">
        <f>SUMIF('R9'!$B$7:$G$7,B111,'R9'!$B$11:$G$11)</f>
        <v>10.53334762993039</v>
      </c>
      <c r="M111" s="24">
        <f>SUMIF('R9'!$B$7:$G$7,B111,'R9'!$B$12:$G$12)</f>
        <v>29.253898316069609</v>
      </c>
      <c r="N111" s="24">
        <f t="shared" si="69"/>
        <v>39.787245945999999</v>
      </c>
      <c r="O111" s="55">
        <f t="shared" ref="O111:O115" si="102">N111</f>
        <v>39.787245945999999</v>
      </c>
      <c r="P111" s="39">
        <f t="shared" si="79"/>
        <v>2.7772650579712175</v>
      </c>
      <c r="Q111" s="55"/>
      <c r="R111" s="27">
        <f>SUMIF('R9'!$B$7:$G$7,B111,'R9'!$B$15:$G$15)</f>
        <v>30828552397.620178</v>
      </c>
      <c r="S111" s="55"/>
      <c r="T111" s="27">
        <f>SUMIF('R9'!$B$7:$G$7,B111,'R9'!$B$16:$G$16)</f>
        <v>40195106959.175758</v>
      </c>
      <c r="U111" s="55"/>
      <c r="V111" s="24">
        <f t="shared" si="70"/>
        <v>1.3038272585993573</v>
      </c>
      <c r="W111" s="55">
        <f t="shared" ref="W111:W115" si="103">V111</f>
        <v>1.3038272585993573</v>
      </c>
      <c r="X111" s="85">
        <f>SUMIF('R9'!$B$7:$G$7,B111,'R9'!$B$27:$G$27)</f>
        <v>25452264741.496521</v>
      </c>
      <c r="Y111" s="88">
        <f t="shared" ref="Y111:Y115" si="104">X111/1000000/1000</f>
        <v>25.452264741496521</v>
      </c>
      <c r="Z111" s="85">
        <f>SUMIF('R9'!$B$7:$G$7,B111,'R9'!$B$10:$G$10)</f>
        <v>1012675517152.626</v>
      </c>
      <c r="AA111" s="55"/>
      <c r="AB111" s="13"/>
      <c r="AC111" s="13"/>
      <c r="AD111" s="13"/>
    </row>
    <row r="112" spans="1:30" x14ac:dyDescent="0.25">
      <c r="A112" s="92"/>
      <c r="B112" s="31">
        <v>2040</v>
      </c>
      <c r="C112" s="6">
        <f>SUMIF('R9'!$B$7:$G$7,B112,'R9'!$B$17:$G$17)</f>
        <v>17.474866370000001</v>
      </c>
      <c r="D112" s="43">
        <f>SUMIF('R9'!$B$7:$G$7,B112,'R9'!$B$21:$G$21)</f>
        <v>0.96439833420871968</v>
      </c>
      <c r="E112" s="35">
        <f>SUMIF('R9'!$B$7:$G$7,B112,'R9'!$B$22:$G$22)</f>
        <v>0.99844694181596516</v>
      </c>
      <c r="F112" s="47">
        <f t="shared" si="100"/>
        <v>1.0353055437773875</v>
      </c>
      <c r="G112" s="55"/>
      <c r="H112" s="4">
        <f>SUMIF('R9'!$B$7:$G$7,B112,'R9'!$B$19:$G$19)</f>
        <v>0.91305087301969401</v>
      </c>
      <c r="I112" s="5">
        <f>SUMIF('R9'!$B$7:$G$7,B112,'R9'!$B$20:$G$20)</f>
        <v>0.99563611390647888</v>
      </c>
      <c r="J112" s="5">
        <f t="shared" si="101"/>
        <v>1.0904497693689885</v>
      </c>
      <c r="K112" s="55"/>
      <c r="L112" s="27">
        <f>SUMIF('R9'!$B$7:$G$7,B112,'R9'!$B$11:$G$11)</f>
        <v>7.6693701468347113</v>
      </c>
      <c r="M112" s="24">
        <f>SUMIF('R9'!$B$7:$G$7,B112,'R9'!$B$12:$G$12)</f>
        <v>39.527017251165283</v>
      </c>
      <c r="N112" s="24">
        <f t="shared" si="69"/>
        <v>47.196387397999992</v>
      </c>
      <c r="O112" s="55">
        <f t="shared" si="102"/>
        <v>47.196387397999992</v>
      </c>
      <c r="P112" s="40">
        <f t="shared" si="79"/>
        <v>5.1538805005361237</v>
      </c>
      <c r="Q112" s="55"/>
      <c r="R112" s="27">
        <f>SUMIF('R9'!$B$7:$G$7,B112,'R9'!$B$15:$G$15)</f>
        <v>49660386078.816383</v>
      </c>
      <c r="S112" s="55"/>
      <c r="T112" s="27">
        <f>SUMIF('R9'!$B$7:$G$7,B112,'R9'!$B$16:$G$16)</f>
        <v>64748565042.128838</v>
      </c>
      <c r="U112" s="55"/>
      <c r="V112" s="24">
        <f t="shared" si="70"/>
        <v>1.3038272585993571</v>
      </c>
      <c r="W112" s="55">
        <f t="shared" si="103"/>
        <v>1.3038272585993571</v>
      </c>
      <c r="X112" s="85">
        <f>SUMIF('R9'!$B$7:$G$7,B112,'R9'!$B$27:$G$27)</f>
        <v>43940236524.539932</v>
      </c>
      <c r="Y112" s="88">
        <f t="shared" si="104"/>
        <v>43.940236524539934</v>
      </c>
      <c r="Z112" s="85">
        <f>SUMIF('R9'!$B$7:$G$7,B112,'R9'!$B$10:$G$10)</f>
        <v>2073820425371.936</v>
      </c>
      <c r="AA112" s="55"/>
      <c r="AB112" s="5"/>
      <c r="AC112" s="5"/>
      <c r="AD112" s="5"/>
    </row>
    <row r="113" spans="1:30" x14ac:dyDescent="0.25">
      <c r="A113" s="92"/>
      <c r="B113" s="31">
        <v>2060</v>
      </c>
      <c r="C113" s="6">
        <f>SUMIF('R9'!$B$7:$G$7,B113,'R9'!$B$17:$G$17)</f>
        <v>17.474866370000001</v>
      </c>
      <c r="D113" s="43">
        <f>SUMIF('R9'!$B$7:$G$7,B113,'R9'!$B$21:$G$21)</f>
        <v>0.96439833420871968</v>
      </c>
      <c r="E113" s="35">
        <f>SUMIF('R9'!$B$7:$G$7,B113,'R9'!$B$22:$G$22)</f>
        <v>0.99844694181596516</v>
      </c>
      <c r="F113" s="47">
        <f t="shared" si="100"/>
        <v>1.0353055437773875</v>
      </c>
      <c r="G113" s="55"/>
      <c r="H113" s="4">
        <f>SUMIF('R9'!$B$7:$G$7,B113,'R9'!$B$19:$G$19)</f>
        <v>0.91305087301969401</v>
      </c>
      <c r="I113" s="5">
        <f>SUMIF('R9'!$B$7:$G$7,B113,'R9'!$B$20:$G$20)</f>
        <v>0.99563611390647888</v>
      </c>
      <c r="J113" s="5">
        <f t="shared" si="101"/>
        <v>1.0904497693689885</v>
      </c>
      <c r="K113" s="55"/>
      <c r="L113" s="27">
        <f>SUMIF('R9'!$B$7:$G$7,B113,'R9'!$B$11:$G$11)</f>
        <v>4.8829147897699654</v>
      </c>
      <c r="M113" s="24">
        <f>SUMIF('R9'!$B$7:$G$7,B113,'R9'!$B$12:$G$12)</f>
        <v>46.70146504323003</v>
      </c>
      <c r="N113" s="24">
        <f t="shared" si="69"/>
        <v>51.584379832999993</v>
      </c>
      <c r="O113" s="55">
        <f t="shared" si="102"/>
        <v>51.584379832999993</v>
      </c>
      <c r="P113" s="40">
        <f t="shared" si="79"/>
        <v>9.5642596797045769</v>
      </c>
      <c r="Q113" s="55"/>
      <c r="R113" s="27">
        <f>SUMIF('R9'!$B$7:$G$7,B113,'R9'!$B$15:$G$15)</f>
        <v>73633303313.683334</v>
      </c>
      <c r="S113" s="55"/>
      <c r="T113" s="27">
        <f>SUMIF('R9'!$B$7:$G$7,B113,'R9'!$B$16:$G$16)</f>
        <v>96005108001.094727</v>
      </c>
      <c r="U113" s="55"/>
      <c r="V113" s="24">
        <f t="shared" si="70"/>
        <v>1.3038272585993576</v>
      </c>
      <c r="W113" s="55">
        <f t="shared" si="103"/>
        <v>1.3038272585993576</v>
      </c>
      <c r="X113" s="85">
        <f>SUMIF('R9'!$B$7:$G$7,B113,'R9'!$B$27:$G$27)</f>
        <v>68023167479.373451</v>
      </c>
      <c r="Y113" s="88">
        <f t="shared" si="104"/>
        <v>68.023167479373456</v>
      </c>
      <c r="Z113" s="85">
        <f>SUMIF('R9'!$B$7:$G$7,B113,'R9'!$B$10:$G$10)</f>
        <v>3508932908699.7729</v>
      </c>
      <c r="AA113" s="55"/>
      <c r="AB113" s="5"/>
      <c r="AC113" s="5"/>
      <c r="AD113" s="5"/>
    </row>
    <row r="114" spans="1:30" x14ac:dyDescent="0.25">
      <c r="A114" s="92"/>
      <c r="B114" s="31">
        <v>2080</v>
      </c>
      <c r="C114" s="6">
        <f>SUMIF('R9'!$B$7:$G$7,B114,'R9'!$B$17:$G$17)</f>
        <v>17.474866370000001</v>
      </c>
      <c r="D114" s="43">
        <f>SUMIF('R9'!$B$7:$G$7,B114,'R9'!$B$21:$G$21)</f>
        <v>0.96439833420871968</v>
      </c>
      <c r="E114" s="35">
        <f>SUMIF('R9'!$B$7:$G$7,B114,'R9'!$B$22:$G$22)</f>
        <v>0.99844694181596516</v>
      </c>
      <c r="F114" s="47">
        <f t="shared" si="100"/>
        <v>1.0353055437773875</v>
      </c>
      <c r="G114" s="55"/>
      <c r="H114" s="4">
        <f>SUMIF('R9'!$B$7:$G$7,B114,'R9'!$B$19:$G$19)</f>
        <v>0.91305087301969401</v>
      </c>
      <c r="I114" s="5">
        <f>SUMIF('R9'!$B$7:$G$7,B114,'R9'!$B$20:$G$20)</f>
        <v>0.99563611390647888</v>
      </c>
      <c r="J114" s="5">
        <f t="shared" si="101"/>
        <v>1.0904497693689885</v>
      </c>
      <c r="K114" s="55"/>
      <c r="L114" s="27">
        <f>SUMIF('R9'!$B$7:$G$7,B114,'R9'!$B$11:$G$11)</f>
        <v>2.7963236207692268</v>
      </c>
      <c r="M114" s="24">
        <f>SUMIF('R9'!$B$7:$G$7,B114,'R9'!$B$12:$G$12)</f>
        <v>49.631317600230773</v>
      </c>
      <c r="N114" s="24">
        <f t="shared" si="69"/>
        <v>52.427641221000002</v>
      </c>
      <c r="O114" s="55">
        <f t="shared" si="102"/>
        <v>52.427641221000002</v>
      </c>
      <c r="P114" s="40">
        <f t="shared" si="79"/>
        <v>17.748774580882717</v>
      </c>
      <c r="Q114" s="55"/>
      <c r="R114" s="27">
        <f>SUMIF('R9'!$B$7:$G$7,B114,'R9'!$B$15:$G$15)</f>
        <v>100124513929.9736</v>
      </c>
      <c r="S114" s="55"/>
      <c r="T114" s="27">
        <f>SUMIF('R9'!$B$7:$G$7,B114,'R9'!$B$16:$G$16)</f>
        <v>130545070515.91071</v>
      </c>
      <c r="U114" s="55"/>
      <c r="V114" s="24">
        <f t="shared" si="70"/>
        <v>1.303827258599358</v>
      </c>
      <c r="W114" s="55">
        <f t="shared" si="103"/>
        <v>1.303827258599358</v>
      </c>
      <c r="X114" s="85">
        <f>SUMIF('R9'!$B$7:$G$7,B114,'R9'!$B$27:$G$27)</f>
        <v>95609715854.487335</v>
      </c>
      <c r="Y114" s="88">
        <f t="shared" si="104"/>
        <v>95.609715854487334</v>
      </c>
      <c r="Z114" s="85">
        <f>SUMIF('R9'!$B$7:$G$7,B114,'R9'!$B$10:$G$10)</f>
        <v>5012591880060.8174</v>
      </c>
      <c r="AA114" s="55"/>
      <c r="AB114" s="5"/>
      <c r="AC114" s="5"/>
      <c r="AD114" s="5"/>
    </row>
    <row r="115" spans="1:30" ht="15.75" thickBot="1" x14ac:dyDescent="0.3">
      <c r="A115" s="93"/>
      <c r="B115" s="32">
        <v>2100</v>
      </c>
      <c r="C115" s="9">
        <f>SUMIF('R9'!$B$7:$G$7,B115,'R9'!$B$17:$G$17)</f>
        <v>17.474866370000001</v>
      </c>
      <c r="D115" s="44">
        <f>SUMIF('R9'!$B$7:$G$7,B115,'R9'!$B$21:$G$21)</f>
        <v>0.96439833420871968</v>
      </c>
      <c r="E115" s="36">
        <f>SUMIF('R9'!$B$7:$G$7,B115,'R9'!$B$22:$G$22)</f>
        <v>0.99844694181596516</v>
      </c>
      <c r="F115" s="48">
        <f t="shared" si="100"/>
        <v>1.0353055437773875</v>
      </c>
      <c r="G115" s="56"/>
      <c r="H115" s="7">
        <f>SUMIF('R9'!$B$7:$G$7,B115,'R9'!$B$19:$G$19)</f>
        <v>0.91305087301969401</v>
      </c>
      <c r="I115" s="8">
        <f>SUMIF('R9'!$B$7:$G$7,B115,'R9'!$B$20:$G$20)</f>
        <v>0.99563611390647888</v>
      </c>
      <c r="J115" s="8">
        <f t="shared" si="101"/>
        <v>1.0904497693689885</v>
      </c>
      <c r="K115" s="56"/>
      <c r="L115" s="28">
        <f>SUMIF('R9'!$B$7:$G$7,B115,'R9'!$B$11:$G$11)</f>
        <v>1.46562105</v>
      </c>
      <c r="M115" s="25">
        <f>SUMIF('R9'!$B$7:$G$7,B115,'R9'!$B$12:$G$12)</f>
        <v>48.273310400000007</v>
      </c>
      <c r="N115" s="25">
        <f t="shared" si="69"/>
        <v>49.73893145000001</v>
      </c>
      <c r="O115" s="56">
        <f t="shared" si="102"/>
        <v>49.73893145000001</v>
      </c>
      <c r="P115" s="41">
        <f t="shared" si="79"/>
        <v>32.937102261188187</v>
      </c>
      <c r="Q115" s="56"/>
      <c r="R115" s="28">
        <f>SUMIF('R9'!$B$7:$G$7,B115,'R9'!$B$15:$G$15)</f>
        <v>128627500430.7878</v>
      </c>
      <c r="S115" s="56"/>
      <c r="T115" s="28">
        <f>SUMIF('R9'!$B$7:$G$7,B115,'R9'!$B$16:$G$16)</f>
        <v>167708041267.16171</v>
      </c>
      <c r="U115" s="56"/>
      <c r="V115" s="25">
        <f t="shared" si="70"/>
        <v>1.3038272585993573</v>
      </c>
      <c r="W115" s="56">
        <f t="shared" si="103"/>
        <v>1.3038272585993573</v>
      </c>
      <c r="X115" s="86">
        <f>SUMIF('R9'!$B$7:$G$7,B115,'R9'!$B$27:$G$27)</f>
        <v>126181527976.91209</v>
      </c>
      <c r="Y115" s="89">
        <f t="shared" si="104"/>
        <v>126.18152797691209</v>
      </c>
      <c r="Z115" s="86">
        <f>SUMIF('R9'!$B$7:$G$7,B115,'R9'!$B$10:$G$10)</f>
        <v>6276134370299.8877</v>
      </c>
      <c r="AA115" s="56"/>
      <c r="AB115" s="5"/>
      <c r="AC115" s="5"/>
      <c r="AD115" s="5"/>
    </row>
    <row r="116" spans="1:30" x14ac:dyDescent="0.25">
      <c r="A116" s="91" t="s">
        <v>73</v>
      </c>
      <c r="B116" s="21">
        <v>2000</v>
      </c>
      <c r="C116" s="3">
        <f>SUMIF('R9'!$B$7:$G$7,B116,'R9'!$B$42:$G$42)</f>
        <v>17.474866370000001</v>
      </c>
      <c r="D116" s="42">
        <f>SUMIF('R9'!$B$7:$G$7,B116,'R9'!$B$46:$G$46)</f>
        <v>0.96439833420871968</v>
      </c>
      <c r="E116" s="34">
        <f>SUMIF('R9'!$B$7:$G$7,B116,'R9'!$B$47:$G$47)</f>
        <v>0.99844694181596516</v>
      </c>
      <c r="F116" s="49">
        <f t="shared" si="100"/>
        <v>1.0353055437773875</v>
      </c>
      <c r="G116" s="57">
        <f t="shared" ref="G116:G121" si="105">(F116-$F110)/$F110</f>
        <v>0</v>
      </c>
      <c r="H116" s="1">
        <f>SUMIF('R9'!$B$7:$G$7,B116,'R9'!$B$44:$G$44)</f>
        <v>0.91305087301969401</v>
      </c>
      <c r="I116" s="2">
        <f>SUMIF('R9'!$B$7:$G$7,B116,'R9'!$B$45:$G$45)</f>
        <v>0.99563611390647888</v>
      </c>
      <c r="J116" s="2">
        <f t="shared" si="101"/>
        <v>1.0904497693689885</v>
      </c>
      <c r="K116" s="57">
        <f t="shared" ref="K116:K121" si="106">(J116-$J110)/$J110</f>
        <v>0</v>
      </c>
      <c r="L116" s="26">
        <f>SUMIF('R9'!$B$7:$G$7,B116,'R9'!$B$36:$G$36)</f>
        <v>11.890499999999999</v>
      </c>
      <c r="M116" s="23">
        <f>SUMIF('R9'!$B$7:$G$7,B116,'R9'!$B$37:$G$37)</f>
        <v>17.795100000000001</v>
      </c>
      <c r="N116" s="23">
        <f t="shared" si="69"/>
        <v>29.685600000000001</v>
      </c>
      <c r="O116" s="57">
        <f t="shared" ref="O116:O121" si="107">(N116-$N110)/$N110</f>
        <v>0</v>
      </c>
      <c r="P116" s="38">
        <f t="shared" si="79"/>
        <v>1.4965813044026746</v>
      </c>
      <c r="Q116" s="57">
        <f t="shared" ref="Q116:Q121" si="108">(P116-$P110)/$P110</f>
        <v>0</v>
      </c>
      <c r="R116" s="26">
        <f>SUMIF('R9'!$B$7:$G$7,B116,'R9'!$B$40:$G$40)</f>
        <v>12693901918.097731</v>
      </c>
      <c r="S116" s="57">
        <f t="shared" ref="S116:S121" si="109">(R116-$R110)/$R110</f>
        <v>0</v>
      </c>
      <c r="T116" s="26">
        <f>SUMIF('R9'!$B$7:$G$7,B116,'R9'!$B$41:$G$41)</f>
        <v>16550655338.802481</v>
      </c>
      <c r="U116" s="57">
        <f t="shared" ref="U116:U121" si="110">(T116-$T110)/$T110</f>
        <v>0</v>
      </c>
      <c r="V116" s="23">
        <f t="shared" si="70"/>
        <v>1.3038272585993567</v>
      </c>
      <c r="W116" s="57">
        <f t="shared" ref="W116:W121" si="111">(V116-$V110)/$V110</f>
        <v>0</v>
      </c>
      <c r="X116" s="84">
        <f>SUMIF('R9'!$B$7:$G$7,B116,'R9'!$B$52:$G$52)</f>
        <v>5152994447.4046478</v>
      </c>
      <c r="Y116" s="57">
        <f t="shared" ref="Y116:Y121" si="112">(X116-$X110)/$X110</f>
        <v>0</v>
      </c>
      <c r="Z116" s="84">
        <f>SUMIF('R9'!$B$7:$G$7,B116,'R9'!$B$35:$G$35)</f>
        <v>267000000000</v>
      </c>
      <c r="AA116" s="57">
        <f t="shared" ref="AA116:AA121" si="113">(Z116-$Z110)/$Z110</f>
        <v>0</v>
      </c>
      <c r="AB116" s="5"/>
      <c r="AC116" s="5"/>
      <c r="AD116" s="5"/>
    </row>
    <row r="117" spans="1:30" x14ac:dyDescent="0.25">
      <c r="A117" s="92"/>
      <c r="B117" s="31">
        <v>2020</v>
      </c>
      <c r="C117" s="14">
        <f>SUMIF('R9'!$B$7:$G$7,B117,'R9'!$B$42:$G$42)</f>
        <v>18.0549994</v>
      </c>
      <c r="D117" s="43">
        <f>SUMIF('R9'!$B$7:$G$7,B117,'R9'!$B$46:$G$46)</f>
        <v>0.96439833420871968</v>
      </c>
      <c r="E117" s="35">
        <f>SUMIF('R9'!$B$7:$G$7,B117,'R9'!$B$47:$G$47)</f>
        <v>0.99844694181596516</v>
      </c>
      <c r="F117" s="50">
        <f t="shared" si="100"/>
        <v>1.0353055437773875</v>
      </c>
      <c r="G117" s="58">
        <f t="shared" si="105"/>
        <v>0</v>
      </c>
      <c r="H117" s="4">
        <f>SUMIF('R9'!$B$7:$G$7,B117,'R9'!$B$44:$G$44)</f>
        <v>0.94126389086179651</v>
      </c>
      <c r="I117" s="5">
        <f>SUMIF('R9'!$B$7:$G$7,B117,'R9'!$B$45:$G$45)</f>
        <v>0.99463904433179928</v>
      </c>
      <c r="J117" s="13">
        <f t="shared" si="101"/>
        <v>1.056705833494934</v>
      </c>
      <c r="K117" s="58">
        <f t="shared" si="106"/>
        <v>-3.0944970435072112E-2</v>
      </c>
      <c r="L117" s="27">
        <f>SUMIF('R9'!$B$7:$G$7,B117,'R9'!$B$36:$G$36)</f>
        <v>10.47259852726487</v>
      </c>
      <c r="M117" s="24">
        <f>SUMIF('R9'!$B$7:$G$7,B117,'R9'!$B$37:$G$37)</f>
        <v>29.31464741873512</v>
      </c>
      <c r="N117" s="24">
        <f t="shared" si="69"/>
        <v>39.787245945999992</v>
      </c>
      <c r="O117" s="58">
        <f t="shared" si="107"/>
        <v>-1.7858555395476788E-16</v>
      </c>
      <c r="P117" s="39">
        <f t="shared" si="79"/>
        <v>2.7991760920096334</v>
      </c>
      <c r="Q117" s="58">
        <f t="shared" si="108"/>
        <v>7.889428477677176E-3</v>
      </c>
      <c r="R117" s="27">
        <f>SUMIF('R9'!$B$7:$G$7,B117,'R9'!$B$40:$G$40)</f>
        <v>30830903454.68837</v>
      </c>
      <c r="S117" s="58">
        <f t="shared" si="109"/>
        <v>7.626232454473013E-5</v>
      </c>
      <c r="T117" s="27">
        <f>SUMIF('R9'!$B$7:$G$7,B117,'R9'!$B$41:$G$41)</f>
        <v>40198172331.467773</v>
      </c>
      <c r="U117" s="58">
        <f t="shared" si="110"/>
        <v>7.6262324544338868E-5</v>
      </c>
      <c r="V117" s="24">
        <f t="shared" si="70"/>
        <v>1.3038272585993567</v>
      </c>
      <c r="W117" s="58">
        <f t="shared" si="111"/>
        <v>-5.1090649499895515E-16</v>
      </c>
      <c r="X117" s="85">
        <f>SUMIF('R9'!$B$7:$G$7,B117,'R9'!$B$52:$G$52)</f>
        <v>25459950918.309151</v>
      </c>
      <c r="Y117" s="58">
        <f t="shared" si="112"/>
        <v>3.0198400380844752E-4</v>
      </c>
      <c r="Z117" s="85">
        <f>SUMIF('R9'!$B$7:$G$7,B117,'R9'!$B$35:$G$35)</f>
        <v>1012981328959.855</v>
      </c>
      <c r="AA117" s="58">
        <f t="shared" si="113"/>
        <v>3.0198400380890544E-4</v>
      </c>
      <c r="AB117" s="5"/>
      <c r="AC117" s="5"/>
      <c r="AD117" s="5"/>
    </row>
    <row r="118" spans="1:30" x14ac:dyDescent="0.25">
      <c r="A118" s="92"/>
      <c r="B118" s="31">
        <v>2040</v>
      </c>
      <c r="C118" s="6">
        <f>SUMIF('R9'!$B$7:$G$7,B118,'R9'!$B$42:$G$42)</f>
        <v>18.325375709999999</v>
      </c>
      <c r="D118" s="43">
        <f>SUMIF('R9'!$B$7:$G$7,B118,'R9'!$B$46:$G$46)</f>
        <v>0.96439833420871968</v>
      </c>
      <c r="E118" s="35">
        <f>SUMIF('R9'!$B$7:$G$7,B118,'R9'!$B$47:$G$47)</f>
        <v>0.99844694181596516</v>
      </c>
      <c r="F118" s="50">
        <f t="shared" si="100"/>
        <v>1.0353055437773875</v>
      </c>
      <c r="G118" s="58">
        <f t="shared" si="105"/>
        <v>0</v>
      </c>
      <c r="H118" s="4">
        <f>SUMIF('R9'!$B$7:$G$7,B118,'R9'!$B$44:$G$44)</f>
        <v>0.95273413581759669</v>
      </c>
      <c r="I118" s="5">
        <f>SUMIF('R9'!$B$7:$G$7,B118,'R9'!$B$45:$G$45)</f>
        <v>0.99364544850088676</v>
      </c>
      <c r="J118" s="5">
        <f t="shared" si="101"/>
        <v>1.0429409539820693</v>
      </c>
      <c r="K118" s="58">
        <f t="shared" si="106"/>
        <v>-4.3568091554011854E-2</v>
      </c>
      <c r="L118" s="27">
        <f>SUMIF('R9'!$B$7:$G$7,B118,'R9'!$B$36:$G$36)</f>
        <v>7.598108334234122</v>
      </c>
      <c r="M118" s="24">
        <f>SUMIF('R9'!$B$7:$G$7,B118,'R9'!$B$37:$G$37)</f>
        <v>39.598279063765879</v>
      </c>
      <c r="N118" s="24">
        <f t="shared" si="69"/>
        <v>47.196387397999999</v>
      </c>
      <c r="O118" s="58">
        <f t="shared" si="107"/>
        <v>1.5055023804432335E-16</v>
      </c>
      <c r="P118" s="40">
        <f t="shared" si="79"/>
        <v>5.2115970609883817</v>
      </c>
      <c r="Q118" s="58">
        <f t="shared" si="108"/>
        <v>1.1198660979092195E-2</v>
      </c>
      <c r="R118" s="27">
        <f>SUMIF('R9'!$B$7:$G$7,B118,'R9'!$B$40:$G$40)</f>
        <v>49673690439.481033</v>
      </c>
      <c r="S118" s="58">
        <f t="shared" si="109"/>
        <v>2.6790691162840557E-4</v>
      </c>
      <c r="T118" s="27">
        <f>SUMIF('R9'!$B$7:$G$7,B118,'R9'!$B$41:$G$41)</f>
        <v>64765911630.221657</v>
      </c>
      <c r="U118" s="58">
        <f t="shared" si="110"/>
        <v>2.679069116285837E-4</v>
      </c>
      <c r="V118" s="24">
        <f t="shared" si="70"/>
        <v>1.3038272585993573</v>
      </c>
      <c r="W118" s="58">
        <f t="shared" si="111"/>
        <v>1.7030216499965175E-16</v>
      </c>
      <c r="X118" s="85">
        <f>SUMIF('R9'!$B$7:$G$7,B118,'R9'!$B$52:$G$52)</f>
        <v>43962612159.845871</v>
      </c>
      <c r="Y118" s="58">
        <f t="shared" si="112"/>
        <v>5.0922883160727363E-4</v>
      </c>
      <c r="Z118" s="85">
        <f>SUMIF('R9'!$B$7:$G$7,B118,'R9'!$B$35:$G$35)</f>
        <v>2074876474524.1111</v>
      </c>
      <c r="AA118" s="58">
        <f t="shared" si="113"/>
        <v>5.092288316070801E-4</v>
      </c>
      <c r="AB118" s="5"/>
      <c r="AC118" s="5"/>
      <c r="AD118" s="5"/>
    </row>
    <row r="119" spans="1:30" x14ac:dyDescent="0.25">
      <c r="A119" s="92"/>
      <c r="B119" s="31">
        <v>2060</v>
      </c>
      <c r="C119" s="6">
        <f>SUMIF('R9'!$B$7:$G$7,B119,'R9'!$B$42:$G$42)</f>
        <v>18.56457399</v>
      </c>
      <c r="D119" s="43">
        <f>SUMIF('R9'!$B$7:$G$7,B119,'R9'!$B$46:$G$46)</f>
        <v>0.96439833420871968</v>
      </c>
      <c r="E119" s="35">
        <f>SUMIF('R9'!$B$7:$G$7,B119,'R9'!$B$47:$G$47)</f>
        <v>0.99844694181596516</v>
      </c>
      <c r="F119" s="50">
        <f t="shared" si="100"/>
        <v>1.0353055437773875</v>
      </c>
      <c r="G119" s="58">
        <f t="shared" si="105"/>
        <v>0</v>
      </c>
      <c r="H119" s="4">
        <f>SUMIF('R9'!$B$7:$G$7,B119,'R9'!$B$44:$G$44)</f>
        <v>0.96199191467965273</v>
      </c>
      <c r="I119" s="5">
        <f>SUMIF('R9'!$B$7:$G$7,B119,'R9'!$B$45:$G$45)</f>
        <v>0.99248608211057576</v>
      </c>
      <c r="J119" s="5">
        <f t="shared" si="101"/>
        <v>1.0316989851635892</v>
      </c>
      <c r="K119" s="58">
        <f t="shared" si="106"/>
        <v>-5.387757038950701E-2</v>
      </c>
      <c r="L119" s="27">
        <f>SUMIF('R9'!$B$7:$G$7,B119,'R9'!$B$36:$G$36)</f>
        <v>4.8220490637328712</v>
      </c>
      <c r="M119" s="24">
        <f>SUMIF('R9'!$B$7:$G$7,B119,'R9'!$B$37:$G$37)</f>
        <v>46.76233076926713</v>
      </c>
      <c r="N119" s="24">
        <f t="shared" si="69"/>
        <v>51.584379833</v>
      </c>
      <c r="O119" s="58">
        <f t="shared" si="107"/>
        <v>1.3774377787625274E-16</v>
      </c>
      <c r="P119" s="40">
        <f t="shared" si="79"/>
        <v>9.6976057587160298</v>
      </c>
      <c r="Q119" s="58">
        <f t="shared" si="108"/>
        <v>1.3942122388668949E-2</v>
      </c>
      <c r="R119" s="27">
        <f>SUMIF('R9'!$B$7:$G$7,B119,'R9'!$B$40:$G$40)</f>
        <v>73649317317.036758</v>
      </c>
      <c r="S119" s="58">
        <f t="shared" si="109"/>
        <v>2.174831582008922E-4</v>
      </c>
      <c r="T119" s="27">
        <f>SUMIF('R9'!$B$7:$G$7,B119,'R9'!$B$41:$G$41)</f>
        <v>96025987495.186234</v>
      </c>
      <c r="U119" s="58">
        <f t="shared" si="110"/>
        <v>2.1748315820100815E-4</v>
      </c>
      <c r="V119" s="24">
        <f t="shared" si="70"/>
        <v>1.3038272585993576</v>
      </c>
      <c r="W119" s="58">
        <f t="shared" si="111"/>
        <v>0</v>
      </c>
      <c r="X119" s="85">
        <f>SUMIF('R9'!$B$7:$G$7,B119,'R9'!$B$52:$G$52)</f>
        <v>68051299008.555458</v>
      </c>
      <c r="Y119" s="58">
        <f t="shared" si="112"/>
        <v>4.1355806006147995E-4</v>
      </c>
      <c r="Z119" s="85">
        <f>SUMIF('R9'!$B$7:$G$7,B119,'R9'!$B$35:$G$35)</f>
        <v>3510384056186.3809</v>
      </c>
      <c r="AA119" s="58">
        <f t="shared" si="113"/>
        <v>4.1355806006152153E-4</v>
      </c>
      <c r="AB119" s="5"/>
      <c r="AC119" s="5"/>
      <c r="AD119" s="5"/>
    </row>
    <row r="120" spans="1:30" x14ac:dyDescent="0.25">
      <c r="A120" s="92"/>
      <c r="B120" s="31">
        <v>2080</v>
      </c>
      <c r="C120" s="6">
        <f>SUMIF('R9'!$B$7:$G$7,B120,'R9'!$B$42:$G$42)</f>
        <v>18.554772239999998</v>
      </c>
      <c r="D120" s="43">
        <f>SUMIF('R9'!$B$7:$G$7,B120,'R9'!$B$46:$G$46)</f>
        <v>0.96439833420871968</v>
      </c>
      <c r="E120" s="35">
        <f>SUMIF('R9'!$B$7:$G$7,B120,'R9'!$B$47:$G$47)</f>
        <v>0.99844694181596516</v>
      </c>
      <c r="F120" s="50">
        <f t="shared" si="100"/>
        <v>1.0353055437773875</v>
      </c>
      <c r="G120" s="58">
        <f t="shared" si="105"/>
        <v>0</v>
      </c>
      <c r="H120" s="4">
        <f>SUMIF('R9'!$B$7:$G$7,B120,'R9'!$B$44:$G$44)</f>
        <v>0.96162896790859476</v>
      </c>
      <c r="I120" s="5">
        <f>SUMIF('R9'!$B$7:$G$7,B120,'R9'!$B$45:$G$45)</f>
        <v>0.99253876157996834</v>
      </c>
      <c r="J120" s="5">
        <f t="shared" si="101"/>
        <v>1.0321431598910731</v>
      </c>
      <c r="K120" s="58">
        <f t="shared" si="106"/>
        <v>-5.3470238717786854E-2</v>
      </c>
      <c r="L120" s="27">
        <f>SUMIF('R9'!$B$7:$G$7,B120,'R9'!$B$36:$G$36)</f>
        <v>2.7601785035743238</v>
      </c>
      <c r="M120" s="24">
        <f>SUMIF('R9'!$B$7:$G$7,B120,'R9'!$B$37:$G$37)</f>
        <v>49.667462717425678</v>
      </c>
      <c r="N120" s="24">
        <f t="shared" si="69"/>
        <v>52.427641221000002</v>
      </c>
      <c r="O120" s="58">
        <f t="shared" si="107"/>
        <v>0</v>
      </c>
      <c r="P120" s="40">
        <f t="shared" si="79"/>
        <v>17.994293721622803</v>
      </c>
      <c r="Q120" s="58">
        <f t="shared" si="108"/>
        <v>1.3833019266836361E-2</v>
      </c>
      <c r="R120" s="27">
        <f>SUMIF('R9'!$B$7:$G$7,B120,'R9'!$B$40:$G$40)</f>
        <v>100139154502.7887</v>
      </c>
      <c r="S120" s="58">
        <f t="shared" si="109"/>
        <v>1.4622365932616171E-4</v>
      </c>
      <c r="T120" s="27">
        <f>SUMIF('R9'!$B$7:$G$7,B120,'R9'!$B$41:$G$41)</f>
        <v>130564159293.8284</v>
      </c>
      <c r="U120" s="58">
        <f t="shared" si="110"/>
        <v>1.4622365932513378E-4</v>
      </c>
      <c r="V120" s="24">
        <f t="shared" si="70"/>
        <v>1.3038272585993567</v>
      </c>
      <c r="W120" s="58">
        <f t="shared" si="111"/>
        <v>-1.0218129899979097E-15</v>
      </c>
      <c r="X120" s="85">
        <f>SUMIF('R9'!$B$7:$G$7,B120,'R9'!$B$52:$G$52)</f>
        <v>95635053788.072327</v>
      </c>
      <c r="Y120" s="58">
        <f t="shared" si="112"/>
        <v>2.6501421281864681E-4</v>
      </c>
      <c r="Z120" s="85">
        <f>SUMIF('R9'!$B$7:$G$7,B120,'R9'!$B$35:$G$35)</f>
        <v>5013920288152.0928</v>
      </c>
      <c r="AA120" s="58">
        <f t="shared" si="113"/>
        <v>2.6501421281863332E-4</v>
      </c>
      <c r="AB120" s="5"/>
      <c r="AC120" s="5"/>
      <c r="AD120" s="5"/>
    </row>
    <row r="121" spans="1:30" ht="15.75" thickBot="1" x14ac:dyDescent="0.3">
      <c r="A121" s="93"/>
      <c r="B121" s="32">
        <v>2100</v>
      </c>
      <c r="C121" s="9">
        <f>SUMIF('R9'!$B$7:$G$7,B121,'R9'!$B$42:$G$42)</f>
        <v>18.497632930000002</v>
      </c>
      <c r="D121" s="44">
        <f>SUMIF('R9'!$B$7:$G$7,B121,'R9'!$B$46:$G$46)</f>
        <v>0.96439833420871968</v>
      </c>
      <c r="E121" s="36">
        <f>SUMIF('R9'!$B$7:$G$7,B121,'R9'!$B$47:$G$47)</f>
        <v>0.99844694181596516</v>
      </c>
      <c r="F121" s="51">
        <f t="shared" si="100"/>
        <v>1.0353055437773875</v>
      </c>
      <c r="G121" s="59">
        <f t="shared" si="105"/>
        <v>0</v>
      </c>
      <c r="H121" s="7">
        <f>SUMIF('R9'!$B$7:$G$7,B121,'R9'!$B$44:$G$44)</f>
        <v>0.95948524714495109</v>
      </c>
      <c r="I121" s="8">
        <f>SUMIF('R9'!$B$7:$G$7,B121,'R9'!$B$45:$G$45)</f>
        <v>0.99283705917005327</v>
      </c>
      <c r="J121" s="8">
        <f t="shared" si="101"/>
        <v>1.0347601092610272</v>
      </c>
      <c r="K121" s="59">
        <f t="shared" si="106"/>
        <v>-5.1070358004832506E-2</v>
      </c>
      <c r="L121" s="28">
        <f>SUMIF('R9'!$B$7:$G$7,B121,'R9'!$B$36:$G$36)</f>
        <v>1.447094331200192</v>
      </c>
      <c r="M121" s="25">
        <f>SUMIF('R9'!$B$7:$G$7,B121,'R9'!$B$37:$G$37)</f>
        <v>48.291837118799812</v>
      </c>
      <c r="N121" s="25">
        <f t="shared" si="69"/>
        <v>49.738931450000003</v>
      </c>
      <c r="O121" s="59">
        <f t="shared" si="107"/>
        <v>-1.428544431989602E-16</v>
      </c>
      <c r="P121" s="41">
        <f t="shared" si="79"/>
        <v>33.371588898940331</v>
      </c>
      <c r="Q121" s="59">
        <f t="shared" si="108"/>
        <v>1.3191404462563377E-2</v>
      </c>
      <c r="R121" s="33">
        <f>SUMIF('R9'!$B$7:$G$7,B121,'R9'!$B$40:$G$40)</f>
        <v>128637518425.6395</v>
      </c>
      <c r="S121" s="59">
        <f t="shared" si="109"/>
        <v>7.7883771496363145E-5</v>
      </c>
      <c r="T121" s="28">
        <f>SUMIF('R9'!$B$7:$G$7,B121,'R9'!$B$41:$G$41)</f>
        <v>167721103001.92581</v>
      </c>
      <c r="U121" s="59">
        <f t="shared" si="110"/>
        <v>7.7883771496034348E-5</v>
      </c>
      <c r="V121" s="25">
        <f t="shared" si="70"/>
        <v>1.3038272585993569</v>
      </c>
      <c r="W121" s="59">
        <f t="shared" si="111"/>
        <v>-3.406043299993034E-16</v>
      </c>
      <c r="X121" s="86">
        <f>SUMIF('R9'!$B$7:$G$7,B121,'R9'!$B$52:$G$52)</f>
        <v>126199740980.22971</v>
      </c>
      <c r="Y121" s="59">
        <f t="shared" si="112"/>
        <v>1.4433969543421757E-4</v>
      </c>
      <c r="Z121" s="86">
        <f>SUMIF('R9'!$B$7:$G$7,B121,'R9'!$B$35:$G$35)</f>
        <v>6277040265623.4004</v>
      </c>
      <c r="AA121" s="59">
        <f t="shared" si="113"/>
        <v>1.4433969543411953E-4</v>
      </c>
      <c r="AB121" s="5"/>
      <c r="AC121" s="5"/>
      <c r="AD121" s="5"/>
    </row>
    <row r="122" spans="1:30" x14ac:dyDescent="0.25">
      <c r="A122" s="91" t="s">
        <v>74</v>
      </c>
      <c r="B122" s="21">
        <v>2000</v>
      </c>
      <c r="C122" s="3">
        <f>SUMIF('R9'!$B$7:$G$7,B122,'R9'!$B$67:$G$67)</f>
        <v>17.474866370000001</v>
      </c>
      <c r="D122" s="42">
        <f>SUMIF('R9'!$B$7:$G$7,B122,'R9'!$B$71:$G$71)</f>
        <v>0.96439833420871968</v>
      </c>
      <c r="E122" s="34">
        <f>SUMIF('R9'!$B$7:$G$7,B122,'R9'!$B$72:$G$72)</f>
        <v>0.99844694181596516</v>
      </c>
      <c r="F122" s="49">
        <f t="shared" ref="F122:F133" si="114">E122/D122</f>
        <v>1.0353055437773875</v>
      </c>
      <c r="G122" s="57">
        <f>(F122-$F110)/$F110</f>
        <v>0</v>
      </c>
      <c r="H122" s="1">
        <f>SUMIF('R9'!$B$7:$G$7,B122,'R9'!$B$69:$G$69)</f>
        <v>0.91305087301969401</v>
      </c>
      <c r="I122" s="2">
        <f>SUMIF('R9'!$B$7:$G$7,B122,'R9'!$B$70:$G$70)</f>
        <v>0.99563611390647888</v>
      </c>
      <c r="J122" s="2">
        <f t="shared" ref="J122:J133" si="115">I122/H122</f>
        <v>1.0904497693689885</v>
      </c>
      <c r="K122" s="57">
        <f>(J122-$J110)/$J110</f>
        <v>0</v>
      </c>
      <c r="L122" s="26">
        <f>SUMIF('R9'!$B$7:$G$7,B122,'R9'!$B$61:$G$61)</f>
        <v>11.890499999999999</v>
      </c>
      <c r="M122" s="23">
        <f>SUMIF('R9'!$B$7:$G$7,B122,'R9'!$B$62:$G$62)</f>
        <v>17.795100000000001</v>
      </c>
      <c r="N122" s="23">
        <f t="shared" ref="N122:N133" si="116">M122+L122</f>
        <v>29.685600000000001</v>
      </c>
      <c r="O122" s="57">
        <f t="shared" ref="O122:O127" si="117">(N122-$N110)/$N110</f>
        <v>0</v>
      </c>
      <c r="P122" s="38">
        <f t="shared" ref="P122:P133" si="118">M122/L122</f>
        <v>1.4965813044026746</v>
      </c>
      <c r="Q122" s="57">
        <f>(P122-$P110)/$P110</f>
        <v>0</v>
      </c>
      <c r="R122" s="26">
        <f>SUMIF('R9'!$B$7:$G$7,B122,'R9'!$B$65:$G$65)</f>
        <v>12693901918.097731</v>
      </c>
      <c r="S122" s="57">
        <f>(R122-$R110)/$R110</f>
        <v>0</v>
      </c>
      <c r="T122" s="26">
        <f>SUMIF('R9'!$B$7:$G$7,B122,'R9'!$B$66:$G$66)</f>
        <v>16550655338.802481</v>
      </c>
      <c r="U122" s="57">
        <f>(T122-$T110)/$T110</f>
        <v>0</v>
      </c>
      <c r="V122" s="23">
        <f t="shared" ref="V122:V133" si="119">T122/R122</f>
        <v>1.3038272585993567</v>
      </c>
      <c r="W122" s="57">
        <f>(V122-$V110)/$V110</f>
        <v>0</v>
      </c>
      <c r="X122" s="84">
        <f>SUMIF('R9'!$B$7:$G$7,B122,'R9'!$B$77:$G$77)</f>
        <v>5152994447.4046478</v>
      </c>
      <c r="Y122" s="57">
        <f>(X122-$X110)/$X110</f>
        <v>0</v>
      </c>
      <c r="Z122" s="84">
        <f>SUMIF('R9'!$B$7:$G$7,B122,'R9'!$B$60:$G$60)</f>
        <v>267000000000</v>
      </c>
      <c r="AA122" s="57">
        <f>(Z122-$Z110)/$Z110</f>
        <v>0</v>
      </c>
      <c r="AB122" s="5"/>
      <c r="AC122" s="5"/>
      <c r="AD122" s="5"/>
    </row>
    <row r="123" spans="1:30" x14ac:dyDescent="0.25">
      <c r="A123" s="92"/>
      <c r="B123" s="31">
        <v>2020</v>
      </c>
      <c r="C123" s="14">
        <f>SUMIF('R9'!$B$7:$G$7,B123,'R9'!$B$67:$G$67)</f>
        <v>18.0549994</v>
      </c>
      <c r="D123" s="43">
        <f>SUMIF('R9'!$B$7:$G$7,B123,'R9'!$B$71:$G$71)</f>
        <v>0.95269766517752652</v>
      </c>
      <c r="E123" s="35">
        <f>SUMIF('R9'!$B$7:$G$7,B123,'R9'!$B$72:$G$72)</f>
        <v>0.99556088418081246</v>
      </c>
      <c r="F123" s="50">
        <f t="shared" si="114"/>
        <v>1.0449914181277002</v>
      </c>
      <c r="G123" s="58">
        <f t="shared" ref="G123:G127" si="120">(F123-$F111)/$F111</f>
        <v>9.3555708346476588E-3</v>
      </c>
      <c r="H123" s="4">
        <f>SUMIF('R9'!$B$7:$G$7,B123,'R9'!$B$69:$G$69)</f>
        <v>0.91305087301969401</v>
      </c>
      <c r="I123" s="5">
        <f>SUMIF('R9'!$B$7:$G$7,B123,'R9'!$B$70:$G$70)</f>
        <v>0.99563611390647888</v>
      </c>
      <c r="J123" s="13">
        <f t="shared" si="115"/>
        <v>1.0904497693689885</v>
      </c>
      <c r="K123" s="58">
        <f t="shared" ref="K123:K127" si="121">(J123-$J111)/$J111</f>
        <v>0</v>
      </c>
      <c r="L123" s="27">
        <f>SUMIF('R9'!$B$7:$G$7,B123,'R9'!$B$61:$G$61)</f>
        <v>10.55138738558381</v>
      </c>
      <c r="M123" s="24">
        <f>SUMIF('R9'!$B$7:$G$7,B123,'R9'!$B$62:$G$62)</f>
        <v>29.23585856041619</v>
      </c>
      <c r="N123" s="24">
        <f t="shared" si="116"/>
        <v>39.787245945999999</v>
      </c>
      <c r="O123" s="58">
        <f t="shared" si="117"/>
        <v>0</v>
      </c>
      <c r="P123" s="39">
        <f t="shared" si="118"/>
        <v>2.7708070504889877</v>
      </c>
      <c r="Q123" s="58">
        <f t="shared" ref="Q123:Q127" si="122">(P123-$P111)/$P111</f>
        <v>-2.3253118976506158E-3</v>
      </c>
      <c r="R123" s="27">
        <f>SUMIF('R9'!$B$7:$G$7,B123,'R9'!$B$65:$G$65)</f>
        <v>30904117901.550819</v>
      </c>
      <c r="S123" s="58">
        <f t="shared" ref="S123:S127" si="123">(R123-$R111)/$R111</f>
        <v>2.4511531698281908E-3</v>
      </c>
      <c r="T123" s="27">
        <f>SUMIF('R9'!$B$7:$G$7,B123,'R9'!$B$66:$G$66)</f>
        <v>39920155480.680656</v>
      </c>
      <c r="U123" s="58">
        <f t="shared" ref="U123:U127" si="124">(T123-$T111)/$T111</f>
        <v>-6.8404216158538143E-3</v>
      </c>
      <c r="V123" s="24">
        <f t="shared" si="119"/>
        <v>1.2917422722710166</v>
      </c>
      <c r="W123" s="58">
        <f t="shared" ref="W123:W127" si="125">(V123-$V111)/$V111</f>
        <v>-9.2688554013843193E-3</v>
      </c>
      <c r="X123" s="85">
        <f>SUMIF('R9'!$B$7:$G$7,B123,'R9'!$B$77:$G$77)</f>
        <v>25203402643.379349</v>
      </c>
      <c r="Y123" s="58">
        <f t="shared" ref="Y123:Y127" si="126">(X123-$X111)/$X111</f>
        <v>-9.7776013507920104E-3</v>
      </c>
      <c r="Z123" s="85">
        <f>SUMIF('R9'!$B$7:$G$7,B123,'R9'!$B$60:$G$60)</f>
        <v>1002773979648.201</v>
      </c>
      <c r="AA123" s="58">
        <f t="shared" ref="AA123:AA127" si="127">(Z123-$Z111)/$Z111</f>
        <v>-9.777601350791431E-3</v>
      </c>
      <c r="AB123" s="5"/>
      <c r="AC123" s="5"/>
      <c r="AD123" s="5"/>
    </row>
    <row r="124" spans="1:30" x14ac:dyDescent="0.25">
      <c r="A124" s="92"/>
      <c r="B124" s="31">
        <v>2040</v>
      </c>
      <c r="C124" s="6">
        <f>SUMIF('R9'!$B$7:$G$7,B124,'R9'!$B$67:$G$67)</f>
        <v>18.325375709999999</v>
      </c>
      <c r="D124" s="43">
        <f>SUMIF('R9'!$B$7:$G$7,B124,'R9'!$B$71:$G$71)</f>
        <v>0.93947441413050536</v>
      </c>
      <c r="E124" s="35">
        <f>SUMIF('R9'!$B$7:$G$7,B124,'R9'!$B$72:$G$72)</f>
        <v>0.99120776832621305</v>
      </c>
      <c r="F124" s="50">
        <f t="shared" si="114"/>
        <v>1.0550662726068889</v>
      </c>
      <c r="G124" s="58">
        <f t="shared" si="120"/>
        <v>1.9086856965338912E-2</v>
      </c>
      <c r="H124" s="4">
        <f>SUMIF('R9'!$B$7:$G$7,B124,'R9'!$B$69:$G$69)</f>
        <v>0.91305087301969401</v>
      </c>
      <c r="I124" s="5">
        <f>SUMIF('R9'!$B$7:$G$7,B124,'R9'!$B$70:$G$70)</f>
        <v>0.99563611390647888</v>
      </c>
      <c r="J124" s="5">
        <f t="shared" si="115"/>
        <v>1.0904497693689885</v>
      </c>
      <c r="K124" s="58">
        <f t="shared" si="121"/>
        <v>0</v>
      </c>
      <c r="L124" s="27">
        <f>SUMIF('R9'!$B$7:$G$7,B124,'R9'!$B$61:$G$61)</f>
        <v>7.6997789906882614</v>
      </c>
      <c r="M124" s="24">
        <f>SUMIF('R9'!$B$7:$G$7,B124,'R9'!$B$62:$G$62)</f>
        <v>39.49660840731174</v>
      </c>
      <c r="N124" s="24">
        <f t="shared" si="116"/>
        <v>47.196387397999999</v>
      </c>
      <c r="O124" s="58">
        <f t="shared" si="117"/>
        <v>1.5055023804432335E-16</v>
      </c>
      <c r="P124" s="40">
        <f t="shared" si="118"/>
        <v>5.1295768950091967</v>
      </c>
      <c r="Q124" s="58">
        <f t="shared" si="122"/>
        <v>-4.715593526935455E-3</v>
      </c>
      <c r="R124" s="27">
        <f>SUMIF('R9'!$B$7:$G$7,B124,'R9'!$B$65:$G$65)</f>
        <v>49996060924.901176</v>
      </c>
      <c r="S124" s="58">
        <f t="shared" si="123"/>
        <v>6.7594087076173941E-3</v>
      </c>
      <c r="T124" s="27">
        <f>SUMIF('R9'!$B$7:$G$7,B124,'R9'!$B$66:$G$66)</f>
        <v>63965329952.928093</v>
      </c>
      <c r="U124" s="58">
        <f t="shared" si="124"/>
        <v>-1.2096562892029043E-2</v>
      </c>
      <c r="V124" s="24">
        <f t="shared" si="119"/>
        <v>1.2794073926945981</v>
      </c>
      <c r="W124" s="58">
        <f t="shared" si="125"/>
        <v>-1.8729372118659444E-2</v>
      </c>
      <c r="X124" s="85">
        <f>SUMIF('R9'!$B$7:$G$7,B124,'R9'!$B$77:$G$77)</f>
        <v>43089540417.035637</v>
      </c>
      <c r="Y124" s="58">
        <f t="shared" si="126"/>
        <v>-1.9360298778300724E-2</v>
      </c>
      <c r="Z124" s="85">
        <f>SUMIF('R9'!$B$7:$G$7,B124,'R9'!$B$60:$G$60)</f>
        <v>2033670642324.1931</v>
      </c>
      <c r="AA124" s="58">
        <f t="shared" si="127"/>
        <v>-1.9360298778300502E-2</v>
      </c>
      <c r="AB124" s="5"/>
      <c r="AC124" s="5"/>
      <c r="AD124" s="5"/>
    </row>
    <row r="125" spans="1:30" x14ac:dyDescent="0.25">
      <c r="A125" s="92"/>
      <c r="B125" s="31">
        <v>2060</v>
      </c>
      <c r="C125" s="6">
        <f>SUMIF('R9'!$B$7:$G$7,B125,'R9'!$B$67:$G$67)</f>
        <v>18.56457399</v>
      </c>
      <c r="D125" s="43">
        <f>SUMIF('R9'!$B$7:$G$7,B125,'R9'!$B$71:$G$71)</f>
        <v>0.93231395090361513</v>
      </c>
      <c r="E125" s="35">
        <f>SUMIF('R9'!$B$7:$G$7,B125,'R9'!$B$72:$G$72)</f>
        <v>0.98848865179879042</v>
      </c>
      <c r="F125" s="50">
        <f t="shared" si="114"/>
        <v>1.0602529875700453</v>
      </c>
      <c r="G125" s="58">
        <f t="shared" si="120"/>
        <v>2.4096696808591622E-2</v>
      </c>
      <c r="H125" s="4">
        <f>SUMIF('R9'!$B$7:$G$7,B125,'R9'!$B$69:$G$69)</f>
        <v>0.91305087301969401</v>
      </c>
      <c r="I125" s="5">
        <f>SUMIF('R9'!$B$7:$G$7,B125,'R9'!$B$70:$G$70)</f>
        <v>0.99563611390647888</v>
      </c>
      <c r="J125" s="5">
        <f t="shared" si="115"/>
        <v>1.0904497693689885</v>
      </c>
      <c r="K125" s="58">
        <f t="shared" si="121"/>
        <v>0</v>
      </c>
      <c r="L125" s="27">
        <f>SUMIF('R9'!$B$7:$G$7,B125,'R9'!$B$61:$G$61)</f>
        <v>4.9092936545792094</v>
      </c>
      <c r="M125" s="24">
        <f>SUMIF('R9'!$B$7:$G$7,B125,'R9'!$B$62:$G$62)</f>
        <v>46.675086178420791</v>
      </c>
      <c r="N125" s="24">
        <f t="shared" si="116"/>
        <v>51.584379833</v>
      </c>
      <c r="O125" s="58">
        <f t="shared" si="117"/>
        <v>1.3774377787625274E-16</v>
      </c>
      <c r="P125" s="40">
        <f t="shared" si="118"/>
        <v>9.5074952656140219</v>
      </c>
      <c r="Q125" s="58">
        <f t="shared" si="122"/>
        <v>-5.935055716963589E-3</v>
      </c>
      <c r="R125" s="27">
        <f>SUMIF('R9'!$B$7:$G$7,B125,'R9'!$B$65:$G$65)</f>
        <v>74389853719.903137</v>
      </c>
      <c r="S125" s="58">
        <f t="shared" si="123"/>
        <v>1.0274568329453346E-2</v>
      </c>
      <c r="T125" s="27">
        <f>SUMIF('R9'!$B$7:$G$7,B125,'R9'!$B$66:$G$66)</f>
        <v>94709336867.782776</v>
      </c>
      <c r="U125" s="58">
        <f t="shared" si="124"/>
        <v>-1.3496897824407168E-2</v>
      </c>
      <c r="V125" s="24">
        <f t="shared" si="119"/>
        <v>1.2731485831977529</v>
      </c>
      <c r="W125" s="58">
        <f t="shared" si="125"/>
        <v>-2.3529708555534677E-2</v>
      </c>
      <c r="X125" s="85">
        <f>SUMIF('R9'!$B$7:$G$7,B125,'R9'!$B$77:$G$77)</f>
        <v>66430128728.285583</v>
      </c>
      <c r="Y125" s="58">
        <f t="shared" si="126"/>
        <v>-2.3419061624422623E-2</v>
      </c>
      <c r="Z125" s="85">
        <f>SUMIF('R9'!$B$7:$G$7,B125,'R9'!$B$60:$G$60)</f>
        <v>3426756992674.9678</v>
      </c>
      <c r="AA125" s="58">
        <f t="shared" si="127"/>
        <v>-2.3419061624422814E-2</v>
      </c>
      <c r="AB125" s="5"/>
      <c r="AC125" s="5"/>
      <c r="AD125" s="5"/>
    </row>
    <row r="126" spans="1:30" x14ac:dyDescent="0.25">
      <c r="A126" s="92"/>
      <c r="B126" s="31">
        <v>2080</v>
      </c>
      <c r="C126" s="6">
        <f>SUMIF('R9'!$B$7:$G$7,B126,'R9'!$B$67:$G$67)</f>
        <v>18.554772239999998</v>
      </c>
      <c r="D126" s="43">
        <f>SUMIF('R9'!$B$7:$G$7,B126,'R9'!$B$71:$G$71)</f>
        <v>0.93231395090361513</v>
      </c>
      <c r="E126" s="35">
        <f>SUMIF('R9'!$B$7:$G$7,B126,'R9'!$B$72:$G$72)</f>
        <v>0.98848865179879042</v>
      </c>
      <c r="F126" s="50">
        <f t="shared" si="114"/>
        <v>1.0602529875700453</v>
      </c>
      <c r="G126" s="58">
        <f t="shared" si="120"/>
        <v>2.4096696808591622E-2</v>
      </c>
      <c r="H126" s="4">
        <f>SUMIF('R9'!$B$7:$G$7,B126,'R9'!$B$69:$G$69)</f>
        <v>0.91305087301969401</v>
      </c>
      <c r="I126" s="5">
        <f>SUMIF('R9'!$B$7:$G$7,B126,'R9'!$B$70:$G$70)</f>
        <v>0.99563611390647888</v>
      </c>
      <c r="J126" s="5">
        <f t="shared" si="115"/>
        <v>1.0904497693689885</v>
      </c>
      <c r="K126" s="58">
        <f t="shared" si="121"/>
        <v>0</v>
      </c>
      <c r="L126" s="27">
        <f>SUMIF('R9'!$B$7:$G$7,B126,'R9'!$B$61:$G$61)</f>
        <v>2.8121235332504422</v>
      </c>
      <c r="M126" s="24">
        <f>SUMIF('R9'!$B$7:$G$7,B126,'R9'!$B$62:$G$62)</f>
        <v>49.615517687749573</v>
      </c>
      <c r="N126" s="24">
        <f t="shared" si="116"/>
        <v>52.427641221000016</v>
      </c>
      <c r="O126" s="58">
        <f t="shared" si="117"/>
        <v>2.710565340008052E-16</v>
      </c>
      <c r="P126" s="40">
        <f t="shared" si="118"/>
        <v>17.643434614837354</v>
      </c>
      <c r="Q126" s="58">
        <f t="shared" si="122"/>
        <v>-5.9350557169634511E-3</v>
      </c>
      <c r="R126" s="27">
        <f>SUMIF('R9'!$B$7:$G$7,B126,'R9'!$B$65:$G$65)</f>
        <v>101311726363.9946</v>
      </c>
      <c r="S126" s="58">
        <f t="shared" si="123"/>
        <v>1.1857360274940503E-2</v>
      </c>
      <c r="T126" s="27">
        <f>SUMIF('R9'!$B$7:$G$7,B126,'R9'!$B$66:$G$66)</f>
        <v>128984880881.63811</v>
      </c>
      <c r="U126" s="58">
        <f t="shared" si="124"/>
        <v>-1.1951348512102139E-2</v>
      </c>
      <c r="V126" s="24">
        <f t="shared" si="119"/>
        <v>1.2731485831977525</v>
      </c>
      <c r="W126" s="58">
        <f t="shared" si="125"/>
        <v>-2.352970855553535E-2</v>
      </c>
      <c r="X126" s="85">
        <f>SUMIF('R9'!$B$7:$G$7,B126,'R9'!$B$77:$G$77)</f>
        <v>93520000899.251236</v>
      </c>
      <c r="Y126" s="58">
        <f t="shared" si="126"/>
        <v>-2.1856721741716385E-2</v>
      </c>
      <c r="Z126" s="85">
        <f>SUMIF('R9'!$B$7:$G$7,B126,'R9'!$B$60:$G$60)</f>
        <v>4903033054133.541</v>
      </c>
      <c r="AA126" s="58">
        <f t="shared" si="127"/>
        <v>-2.1856721741716403E-2</v>
      </c>
      <c r="AB126" s="5"/>
      <c r="AC126" s="5"/>
      <c r="AD126" s="5"/>
    </row>
    <row r="127" spans="1:30" ht="15.75" thickBot="1" x14ac:dyDescent="0.3">
      <c r="A127" s="93"/>
      <c r="B127" s="32">
        <v>2100</v>
      </c>
      <c r="C127" s="9">
        <f>SUMIF('R9'!$B$7:$G$7,B127,'R9'!$B$67:$G$67)</f>
        <v>18.497632930000002</v>
      </c>
      <c r="D127" s="44">
        <f>SUMIF('R9'!$B$7:$G$7,B127,'R9'!$B$71:$G$71)</f>
        <v>0.93947441413050536</v>
      </c>
      <c r="E127" s="36">
        <f>SUMIF('R9'!$B$7:$G$7,B127,'R9'!$B$72:$G$72)</f>
        <v>0.99120776832621305</v>
      </c>
      <c r="F127" s="51">
        <f t="shared" si="114"/>
        <v>1.0550662726068889</v>
      </c>
      <c r="G127" s="59">
        <f t="shared" si="120"/>
        <v>1.9086856965338912E-2</v>
      </c>
      <c r="H127" s="7">
        <f>SUMIF('R9'!$B$7:$G$7,B127,'R9'!$B$69:$G$69)</f>
        <v>0.91305087301969401</v>
      </c>
      <c r="I127" s="8">
        <f>SUMIF('R9'!$B$7:$G$7,B127,'R9'!$B$70:$G$70)</f>
        <v>0.99563611390647888</v>
      </c>
      <c r="J127" s="8">
        <f t="shared" si="115"/>
        <v>1.0904497693689885</v>
      </c>
      <c r="K127" s="59">
        <f t="shared" si="121"/>
        <v>0</v>
      </c>
      <c r="L127" s="28">
        <f>SUMIF('R9'!$B$7:$G$7,B127,'R9'!$B$61:$G$61)</f>
        <v>1.4723595131964109</v>
      </c>
      <c r="M127" s="25">
        <f>SUMIF('R9'!$B$7:$G$7,B127,'R9'!$B$62:$G$62)</f>
        <v>48.266571936803587</v>
      </c>
      <c r="N127" s="25">
        <f t="shared" si="116"/>
        <v>49.738931449999995</v>
      </c>
      <c r="O127" s="59">
        <f t="shared" si="117"/>
        <v>-2.8570888639792041E-16</v>
      </c>
      <c r="P127" s="41">
        <f t="shared" si="118"/>
        <v>32.781784274969318</v>
      </c>
      <c r="Q127" s="59">
        <f t="shared" si="122"/>
        <v>-4.7155935269354047E-3</v>
      </c>
      <c r="R127" s="33">
        <f>SUMIF('R9'!$B$7:$G$7,B127,'R9'!$B$65:$G$65)</f>
        <v>130018335770.1618</v>
      </c>
      <c r="S127" s="59">
        <f t="shared" si="123"/>
        <v>1.0812892536323461E-2</v>
      </c>
      <c r="T127" s="28">
        <f>SUMIF('R9'!$B$7:$G$7,B127,'R9'!$B$66:$G$66)</f>
        <v>166346419970.19351</v>
      </c>
      <c r="U127" s="59">
        <f t="shared" si="124"/>
        <v>-8.1189982703281059E-3</v>
      </c>
      <c r="V127" s="25">
        <f t="shared" si="119"/>
        <v>1.2794073926945981</v>
      </c>
      <c r="W127" s="59">
        <f t="shared" si="125"/>
        <v>-1.8729372118659611E-2</v>
      </c>
      <c r="X127" s="86">
        <f>SUMIF('R9'!$B$7:$G$7,B127,'R9'!$B$77:$G$77)</f>
        <v>124246614185.9248</v>
      </c>
      <c r="Y127" s="59">
        <f t="shared" si="126"/>
        <v>-1.5334366464014667E-2</v>
      </c>
      <c r="Z127" s="86">
        <f>SUMIF('R9'!$B$7:$G$7,B127,'R9'!$B$60:$G$60)</f>
        <v>6179893825888.3115</v>
      </c>
      <c r="AA127" s="59">
        <f t="shared" si="127"/>
        <v>-1.5334366464014629E-2</v>
      </c>
      <c r="AB127" s="5"/>
      <c r="AC127" s="5"/>
      <c r="AD127" s="5"/>
    </row>
    <row r="128" spans="1:30" x14ac:dyDescent="0.25">
      <c r="A128" s="91" t="s">
        <v>75</v>
      </c>
      <c r="B128" s="21">
        <v>2000</v>
      </c>
      <c r="C128" s="3">
        <f>SUMIF('R9'!$B$7:$G$7,B128,'R9'!$B$92:$G$92)</f>
        <v>17.474866370000001</v>
      </c>
      <c r="D128" s="42">
        <f>SUMIF('R9'!$B$7:$G$7,B128,'R9'!$B$96:$G$96)</f>
        <v>0.96439833420871968</v>
      </c>
      <c r="E128" s="34">
        <f>SUMIF('R9'!$B$7:$G$7,B128,'R9'!$B$97:$G$97)</f>
        <v>0.99844694181596516</v>
      </c>
      <c r="F128" s="49">
        <f t="shared" si="114"/>
        <v>1.0353055437773875</v>
      </c>
      <c r="G128" s="57">
        <f>(F128-$F110)/$F110</f>
        <v>0</v>
      </c>
      <c r="H128" s="1">
        <f>SUMIF('R9'!$B$7:$G$7,B128,'R9'!$B$94:$G$94)</f>
        <v>0.91305087301969401</v>
      </c>
      <c r="I128" s="2">
        <f>SUMIF('R9'!$B$7:$G$7,B128,'R9'!$B$95:$G$95)</f>
        <v>0.99563611390647888</v>
      </c>
      <c r="J128" s="2">
        <f t="shared" si="115"/>
        <v>1.0904497693689885</v>
      </c>
      <c r="K128" s="57">
        <f>(J128-$J110)/$J110</f>
        <v>0</v>
      </c>
      <c r="L128" s="26">
        <f>SUMIF('R9'!$B$7:$G$7,B128,'R9'!$B$86:$G$86)</f>
        <v>11.890499999999999</v>
      </c>
      <c r="M128" s="23">
        <f>SUMIF('R9'!$B$7:$G$7,B128,'R9'!$B$87:$G$87)</f>
        <v>17.795100000000001</v>
      </c>
      <c r="N128" s="23">
        <f t="shared" si="116"/>
        <v>29.685600000000001</v>
      </c>
      <c r="O128" s="57">
        <f t="shared" ref="O128:O133" si="128">(N128-$N110)/$N110</f>
        <v>0</v>
      </c>
      <c r="P128" s="38">
        <f t="shared" si="118"/>
        <v>1.4965813044026746</v>
      </c>
      <c r="Q128" s="57">
        <f>(P128-$P110)/$P110</f>
        <v>0</v>
      </c>
      <c r="R128" s="26">
        <f>SUMIF('R9'!$B$7:$G$7,B128,'R9'!$B$90:$G$90)</f>
        <v>12693901918.097731</v>
      </c>
      <c r="S128" s="57">
        <f>(R128-$R110)/$R110</f>
        <v>0</v>
      </c>
      <c r="T128" s="26">
        <f>SUMIF('R9'!$B$7:$G$7,B128,'R9'!$B$91:$G$91)</f>
        <v>16550655338.802481</v>
      </c>
      <c r="U128" s="57">
        <f>(T128-$T110)/$T110</f>
        <v>0</v>
      </c>
      <c r="V128" s="23">
        <f t="shared" si="119"/>
        <v>1.3038272585993567</v>
      </c>
      <c r="W128" s="57">
        <f>(V128-$V110)/$V110</f>
        <v>0</v>
      </c>
      <c r="X128" s="84">
        <f>SUMIF('R9'!$B$7:$G$7,B128,'R9'!$B$102:$G$102)</f>
        <v>5152994447.4046478</v>
      </c>
      <c r="Y128" s="57">
        <f>(X128-$X110)/$X110</f>
        <v>0</v>
      </c>
      <c r="Z128" s="84">
        <f>SUMIF('R9'!$B$7:$G$7,B128,'R9'!$B$85:$G$85)</f>
        <v>267000000000</v>
      </c>
      <c r="AA128" s="57">
        <f>(Z128-$Z110)/$Z110</f>
        <v>0</v>
      </c>
      <c r="AB128" s="5"/>
      <c r="AC128" s="5"/>
      <c r="AD128" s="5"/>
    </row>
    <row r="129" spans="1:30" x14ac:dyDescent="0.25">
      <c r="A129" s="92"/>
      <c r="B129" s="31">
        <v>2020</v>
      </c>
      <c r="C129" s="14">
        <f>SUMIF('R9'!$B$7:$G$7,B129,'R9'!$B$92:$G$92)</f>
        <v>18.0549994</v>
      </c>
      <c r="D129" s="43">
        <f>SUMIF('R9'!$B$7:$G$7,B129,'R9'!$B$96:$G$96)</f>
        <v>0.95269766517752652</v>
      </c>
      <c r="E129" s="35">
        <f>SUMIF('R9'!$B$7:$G$7,B129,'R9'!$B$97:$G$97)</f>
        <v>0.99556088418081246</v>
      </c>
      <c r="F129" s="50">
        <f t="shared" si="114"/>
        <v>1.0449914181277002</v>
      </c>
      <c r="G129" s="58">
        <f t="shared" ref="G129:G133" si="129">(F129-$F111)/$F111</f>
        <v>9.3555708346476588E-3</v>
      </c>
      <c r="H129" s="4">
        <f>SUMIF('R9'!$B$7:$G$7,B129,'R9'!$B$94:$G$94)</f>
        <v>0.94126389086179651</v>
      </c>
      <c r="I129" s="5">
        <f>SUMIF('R9'!$B$7:$G$7,B129,'R9'!$B$95:$G$95)</f>
        <v>0.99463904433179928</v>
      </c>
      <c r="J129" s="13">
        <f t="shared" si="115"/>
        <v>1.056705833494934</v>
      </c>
      <c r="K129" s="58">
        <f t="shared" ref="K129:K133" si="130">(J129-$J111)/$J111</f>
        <v>-3.0944970435072112E-2</v>
      </c>
      <c r="L129" s="27">
        <f>SUMIF('R9'!$B$7:$G$7,B129,'R9'!$B$86:$G$86)</f>
        <v>10.490571551524621</v>
      </c>
      <c r="M129" s="24">
        <f>SUMIF('R9'!$B$7:$G$7,B129,'R9'!$B$87:$G$87)</f>
        <v>29.296674394475382</v>
      </c>
      <c r="N129" s="24">
        <f t="shared" si="116"/>
        <v>39.787245945999999</v>
      </c>
      <c r="O129" s="58">
        <f t="shared" si="128"/>
        <v>0</v>
      </c>
      <c r="P129" s="39">
        <f t="shared" si="118"/>
        <v>2.792667134539264</v>
      </c>
      <c r="Q129" s="58">
        <f t="shared" ref="Q129:Q133" si="131">(P129-$P111)/$P111</f>
        <v>5.5457711981216689E-3</v>
      </c>
      <c r="R129" s="27">
        <f>SUMIF('R9'!$B$7:$G$7,B129,'R9'!$B$90:$G$90)</f>
        <v>30906862078.86179</v>
      </c>
      <c r="S129" s="58">
        <f t="shared" ref="S129:S133" si="132">(R129-$R111)/$R111</f>
        <v>2.5401673173488558E-3</v>
      </c>
      <c r="T129" s="27">
        <f>SUMIF('R9'!$B$7:$G$7,B129,'R9'!$B$91:$G$91)</f>
        <v>39923700250.515846</v>
      </c>
      <c r="U129" s="58">
        <f t="shared" ref="U129:U133" si="133">(T129-$T111)/$T111</f>
        <v>-6.7522325275951346E-3</v>
      </c>
      <c r="V129" s="24">
        <f t="shared" si="119"/>
        <v>1.2917422722710166</v>
      </c>
      <c r="W129" s="58">
        <f t="shared" ref="W129:W133" si="134">(V129-$V111)/$V111</f>
        <v>-9.2688554013843193E-3</v>
      </c>
      <c r="X129" s="85">
        <f>SUMIF('R9'!$B$7:$G$7,B129,'R9'!$B$102:$G$102)</f>
        <v>25211337539.50658</v>
      </c>
      <c r="Y129" s="58">
        <f t="shared" ref="Y129:Y133" si="135">(X129-$X111)/$X111</f>
        <v>-9.465845355487796E-3</v>
      </c>
      <c r="Z129" s="85">
        <f>SUMIF('R9'!$B$7:$G$7,B129,'R9'!$B$85:$G$85)</f>
        <v>1003089687311.9709</v>
      </c>
      <c r="AA129" s="58">
        <f t="shared" ref="AA129:AA133" si="136">(Z129-$Z111)/$Z111</f>
        <v>-9.4658453554874438E-3</v>
      </c>
      <c r="AB129" s="5"/>
      <c r="AC129" s="5"/>
      <c r="AD129" s="5"/>
    </row>
    <row r="130" spans="1:30" x14ac:dyDescent="0.25">
      <c r="A130" s="92"/>
      <c r="B130" s="31">
        <v>2040</v>
      </c>
      <c r="C130" s="6">
        <f>SUMIF('R9'!$B$7:$G$7,B130,'R9'!$B$92:$G$92)</f>
        <v>18.325375709999999</v>
      </c>
      <c r="D130" s="43">
        <f>SUMIF('R9'!$B$7:$G$7,B130,'R9'!$B$96:$G$96)</f>
        <v>0.93947441413050536</v>
      </c>
      <c r="E130" s="35">
        <f>SUMIF('R9'!$B$7:$G$7,B130,'R9'!$B$97:$G$97)</f>
        <v>0.99120776832621305</v>
      </c>
      <c r="F130" s="50">
        <f t="shared" si="114"/>
        <v>1.0550662726068889</v>
      </c>
      <c r="G130" s="58">
        <f t="shared" si="129"/>
        <v>1.9086856965338912E-2</v>
      </c>
      <c r="H130" s="4">
        <f>SUMIF('R9'!$B$7:$G$7,B130,'R9'!$B$94:$G$94)</f>
        <v>0.95273413581759669</v>
      </c>
      <c r="I130" s="5">
        <f>SUMIF('R9'!$B$7:$G$7,B130,'R9'!$B$95:$G$95)</f>
        <v>0.99364544850088676</v>
      </c>
      <c r="J130" s="5">
        <f t="shared" si="115"/>
        <v>1.0429409539820693</v>
      </c>
      <c r="K130" s="58">
        <f t="shared" si="130"/>
        <v>-4.3568091554011854E-2</v>
      </c>
      <c r="L130" s="27">
        <f>SUMIF('R9'!$B$7:$G$7,B130,'R9'!$B$86:$G$86)</f>
        <v>7.6282891562727393</v>
      </c>
      <c r="M130" s="24">
        <f>SUMIF('R9'!$B$7:$G$7,B130,'R9'!$B$87:$G$87)</f>
        <v>39.568098241727263</v>
      </c>
      <c r="N130" s="24">
        <f t="shared" si="116"/>
        <v>47.196387397999999</v>
      </c>
      <c r="O130" s="58">
        <f t="shared" si="128"/>
        <v>1.5055023804432335E-16</v>
      </c>
      <c r="P130" s="40">
        <f t="shared" si="118"/>
        <v>5.1870212876225894</v>
      </c>
      <c r="Q130" s="58">
        <f t="shared" si="131"/>
        <v>6.4302591189334549E-3</v>
      </c>
      <c r="R130" s="27">
        <f>SUMIF('R9'!$B$7:$G$7,B130,'R9'!$B$90:$G$90)</f>
        <v>50010672667.588112</v>
      </c>
      <c r="S130" s="58">
        <f t="shared" si="132"/>
        <v>7.0536420763178511E-3</v>
      </c>
      <c r="T130" s="27">
        <f>SUMIF('R9'!$B$7:$G$7,B130,'R9'!$B$91:$G$91)</f>
        <v>63984024324.541901</v>
      </c>
      <c r="U130" s="58">
        <f t="shared" si="133"/>
        <v>-1.1807840329580838E-2</v>
      </c>
      <c r="V130" s="24">
        <f t="shared" si="119"/>
        <v>1.2794073926945979</v>
      </c>
      <c r="W130" s="58">
        <f t="shared" si="134"/>
        <v>-1.8729372118659614E-2</v>
      </c>
      <c r="X130" s="85">
        <f>SUMIF('R9'!$B$7:$G$7,B130,'R9'!$B$102:$G$102)</f>
        <v>43112569238.389717</v>
      </c>
      <c r="Y130" s="58">
        <f t="shared" si="135"/>
        <v>-1.8836204618242688E-2</v>
      </c>
      <c r="Z130" s="85">
        <f>SUMIF('R9'!$B$7:$G$7,B130,'R9'!$B$85:$G$85)</f>
        <v>2034757519498.1389</v>
      </c>
      <c r="AA130" s="58">
        <f t="shared" si="136"/>
        <v>-1.8836204618242803E-2</v>
      </c>
      <c r="AB130" s="5"/>
      <c r="AC130" s="5"/>
      <c r="AD130" s="5"/>
    </row>
    <row r="131" spans="1:30" x14ac:dyDescent="0.25">
      <c r="A131" s="92"/>
      <c r="B131" s="31">
        <v>2060</v>
      </c>
      <c r="C131" s="6">
        <f>SUMIF('R9'!$B$7:$G$7,B131,'R9'!$B$92:$G$92)</f>
        <v>18.56457399</v>
      </c>
      <c r="D131" s="43">
        <f>SUMIF('R9'!$B$7:$G$7,B131,'R9'!$B$96:$G$96)</f>
        <v>0.93231395090361513</v>
      </c>
      <c r="E131" s="35">
        <f>SUMIF('R9'!$B$7:$G$7,B131,'R9'!$B$97:$G$97)</f>
        <v>0.98848865179879042</v>
      </c>
      <c r="F131" s="50">
        <f t="shared" si="114"/>
        <v>1.0602529875700453</v>
      </c>
      <c r="G131" s="58">
        <f t="shared" si="129"/>
        <v>2.4096696808591622E-2</v>
      </c>
      <c r="H131" s="4">
        <f>SUMIF('R9'!$B$7:$G$7,B131,'R9'!$B$94:$G$94)</f>
        <v>0.96199191467965273</v>
      </c>
      <c r="I131" s="5">
        <f>SUMIF('R9'!$B$7:$G$7,B131,'R9'!$B$95:$G$95)</f>
        <v>0.99248608211057576</v>
      </c>
      <c r="J131" s="5">
        <f t="shared" si="115"/>
        <v>1.0316989851635892</v>
      </c>
      <c r="K131" s="58">
        <f t="shared" si="130"/>
        <v>-5.387757038950701E-2</v>
      </c>
      <c r="L131" s="27">
        <f>SUMIF('R9'!$B$7:$G$7,B131,'R9'!$B$86:$G$86)</f>
        <v>4.8481332494691323</v>
      </c>
      <c r="M131" s="24">
        <f>SUMIF('R9'!$B$7:$G$7,B131,'R9'!$B$87:$G$87)</f>
        <v>46.736246583530857</v>
      </c>
      <c r="N131" s="24">
        <f t="shared" si="116"/>
        <v>51.584379832999986</v>
      </c>
      <c r="O131" s="58">
        <f t="shared" si="128"/>
        <v>-1.3774377787625274E-16</v>
      </c>
      <c r="P131" s="40">
        <f t="shared" si="118"/>
        <v>9.6400499282168965</v>
      </c>
      <c r="Q131" s="58">
        <f t="shared" si="131"/>
        <v>7.924319398515187E-3</v>
      </c>
      <c r="R131" s="27">
        <f>SUMIF('R9'!$B$7:$G$7,B131,'R9'!$B$90:$G$90)</f>
        <v>74407791978.295044</v>
      </c>
      <c r="S131" s="58">
        <f t="shared" si="132"/>
        <v>1.0518184432285083E-2</v>
      </c>
      <c r="T131" s="27">
        <f>SUMIF('R9'!$B$7:$G$7,B131,'R9'!$B$91:$G$91)</f>
        <v>94732174936.03949</v>
      </c>
      <c r="U131" s="58">
        <f t="shared" si="133"/>
        <v>-1.3259013937474263E-2</v>
      </c>
      <c r="V131" s="24">
        <f t="shared" si="119"/>
        <v>1.2731485831977534</v>
      </c>
      <c r="W131" s="58">
        <f t="shared" si="134"/>
        <v>-2.3529708555534337E-2</v>
      </c>
      <c r="X131" s="85">
        <f>SUMIF('R9'!$B$7:$G$7,B131,'R9'!$B$102:$G$102)</f>
        <v>66459239473.822548</v>
      </c>
      <c r="Y131" s="58">
        <f t="shared" si="135"/>
        <v>-2.2991108228312518E-2</v>
      </c>
      <c r="Z131" s="85">
        <f>SUMIF('R9'!$B$7:$G$7,B131,'R9'!$B$85:$G$85)</f>
        <v>3428258652429.9692</v>
      </c>
      <c r="AA131" s="58">
        <f t="shared" si="136"/>
        <v>-2.2991108228312455E-2</v>
      </c>
      <c r="AB131" s="5"/>
      <c r="AC131" s="5"/>
      <c r="AD131" s="5"/>
    </row>
    <row r="132" spans="1:30" x14ac:dyDescent="0.25">
      <c r="A132" s="92"/>
      <c r="B132" s="31">
        <v>2080</v>
      </c>
      <c r="C132" s="6">
        <f>SUMIF('R9'!$B$7:$G$7,B132,'R9'!$B$92:$G$92)</f>
        <v>18.554772239999998</v>
      </c>
      <c r="D132" s="43">
        <f>SUMIF('R9'!$B$7:$G$7,B132,'R9'!$B$96:$G$96)</f>
        <v>0.93231395090361513</v>
      </c>
      <c r="E132" s="35">
        <f>SUMIF('R9'!$B$7:$G$7,B132,'R9'!$B$97:$G$97)</f>
        <v>0.98848865179879042</v>
      </c>
      <c r="F132" s="50">
        <f t="shared" si="114"/>
        <v>1.0602529875700453</v>
      </c>
      <c r="G132" s="58">
        <f t="shared" si="129"/>
        <v>2.4096696808591622E-2</v>
      </c>
      <c r="H132" s="4">
        <f>SUMIF('R9'!$B$7:$G$7,B132,'R9'!$B$94:$G$94)</f>
        <v>0.96162896790859476</v>
      </c>
      <c r="I132" s="5">
        <f>SUMIF('R9'!$B$7:$G$7,B132,'R9'!$B$95:$G$95)</f>
        <v>0.99253876157996834</v>
      </c>
      <c r="J132" s="5">
        <f t="shared" si="115"/>
        <v>1.0321431598910731</v>
      </c>
      <c r="K132" s="58">
        <f t="shared" si="130"/>
        <v>-5.3470238717786854E-2</v>
      </c>
      <c r="L132" s="27">
        <f>SUMIF('R9'!$B$7:$G$7,B132,'R9'!$B$86:$G$86)</f>
        <v>2.7757856094291999</v>
      </c>
      <c r="M132" s="24">
        <f>SUMIF('R9'!$B$7:$G$7,B132,'R9'!$B$87:$G$87)</f>
        <v>49.651855611570802</v>
      </c>
      <c r="N132" s="24">
        <f t="shared" si="116"/>
        <v>52.427641221000002</v>
      </c>
      <c r="O132" s="58">
        <f t="shared" si="128"/>
        <v>0</v>
      </c>
      <c r="P132" s="40">
        <f t="shared" si="118"/>
        <v>17.887496585797557</v>
      </c>
      <c r="Q132" s="58">
        <f t="shared" si="131"/>
        <v>7.8158638097898733E-3</v>
      </c>
      <c r="R132" s="27">
        <f>SUMIF('R9'!$B$7:$G$7,B132,'R9'!$B$90:$G$90)</f>
        <v>101327943033.7661</v>
      </c>
      <c r="S132" s="58">
        <f t="shared" si="132"/>
        <v>1.2019325303633092E-2</v>
      </c>
      <c r="T132" s="27">
        <f>SUMIF('R9'!$B$7:$G$7,B132,'R9'!$B$91:$G$91)</f>
        <v>129005527111.782</v>
      </c>
      <c r="U132" s="58">
        <f t="shared" si="133"/>
        <v>-1.1793194473329958E-2</v>
      </c>
      <c r="V132" s="24">
        <f t="shared" si="119"/>
        <v>1.2731485831977536</v>
      </c>
      <c r="W132" s="58">
        <f t="shared" si="134"/>
        <v>-2.35297085555345E-2</v>
      </c>
      <c r="X132" s="85">
        <f>SUMIF('R9'!$B$7:$G$7,B132,'R9'!$B$102:$G$102)</f>
        <v>93546140581.282776</v>
      </c>
      <c r="Y132" s="58">
        <f t="shared" si="135"/>
        <v>-2.1583321891105775E-2</v>
      </c>
      <c r="Z132" s="85">
        <f>SUMIF('R9'!$B$7:$G$7,B132,'R9'!$B$85:$G$85)</f>
        <v>4904403496004.7217</v>
      </c>
      <c r="AA132" s="58">
        <f t="shared" si="136"/>
        <v>-2.1583321891105779E-2</v>
      </c>
      <c r="AB132" s="5"/>
      <c r="AC132" s="5"/>
      <c r="AD132" s="5"/>
    </row>
    <row r="133" spans="1:30" ht="15.75" thickBot="1" x14ac:dyDescent="0.3">
      <c r="A133" s="93"/>
      <c r="B133" s="32">
        <v>2100</v>
      </c>
      <c r="C133" s="9">
        <f>SUMIF('R9'!$B$7:$G$7,B133,'R9'!$B$92:$G$92)</f>
        <v>18.497632930000002</v>
      </c>
      <c r="D133" s="44">
        <f>SUMIF('R9'!$B$7:$G$7,B133,'R9'!$B$96:$G$96)</f>
        <v>0.93947441413050536</v>
      </c>
      <c r="E133" s="36">
        <f>SUMIF('R9'!$B$7:$G$7,B133,'R9'!$B$97:$G$97)</f>
        <v>0.99120776832621305</v>
      </c>
      <c r="F133" s="51">
        <f t="shared" si="114"/>
        <v>1.0550662726068889</v>
      </c>
      <c r="G133" s="59">
        <f t="shared" si="129"/>
        <v>1.9086856965338912E-2</v>
      </c>
      <c r="H133" s="7">
        <f>SUMIF('R9'!$B$7:$G$7,B133,'R9'!$B$94:$G$94)</f>
        <v>0.95948524714495109</v>
      </c>
      <c r="I133" s="8">
        <f>SUMIF('R9'!$B$7:$G$7,B133,'R9'!$B$95:$G$95)</f>
        <v>0.99283705917005327</v>
      </c>
      <c r="J133" s="8">
        <f t="shared" si="115"/>
        <v>1.0347601092610272</v>
      </c>
      <c r="K133" s="59">
        <f t="shared" si="130"/>
        <v>-5.1070358004832506E-2</v>
      </c>
      <c r="L133" s="28">
        <f>SUMIF('R9'!$B$7:$G$7,B133,'R9'!$B$86:$G$86)</f>
        <v>1.4537501795835379</v>
      </c>
      <c r="M133" s="25">
        <f>SUMIF('R9'!$B$7:$G$7,B133,'R9'!$B$87:$G$87)</f>
        <v>48.285181270416473</v>
      </c>
      <c r="N133" s="25">
        <f t="shared" si="116"/>
        <v>49.73893145000001</v>
      </c>
      <c r="O133" s="59">
        <f t="shared" si="128"/>
        <v>0</v>
      </c>
      <c r="P133" s="41">
        <f t="shared" si="118"/>
        <v>33.214222050344951</v>
      </c>
      <c r="Q133" s="59">
        <f t="shared" si="131"/>
        <v>8.4136056341334899E-3</v>
      </c>
      <c r="R133" s="33">
        <f>SUMIF('R9'!$B$7:$G$7,B133,'R9'!$B$90:$G$90)</f>
        <v>130029235993.8179</v>
      </c>
      <c r="S133" s="59">
        <f t="shared" si="132"/>
        <v>1.0897635096192784E-2</v>
      </c>
      <c r="T133" s="28">
        <f>SUMIF('R9'!$B$7:$G$7,B133,'R9'!$B$91:$G$91)</f>
        <v>166360365796.9212</v>
      </c>
      <c r="U133" s="59">
        <f t="shared" si="133"/>
        <v>-8.03584288539653E-3</v>
      </c>
      <c r="V133" s="25">
        <f t="shared" si="119"/>
        <v>1.2794073926945986</v>
      </c>
      <c r="W133" s="59">
        <f t="shared" si="134"/>
        <v>-1.8729372118659271E-2</v>
      </c>
      <c r="X133" s="86">
        <f>SUMIF('R9'!$B$7:$G$7,B133,'R9'!$B$102:$G$102)</f>
        <v>124265324794.73759</v>
      </c>
      <c r="Y133" s="59">
        <f t="shared" si="135"/>
        <v>-1.518608320011083E-2</v>
      </c>
      <c r="Z133" s="86">
        <f>SUMIF('R9'!$B$7:$G$7,B133,'R9'!$B$85:$G$85)</f>
        <v>6180824471577.4385</v>
      </c>
      <c r="AA133" s="59">
        <f t="shared" si="136"/>
        <v>-1.518608320011082E-2</v>
      </c>
      <c r="AB133" s="5"/>
      <c r="AC133" s="5"/>
      <c r="AD133" s="5"/>
    </row>
  </sheetData>
  <mergeCells count="22">
    <mergeCell ref="A116:A121"/>
    <mergeCell ref="A74:A79"/>
    <mergeCell ref="A80:A85"/>
    <mergeCell ref="A86:A91"/>
    <mergeCell ref="A92:A97"/>
    <mergeCell ref="A98:A103"/>
    <mergeCell ref="A122:A127"/>
    <mergeCell ref="A128:A133"/>
    <mergeCell ref="A8:A13"/>
    <mergeCell ref="A2:A7"/>
    <mergeCell ref="A26:A31"/>
    <mergeCell ref="A20:A25"/>
    <mergeCell ref="A14:A19"/>
    <mergeCell ref="A32:A37"/>
    <mergeCell ref="A38:A43"/>
    <mergeCell ref="A44:A49"/>
    <mergeCell ref="A50:A55"/>
    <mergeCell ref="A56:A61"/>
    <mergeCell ref="A62:A67"/>
    <mergeCell ref="A68:A73"/>
    <mergeCell ref="A104:A109"/>
    <mergeCell ref="A110:A11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D133"/>
  <sheetViews>
    <sheetView topLeftCell="A103" zoomScale="85" zoomScaleNormal="85" workbookViewId="0">
      <selection activeCell="O110" sqref="O110:O133"/>
    </sheetView>
  </sheetViews>
  <sheetFormatPr defaultColWidth="9.140625" defaultRowHeight="15" x14ac:dyDescent="0.25"/>
  <cols>
    <col min="1" max="1" width="9.140625" style="20"/>
    <col min="2" max="2" width="13.85546875" style="20" bestFit="1" customWidth="1"/>
    <col min="3" max="11" width="9.140625" style="20"/>
    <col min="12" max="13" width="10.7109375" style="20" bestFit="1" customWidth="1"/>
    <col min="14" max="14" width="10.7109375" style="20" customWidth="1"/>
    <col min="15" max="15" width="11.42578125" style="20" customWidth="1"/>
    <col min="16" max="16" width="11.42578125" style="20" bestFit="1" customWidth="1"/>
    <col min="17" max="17" width="11.42578125" style="20" customWidth="1"/>
    <col min="18" max="18" width="12.7109375" style="20" bestFit="1" customWidth="1"/>
    <col min="19" max="19" width="11.42578125" style="20" customWidth="1"/>
    <col min="20" max="20" width="11.7109375" style="20" bestFit="1" customWidth="1"/>
    <col min="21" max="21" width="11.7109375" style="20" customWidth="1"/>
    <col min="22" max="22" width="10.7109375" style="20" customWidth="1"/>
    <col min="23" max="23" width="11.42578125" style="20" bestFit="1" customWidth="1"/>
    <col min="24" max="24" width="11.7109375" style="20" bestFit="1" customWidth="1"/>
    <col min="25" max="25" width="9.140625" style="20"/>
    <col min="26" max="26" width="11.7109375" style="20" bestFit="1" customWidth="1"/>
    <col min="27" max="16384" width="9.140625" style="20"/>
  </cols>
  <sheetData>
    <row r="1" spans="1:30" ht="15.75" thickBot="1" x14ac:dyDescent="0.3">
      <c r="A1" s="1"/>
      <c r="B1" s="2"/>
      <c r="C1" s="12" t="s">
        <v>7</v>
      </c>
      <c r="D1" s="11" t="s">
        <v>20</v>
      </c>
      <c r="E1" s="12" t="s">
        <v>21</v>
      </c>
      <c r="F1" s="12" t="s">
        <v>31</v>
      </c>
      <c r="G1" s="52" t="s">
        <v>25</v>
      </c>
      <c r="H1" s="11" t="s">
        <v>4</v>
      </c>
      <c r="I1" s="12" t="s">
        <v>5</v>
      </c>
      <c r="J1" s="12" t="s">
        <v>9</v>
      </c>
      <c r="K1" s="52" t="s">
        <v>24</v>
      </c>
      <c r="L1" s="11" t="s">
        <v>0</v>
      </c>
      <c r="M1" s="12" t="s">
        <v>1</v>
      </c>
      <c r="N1" s="12" t="s">
        <v>2</v>
      </c>
      <c r="O1" s="30" t="s">
        <v>83</v>
      </c>
      <c r="P1" s="37" t="s">
        <v>3</v>
      </c>
      <c r="Q1" s="30" t="s">
        <v>26</v>
      </c>
      <c r="R1" s="29" t="s">
        <v>18</v>
      </c>
      <c r="S1" s="30" t="s">
        <v>28</v>
      </c>
      <c r="T1" s="11" t="s">
        <v>19</v>
      </c>
      <c r="U1" s="30" t="s">
        <v>29</v>
      </c>
      <c r="V1" s="12" t="s">
        <v>27</v>
      </c>
      <c r="W1" s="30" t="s">
        <v>32</v>
      </c>
      <c r="X1" s="29" t="s">
        <v>22</v>
      </c>
      <c r="Y1" s="30" t="s">
        <v>30</v>
      </c>
      <c r="Z1" s="29" t="s">
        <v>51</v>
      </c>
      <c r="AA1" s="30" t="s">
        <v>62</v>
      </c>
      <c r="AB1" s="15"/>
      <c r="AC1" s="15"/>
      <c r="AD1" s="15"/>
    </row>
    <row r="2" spans="1:30" x14ac:dyDescent="0.25">
      <c r="A2" s="94" t="s">
        <v>6</v>
      </c>
      <c r="B2" s="21">
        <v>2000</v>
      </c>
      <c r="C2" s="3">
        <f>SUMIF(R0!$L$7:$Q$7,B2,R0!$L$17:$Q$17)</f>
        <v>17.178609999999999</v>
      </c>
      <c r="D2" s="42">
        <f>SUMIF(R0!$L$7:$Q$7,B2,R0!$L$21:$Q$21)</f>
        <v>1</v>
      </c>
      <c r="E2" s="34">
        <f>SUMIF(R0!$L$7:$Q$7,B2,R0!$L$22:$Q$22)</f>
        <v>1</v>
      </c>
      <c r="F2" s="45">
        <f>E2/D2</f>
        <v>1</v>
      </c>
      <c r="G2" s="53"/>
      <c r="H2" s="1">
        <f>SUMIF(R0!$L$7:$Q$7,B2,R0!$L$19:$Q$19)</f>
        <v>0.91393118527122841</v>
      </c>
      <c r="I2" s="2">
        <f>SUMIF(R0!$L$7:$Q$7,B2,R0!$L$20:$Q$20)</f>
        <v>1</v>
      </c>
      <c r="J2" s="2">
        <f>I2/H2</f>
        <v>1.0941742837052102</v>
      </c>
      <c r="K2" s="53"/>
      <c r="L2" s="26">
        <f>SUMIF(R0!$L$7:$Q$7,B2,R0!$L$11:$Q$11)</f>
        <v>1.1477007267974999</v>
      </c>
      <c r="M2" s="24">
        <f>SUMIF(R0!$L$7:$Q$7,B2,R0!$L$12:$Q$12)</f>
        <v>1.7176274507745</v>
      </c>
      <c r="N2" s="23">
        <f t="shared" ref="N2:N65" si="0">M2+L2</f>
        <v>2.8653281775719996</v>
      </c>
      <c r="O2" s="53"/>
      <c r="P2" s="38">
        <f t="shared" ref="P2:P65" si="1">M2/L2</f>
        <v>1.4965813044026746</v>
      </c>
      <c r="Q2" s="53"/>
      <c r="R2" s="26">
        <f>SUMIF(R0!$L$7:$Q$7,B2,R0!$L$15:$Q$15)</f>
        <v>45230.686034216073</v>
      </c>
      <c r="S2" s="53"/>
      <c r="T2" s="26">
        <f>SUMIF(R0!$L$7:$Q$7,B2,R0!$L$16:$Q$16)</f>
        <v>59242.103980910957</v>
      </c>
      <c r="U2" s="53"/>
      <c r="V2" s="23">
        <f t="shared" ref="V2:V65" si="2">T2/R2</f>
        <v>1.3097768169179556</v>
      </c>
      <c r="W2" s="53"/>
      <c r="X2" s="26">
        <f>SUMIF(R0!$L$7:$Q$7,B2,R0!$L$27:$Q$27)</f>
        <v>18427.262540756401</v>
      </c>
      <c r="Y2" s="53"/>
      <c r="Z2" s="26">
        <f>SUMIF(R0!$L$7:$Q$7,B2,R0!$L$10:$Q$10)</f>
        <v>92159.678226000004</v>
      </c>
      <c r="AA2" s="53"/>
      <c r="AB2" s="5"/>
      <c r="AC2" s="5"/>
      <c r="AD2" s="5"/>
    </row>
    <row r="3" spans="1:30" s="10" customFormat="1" x14ac:dyDescent="0.25">
      <c r="A3" s="95"/>
      <c r="B3" s="31">
        <v>2020</v>
      </c>
      <c r="C3" s="14">
        <f>SUMIF(R0!$L$7:$Q$7,B3,R0!$L$17:$Q$17)</f>
        <v>17.178609999999999</v>
      </c>
      <c r="D3" s="43">
        <f>SUMIF(R0!$L$7:$Q$7,B3,R0!$L$21:$Q$21)</f>
        <v>0.96966048781639314</v>
      </c>
      <c r="E3" s="35">
        <f>SUMIF(R0!$L$7:$Q$7,B3,R0!$L$22:$Q$22)</f>
        <v>0.99933476497980267</v>
      </c>
      <c r="F3" s="46">
        <f t="shared" ref="F3:F13" si="3">E3/D3</f>
        <v>1.0306027496595576</v>
      </c>
      <c r="G3" s="54"/>
      <c r="H3" s="4">
        <f>SUMIF(R0!$L$7:$Q$7,B3,R0!$L$19:$Q$19)</f>
        <v>0.91393118527122841</v>
      </c>
      <c r="I3" s="5">
        <f>SUMIF(R0!$L$7:$Q$7,B3,R0!$L$20:$Q$20)</f>
        <v>1</v>
      </c>
      <c r="J3" s="5">
        <f t="shared" ref="J3:J13" si="4">I3/H3</f>
        <v>1.0941742837052102</v>
      </c>
      <c r="K3" s="55"/>
      <c r="L3" s="27">
        <f>SUMIF(R0!$L$7:$Q$7,B3,R0!$L$11:$Q$11)</f>
        <v>1.2745678574973771</v>
      </c>
      <c r="M3" s="24">
        <f>SUMIF(R0!$L$7:$Q$7,B3,R0!$L$12:$Q$12)</f>
        <v>3.5398127746407022</v>
      </c>
      <c r="N3" s="24">
        <f t="shared" si="0"/>
        <v>4.8143806321380795</v>
      </c>
      <c r="O3" s="55"/>
      <c r="P3" s="39">
        <f t="shared" si="1"/>
        <v>2.7772650579712166</v>
      </c>
      <c r="Q3" s="55"/>
      <c r="R3" s="27">
        <f>SUMIF(R0!$L$7:$Q$7,B3,R0!$L$15:$Q$15)</f>
        <v>109448.40458383469</v>
      </c>
      <c r="S3" s="55"/>
      <c r="T3" s="27">
        <f>SUMIF(R0!$L$7:$Q$7,B3,R0!$L$16:$Q$16)</f>
        <v>143352.98297256359</v>
      </c>
      <c r="U3" s="55"/>
      <c r="V3" s="24">
        <f t="shared" si="2"/>
        <v>1.3097768169179558</v>
      </c>
      <c r="W3" s="55"/>
      <c r="X3" s="27">
        <f>SUMIF(R0!$L$7:$Q$7,B3,R0!$L$27:$Q$27)</f>
        <v>80056.681228892689</v>
      </c>
      <c r="Y3" s="55"/>
      <c r="Z3" s="27">
        <f>SUMIF(R0!$L$7:$Q$7,B3,R0!$L$10:$Q$10)</f>
        <v>385423.33558163297</v>
      </c>
      <c r="AA3" s="55"/>
      <c r="AB3" s="13"/>
      <c r="AC3" s="13"/>
      <c r="AD3" s="13"/>
    </row>
    <row r="4" spans="1:30" x14ac:dyDescent="0.25">
      <c r="A4" s="95"/>
      <c r="B4" s="31">
        <v>2040</v>
      </c>
      <c r="C4" s="6">
        <f>SUMIF(R0!$L$7:$Q$7,B4,R0!$L$17:$Q$17)</f>
        <v>17.178609999999999</v>
      </c>
      <c r="D4" s="43">
        <f>SUMIF(R0!$L$7:$Q$7,B4,R0!$L$21:$Q$21)</f>
        <v>0.96966048781639314</v>
      </c>
      <c r="E4" s="35">
        <f>SUMIF(R0!$L$7:$Q$7,B4,R0!$L$22:$Q$22)</f>
        <v>0.99933476497980267</v>
      </c>
      <c r="F4" s="47">
        <f t="shared" si="3"/>
        <v>1.0306027496595576</v>
      </c>
      <c r="G4" s="55"/>
      <c r="H4" s="4">
        <f>SUMIF(R0!$L$7:$Q$7,B4,R0!$L$19:$Q$19)</f>
        <v>0.91393118527122841</v>
      </c>
      <c r="I4" s="5">
        <f>SUMIF(R0!$L$7:$Q$7,B4,R0!$L$20:$Q$20)</f>
        <v>1</v>
      </c>
      <c r="J4" s="5">
        <f t="shared" si="4"/>
        <v>1.0941742837052102</v>
      </c>
      <c r="K4" s="55"/>
      <c r="L4" s="27">
        <f>SUMIF(R0!$L$7:$Q$7,B4,R0!$L$11:$Q$11)</f>
        <v>1.2781254891663381</v>
      </c>
      <c r="M4" s="24">
        <f>SUMIF(R0!$L$7:$Q$7,B4,R0!$L$12:$Q$12)</f>
        <v>6.5873060358525857</v>
      </c>
      <c r="N4" s="24">
        <f t="shared" si="0"/>
        <v>7.8654315250189235</v>
      </c>
      <c r="O4" s="55"/>
      <c r="P4" s="40">
        <f t="shared" si="1"/>
        <v>5.1538805005361246</v>
      </c>
      <c r="Q4" s="55"/>
      <c r="R4" s="27">
        <f>SUMIF(R0!$L$7:$Q$7,B4,R0!$L$15:$Q$15)</f>
        <v>199949.3642326369</v>
      </c>
      <c r="S4" s="55"/>
      <c r="T4" s="27">
        <f>SUMIF(R0!$L$7:$Q$7,B4,R0!$L$16:$Q$16)</f>
        <v>261889.04182939211</v>
      </c>
      <c r="U4" s="55"/>
      <c r="V4" s="24">
        <f t="shared" si="2"/>
        <v>1.3097768169179558</v>
      </c>
      <c r="W4" s="55"/>
      <c r="X4" s="27">
        <f>SUMIF(R0!$L$7:$Q$7,B4,R0!$L$27:$Q$27)</f>
        <v>150415.32831727981</v>
      </c>
      <c r="Y4" s="55"/>
      <c r="Z4" s="27">
        <f>SUMIF(R0!$L$7:$Q$7,B4,R0!$L$10:$Q$10)</f>
        <v>1183081.4651928041</v>
      </c>
      <c r="AA4" s="55"/>
      <c r="AB4" s="5"/>
      <c r="AC4" s="5"/>
      <c r="AD4" s="5"/>
    </row>
    <row r="5" spans="1:30" x14ac:dyDescent="0.25">
      <c r="A5" s="95"/>
      <c r="B5" s="31">
        <v>2060</v>
      </c>
      <c r="C5" s="6">
        <f>SUMIF(R0!$L$7:$Q$7,B5,R0!$L$17:$Q$17)</f>
        <v>17.178609999999999</v>
      </c>
      <c r="D5" s="43">
        <f>SUMIF(R0!$L$7:$Q$7,B5,R0!$L$21:$Q$21)</f>
        <v>0.96966048781639314</v>
      </c>
      <c r="E5" s="35">
        <f>SUMIF(R0!$L$7:$Q$7,B5,R0!$L$22:$Q$22)</f>
        <v>0.99933476497980267</v>
      </c>
      <c r="F5" s="47">
        <f t="shared" si="3"/>
        <v>1.0306027496595576</v>
      </c>
      <c r="G5" s="55"/>
      <c r="H5" s="4">
        <f>SUMIF(R0!$L$7:$Q$7,B5,R0!$L$19:$Q$19)</f>
        <v>0.91393118527122841</v>
      </c>
      <c r="I5" s="5">
        <f>SUMIF(R0!$L$7:$Q$7,B5,R0!$L$20:$Q$20)</f>
        <v>1</v>
      </c>
      <c r="J5" s="5">
        <f t="shared" si="4"/>
        <v>1.0941742837052102</v>
      </c>
      <c r="K5" s="55"/>
      <c r="L5" s="27">
        <f>SUMIF(R0!$L$7:$Q$7,B5,R0!$L$11:$Q$11)</f>
        <v>1.1944444247396919</v>
      </c>
      <c r="M5" s="24">
        <f>SUMIF(R0!$L$7:$Q$7,B5,R0!$L$12:$Q$12)</f>
        <v>11.42397665118577</v>
      </c>
      <c r="N5" s="24">
        <f t="shared" si="0"/>
        <v>12.618421075925461</v>
      </c>
      <c r="O5" s="55"/>
      <c r="P5" s="40">
        <f t="shared" si="1"/>
        <v>9.5642596797045822</v>
      </c>
      <c r="Q5" s="55"/>
      <c r="R5" s="27">
        <f>SUMIF(R0!$L$7:$Q$7,B5,R0!$L$15:$Q$15)</f>
        <v>308810.7223873203</v>
      </c>
      <c r="S5" s="55"/>
      <c r="T5" s="27">
        <f>SUMIF(R0!$L$7:$Q$7,B5,R0!$L$16:$Q$16)</f>
        <v>404473.12499859883</v>
      </c>
      <c r="U5" s="55"/>
      <c r="V5" s="24">
        <f t="shared" si="2"/>
        <v>1.3097768169179556</v>
      </c>
      <c r="W5" s="55"/>
      <c r="X5" s="27">
        <f>SUMIF(R0!$L$7:$Q$7,B5,R0!$L$27:$Q$27)</f>
        <v>236572.41854630769</v>
      </c>
      <c r="Y5" s="55"/>
      <c r="Z5" s="27">
        <f>SUMIF(R0!$L$7:$Q$7,B5,R0!$L$10:$Q$10)</f>
        <v>2985170.392167388</v>
      </c>
      <c r="AA5" s="55"/>
      <c r="AB5" s="5"/>
      <c r="AC5" s="5"/>
      <c r="AD5" s="5"/>
    </row>
    <row r="6" spans="1:30" x14ac:dyDescent="0.25">
      <c r="A6" s="95"/>
      <c r="B6" s="31">
        <v>2080</v>
      </c>
      <c r="C6" s="6">
        <f>SUMIF(R0!$L$7:$Q$7,B6,R0!$L$17:$Q$17)</f>
        <v>17.178609999999999</v>
      </c>
      <c r="D6" s="43">
        <f>SUMIF(R0!$L$7:$Q$7,B6,R0!$L$21:$Q$21)</f>
        <v>0.96966048781639314</v>
      </c>
      <c r="E6" s="35">
        <f>SUMIF(R0!$L$7:$Q$7,B6,R0!$L$22:$Q$22)</f>
        <v>0.99933476497980267</v>
      </c>
      <c r="F6" s="47">
        <f t="shared" si="3"/>
        <v>1.0306027496595576</v>
      </c>
      <c r="G6" s="55"/>
      <c r="H6" s="4">
        <f>SUMIF(R0!$L$7:$Q$7,B6,R0!$L$19:$Q$19)</f>
        <v>0.91393118527122841</v>
      </c>
      <c r="I6" s="5">
        <f>SUMIF(R0!$L$7:$Q$7,B6,R0!$L$20:$Q$20)</f>
        <v>1</v>
      </c>
      <c r="J6" s="5">
        <f t="shared" si="4"/>
        <v>1.0941742837052102</v>
      </c>
      <c r="K6" s="55"/>
      <c r="L6" s="27">
        <f>SUMIF(R0!$L$7:$Q$7,B6,R0!$L$11:$Q$11)</f>
        <v>1.0680026571689529</v>
      </c>
      <c r="M6" s="24">
        <f>SUMIF(R0!$L$7:$Q$7,B6,R0!$L$12:$Q$12)</f>
        <v>18.95573841387553</v>
      </c>
      <c r="N6" s="24">
        <f t="shared" si="0"/>
        <v>20.023741071044483</v>
      </c>
      <c r="O6" s="55"/>
      <c r="P6" s="40">
        <f t="shared" si="1"/>
        <v>17.748774580882735</v>
      </c>
      <c r="Q6" s="55"/>
      <c r="R6" s="27">
        <f>SUMIF(R0!$L$7:$Q$7,B6,R0!$L$15:$Q$15)</f>
        <v>430406.12872292643</v>
      </c>
      <c r="S6" s="55"/>
      <c r="T6" s="27">
        <f>SUMIF(R0!$L$7:$Q$7,B6,R0!$L$16:$Q$16)</f>
        <v>563735.96926069411</v>
      </c>
      <c r="U6" s="55"/>
      <c r="V6" s="24">
        <f t="shared" si="2"/>
        <v>1.3097768169179549</v>
      </c>
      <c r="W6" s="55"/>
      <c r="X6" s="27">
        <f>SUMIF(R0!$L$7:$Q$7,B6,R0!$L$27:$Q$27)</f>
        <v>333343.84568219649</v>
      </c>
      <c r="Y6" s="55"/>
      <c r="Z6" s="27">
        <f>SUMIF(R0!$L$7:$Q$7,B6,R0!$L$10:$Q$10)</f>
        <v>6674790.8535665106</v>
      </c>
      <c r="AA6" s="55"/>
      <c r="AB6" s="5"/>
      <c r="AC6" s="5"/>
      <c r="AD6" s="5"/>
    </row>
    <row r="7" spans="1:30" ht="15.75" thickBot="1" x14ac:dyDescent="0.3">
      <c r="A7" s="96"/>
      <c r="B7" s="32">
        <v>2100</v>
      </c>
      <c r="C7" s="9">
        <f>SUMIF(R0!$L$7:$Q$7,B7,R0!$L$17:$Q$17)</f>
        <v>17.178609999999999</v>
      </c>
      <c r="D7" s="44">
        <f>SUMIF(R0!$L$7:$Q$7,B7,R0!$L$21:$Q$21)</f>
        <v>0.96966048781639314</v>
      </c>
      <c r="E7" s="36">
        <f>SUMIF(R0!$L$7:$Q$7,B7,R0!$L$22:$Q$22)</f>
        <v>0.99933476497980267</v>
      </c>
      <c r="F7" s="48">
        <f t="shared" si="3"/>
        <v>1.0306027496595576</v>
      </c>
      <c r="G7" s="56"/>
      <c r="H7" s="7">
        <f>SUMIF(R0!$L$7:$Q$7,B7,R0!$L$19:$Q$19)</f>
        <v>0.91393118527122841</v>
      </c>
      <c r="I7" s="8">
        <f>SUMIF(R0!$L$7:$Q$7,B7,R0!$L$20:$Q$20)</f>
        <v>1</v>
      </c>
      <c r="J7" s="8">
        <f t="shared" si="4"/>
        <v>1.0941742837052102</v>
      </c>
      <c r="K7" s="56"/>
      <c r="L7" s="28">
        <f>SUMIF(R0!$L$7:$Q$7,B7,R0!$L$11:$Q$11)</f>
        <v>0.93045337018780971</v>
      </c>
      <c r="M7" s="25">
        <f>SUMIF(R0!$L$7:$Q$7,B7,R0!$L$12:$Q$12)</f>
        <v>30.64643780314308</v>
      </c>
      <c r="N7" s="25">
        <f t="shared" si="0"/>
        <v>31.576891173330889</v>
      </c>
      <c r="O7" s="56"/>
      <c r="P7" s="41">
        <f t="shared" si="1"/>
        <v>32.937102261188187</v>
      </c>
      <c r="Q7" s="56"/>
      <c r="R7" s="28">
        <f>SUMIF(R0!$L$7:$Q$7,B7,R0!$L$15:$Q$15)</f>
        <v>565256.78132613655</v>
      </c>
      <c r="S7" s="56"/>
      <c r="T7" s="28">
        <f>SUMIF(R0!$L$7:$Q$7,B7,R0!$L$16:$Q$16)</f>
        <v>740360.22778663575</v>
      </c>
      <c r="U7" s="56"/>
      <c r="V7" s="25">
        <f t="shared" si="2"/>
        <v>1.3097768169179551</v>
      </c>
      <c r="W7" s="56"/>
      <c r="X7" s="28">
        <f>SUMIF(R0!$L$7:$Q$7,B7,R0!$L$27:$Q$27)</f>
        <v>440530.34707703523</v>
      </c>
      <c r="Y7" s="56"/>
      <c r="Z7" s="28">
        <f>SUMIF(R0!$L$7:$Q$7,B7,R0!$L$10:$Q$10)</f>
        <v>13910578.828201231</v>
      </c>
      <c r="AA7" s="56"/>
      <c r="AB7" s="5"/>
      <c r="AC7" s="5"/>
      <c r="AD7" s="5"/>
    </row>
    <row r="8" spans="1:30" x14ac:dyDescent="0.25">
      <c r="A8" s="94" t="str">
        <f>R0!B1</f>
        <v>Western Cape</v>
      </c>
      <c r="B8" s="21">
        <v>2000</v>
      </c>
      <c r="C8" s="3">
        <f>SUMIF(R0!$L$7:$Q$7,B8,R0!$L$42:$Q$42)</f>
        <v>17.178609999999999</v>
      </c>
      <c r="D8" s="42">
        <f>SUMIF(R0!$L$7:$Q$7,B8,R0!$L$46:$Q$46)</f>
        <v>1</v>
      </c>
      <c r="E8" s="34">
        <f>SUMIF(R0!$L$7:$Q$7,B8,R0!$L$47:$Q$47)</f>
        <v>1</v>
      </c>
      <c r="F8" s="49">
        <f t="shared" si="3"/>
        <v>1</v>
      </c>
      <c r="G8" s="57">
        <f t="shared" ref="G8:G13" si="5">(F8-$F2)/$F2</f>
        <v>0</v>
      </c>
      <c r="H8" s="1">
        <f>SUMIF(R0!$L$7:$Q$7,B8,R0!$L$44:$Q$44)</f>
        <v>0.91393118527122841</v>
      </c>
      <c r="I8" s="2">
        <f>SUMIF(R0!$L$7:$Q$7,B8,R0!$L$45:$Q$45)</f>
        <v>1</v>
      </c>
      <c r="J8" s="2">
        <f t="shared" si="4"/>
        <v>1.0941742837052102</v>
      </c>
      <c r="K8" s="57">
        <f t="shared" ref="K8:K13" si="6">(J8-$J2)/$J2</f>
        <v>0</v>
      </c>
      <c r="L8" s="26">
        <f>SUMIF(R0!$L$7:$Q$7,B8,R0!$L$36:$Q$36)</f>
        <v>1.1477007267974999</v>
      </c>
      <c r="M8" s="23">
        <f>SUMIF(R0!$L$7:$Q$7,B8,R0!$L$37:$Q$37)</f>
        <v>1.7176274507745</v>
      </c>
      <c r="N8" s="23">
        <f t="shared" si="0"/>
        <v>2.8653281775719996</v>
      </c>
      <c r="O8" s="57"/>
      <c r="P8" s="38">
        <f t="shared" si="1"/>
        <v>1.4965813044026746</v>
      </c>
      <c r="Q8" s="57">
        <f t="shared" ref="Q8:Q13" si="7">(P8-$P2)/$P2</f>
        <v>0</v>
      </c>
      <c r="R8" s="26">
        <f>SUMIF(R0!$L$7:$Q$7,B8,R0!$L$40:$Q$40)</f>
        <v>45230.686034216073</v>
      </c>
      <c r="S8" s="57">
        <f t="shared" ref="S8:S13" si="8">(R8-$R2)/$R2</f>
        <v>0</v>
      </c>
      <c r="T8" s="26">
        <f>SUMIF(R0!$L$7:$Q$7,B8,R0!$L$41:$Q$41)</f>
        <v>59242.103980910957</v>
      </c>
      <c r="U8" s="57">
        <f t="shared" ref="U8:U13" si="9">(T8-$T2)/$T2</f>
        <v>0</v>
      </c>
      <c r="V8" s="23">
        <f t="shared" si="2"/>
        <v>1.3097768169179556</v>
      </c>
      <c r="W8" s="57">
        <f t="shared" ref="W8:W13" si="10">(V8-$V2)/$V2</f>
        <v>0</v>
      </c>
      <c r="X8" s="26">
        <f>SUMIF(R0!$L$7:$Q$7,B8,R0!$L$52:$Q$52)</f>
        <v>18427.262540756401</v>
      </c>
      <c r="Y8" s="57">
        <f t="shared" ref="Y8:Y13" si="11">(X8-$X2)/$X2</f>
        <v>0</v>
      </c>
      <c r="Z8" s="26">
        <f>SUMIF(R0!$L$7:$Q$7,B8,R0!$L$35:$Q$35)</f>
        <v>92159.678226000004</v>
      </c>
      <c r="AA8" s="57">
        <f t="shared" ref="AA8:AA13" si="12">(Z8-$Z2)/$Z2</f>
        <v>0</v>
      </c>
      <c r="AB8" s="5"/>
      <c r="AC8" s="5"/>
      <c r="AD8" s="5"/>
    </row>
    <row r="9" spans="1:30" x14ac:dyDescent="0.25">
      <c r="A9" s="95"/>
      <c r="B9" s="31">
        <v>2020</v>
      </c>
      <c r="C9" s="14">
        <f>SUMIF(R0!$L$7:$Q$7,B9,R0!$L$42:$Q$42)</f>
        <v>17.54879</v>
      </c>
      <c r="D9" s="43">
        <f>SUMIF(R0!$L$7:$Q$7,B9,R0!$L$46:$Q$46)</f>
        <v>0.96439833420871968</v>
      </c>
      <c r="E9" s="35">
        <f>SUMIF(R0!$L$7:$Q$7,B9,R0!$L$47:$Q$47)</f>
        <v>0.99844694181596516</v>
      </c>
      <c r="F9" s="50">
        <f t="shared" si="3"/>
        <v>1.0353055437773875</v>
      </c>
      <c r="G9" s="58">
        <f t="shared" si="5"/>
        <v>4.5631492050486108E-3</v>
      </c>
      <c r="H9" s="4">
        <f>SUMIF(R0!$L$7:$Q$7,B9,R0!$L$44:$Q$44)</f>
        <v>0.93239381990594794</v>
      </c>
      <c r="I9" s="5">
        <f>SUMIF(R0!$L$7:$Q$7,B9,R0!$L$45:$Q$45)</f>
        <v>1</v>
      </c>
      <c r="J9" s="13">
        <f t="shared" si="4"/>
        <v>1.0725081812542168</v>
      </c>
      <c r="K9" s="58">
        <f t="shared" si="6"/>
        <v>-1.9801326693244289E-2</v>
      </c>
      <c r="L9" s="27">
        <f>SUMIF(R0!$L$7:$Q$7,B9,R0!$L$36:$Q$36)</f>
        <v>1.2706865399072811</v>
      </c>
      <c r="M9" s="24">
        <f>SUMIF(R0!$L$7:$Q$7,B9,R0!$L$37:$Q$37)</f>
        <v>3.542688123767272</v>
      </c>
      <c r="N9" s="24">
        <f t="shared" si="0"/>
        <v>4.8133746636745531</v>
      </c>
      <c r="O9" s="58"/>
      <c r="P9" s="39">
        <f t="shared" si="1"/>
        <v>2.7880110574129269</v>
      </c>
      <c r="Q9" s="58">
        <f t="shared" si="7"/>
        <v>3.8692739862432159E-3</v>
      </c>
      <c r="R9" s="27">
        <f>SUMIF(R0!$L$7:$Q$7,B9,R0!$L$40:$Q$40)</f>
        <v>109643.69288109129</v>
      </c>
      <c r="S9" s="58">
        <f t="shared" si="8"/>
        <v>1.7842955134810985E-3</v>
      </c>
      <c r="T9" s="27">
        <f>SUMIF(R0!$L$7:$Q$7,B9,R0!$L$41:$Q$41)</f>
        <v>142956.43551186309</v>
      </c>
      <c r="U9" s="58">
        <f t="shared" si="9"/>
        <v>-2.7662309669300505E-3</v>
      </c>
      <c r="V9" s="24">
        <f t="shared" si="2"/>
        <v>1.3038272585993569</v>
      </c>
      <c r="W9" s="58">
        <f t="shared" si="10"/>
        <v>-4.5424214581831083E-3</v>
      </c>
      <c r="X9" s="27">
        <f>SUMIF(R0!$L$7:$Q$7,B9,R0!$L$52:$Q$52)</f>
        <v>79780.969506056368</v>
      </c>
      <c r="Y9" s="58">
        <f t="shared" si="11"/>
        <v>-3.4439564394135196E-3</v>
      </c>
      <c r="Z9" s="27">
        <f>SUMIF(R0!$L$7:$Q$7,B9,R0!$L$35:$Q$35)</f>
        <v>384015.69726384379</v>
      </c>
      <c r="AA9" s="58">
        <f t="shared" si="12"/>
        <v>-3.6521875762009874E-3</v>
      </c>
      <c r="AB9" s="5"/>
      <c r="AC9" s="5"/>
      <c r="AD9" s="5"/>
    </row>
    <row r="10" spans="1:30" x14ac:dyDescent="0.25">
      <c r="A10" s="95"/>
      <c r="B10" s="31">
        <v>2040</v>
      </c>
      <c r="C10" s="6">
        <f>SUMIF(R0!$L$7:$Q$7,B10,R0!$L$42:$Q$42)</f>
        <v>17.980550000000001</v>
      </c>
      <c r="D10" s="43">
        <f>SUMIF(R0!$L$7:$Q$7,B10,R0!$L$46:$Q$46)</f>
        <v>0.95269766517752652</v>
      </c>
      <c r="E10" s="35">
        <f>SUMIF(R0!$L$7:$Q$7,B10,R0!$L$47:$Q$47)</f>
        <v>0.99556088418081246</v>
      </c>
      <c r="F10" s="50">
        <f t="shared" si="3"/>
        <v>1.0449914181277002</v>
      </c>
      <c r="G10" s="58">
        <f t="shared" si="5"/>
        <v>1.3961410905313169E-2</v>
      </c>
      <c r="H10" s="4">
        <f>SUMIF(R0!$L$7:$Q$7,B10,R0!$L$44:$Q$44)</f>
        <v>0.94176453358424828</v>
      </c>
      <c r="I10" s="5">
        <f>SUMIF(R0!$L$7:$Q$7,B10,R0!$L$45:$Q$45)</f>
        <v>1</v>
      </c>
      <c r="J10" s="5">
        <f t="shared" si="4"/>
        <v>1.0618365465453601</v>
      </c>
      <c r="K10" s="58">
        <f t="shared" si="6"/>
        <v>-2.9554466451491256E-2</v>
      </c>
      <c r="L10" s="27">
        <f>SUMIF(R0!$L$7:$Q$7,B10,R0!$L$36:$Q$36)</f>
        <v>1.2733584218027101</v>
      </c>
      <c r="M10" s="24">
        <f>SUMIF(R0!$L$7:$Q$7,B10,R0!$L$37:$Q$37)</f>
        <v>6.5892632948924046</v>
      </c>
      <c r="N10" s="24">
        <f t="shared" si="0"/>
        <v>7.8626217166951147</v>
      </c>
      <c r="O10" s="58"/>
      <c r="P10" s="40">
        <f t="shared" si="1"/>
        <v>5.174712148653243</v>
      </c>
      <c r="Q10" s="58">
        <f t="shared" si="7"/>
        <v>4.0419346383664661E-3</v>
      </c>
      <c r="R10" s="27">
        <f>SUMIF(R0!$L$7:$Q$7,B10,R0!$L$40:$Q$40)</f>
        <v>201275.52626769969</v>
      </c>
      <c r="S10" s="58">
        <f t="shared" si="8"/>
        <v>6.6324893812607019E-3</v>
      </c>
      <c r="T10" s="27">
        <f>SUMIF(R0!$L$7:$Q$7,B10,R0!$L$41:$Q$41)</f>
        <v>259996.10565358319</v>
      </c>
      <c r="U10" s="58">
        <f t="shared" si="9"/>
        <v>-7.2280083297340744E-3</v>
      </c>
      <c r="V10" s="24">
        <f t="shared" si="2"/>
        <v>1.291742272271017</v>
      </c>
      <c r="W10" s="58">
        <f t="shared" si="10"/>
        <v>-1.3769173811898709E-2</v>
      </c>
      <c r="X10" s="27">
        <f>SUMIF(R0!$L$7:$Q$7,B10,R0!$L$52:$Q$52)</f>
        <v>148786.27067469209</v>
      </c>
      <c r="Y10" s="58">
        <f t="shared" si="11"/>
        <v>-1.083039648161028E-2</v>
      </c>
      <c r="Z10" s="27">
        <f>SUMIF(R0!$L$7:$Q$7,B10,R0!$L$35:$Q$35)</f>
        <v>1169850.162952912</v>
      </c>
      <c r="AA10" s="58">
        <f t="shared" si="12"/>
        <v>-1.118376259722385E-2</v>
      </c>
      <c r="AB10" s="5"/>
      <c r="AC10" s="5"/>
      <c r="AD10" s="5"/>
    </row>
    <row r="11" spans="1:30" x14ac:dyDescent="0.25">
      <c r="A11" s="95"/>
      <c r="B11" s="31">
        <v>2060</v>
      </c>
      <c r="C11" s="6">
        <f>SUMIF(R0!$L$7:$Q$7,B11,R0!$L$42:$Q$42)</f>
        <v>18.356870000000001</v>
      </c>
      <c r="D11" s="43">
        <f>SUMIF(R0!$L$7:$Q$7,B11,R0!$L$46:$Q$46)</f>
        <v>0.93947441413050536</v>
      </c>
      <c r="E11" s="35">
        <f>SUMIF(R0!$L$7:$Q$7,B11,R0!$L$47:$Q$47)</f>
        <v>0.99120776832621305</v>
      </c>
      <c r="F11" s="50">
        <f t="shared" si="3"/>
        <v>1.0550662726068889</v>
      </c>
      <c r="G11" s="58">
        <f t="shared" si="5"/>
        <v>2.3737102346575785E-2</v>
      </c>
      <c r="H11" s="4">
        <f>SUMIF(R0!$L$7:$Q$7,B11,R0!$L$44:$Q$44)</f>
        <v>0.96078943915232329</v>
      </c>
      <c r="I11" s="5">
        <f>SUMIF(R0!$L$7:$Q$7,B11,R0!$L$45:$Q$45)</f>
        <v>1</v>
      </c>
      <c r="J11" s="5">
        <f t="shared" si="4"/>
        <v>1.0408107741923882</v>
      </c>
      <c r="K11" s="58">
        <f t="shared" si="6"/>
        <v>-4.8770575499285859E-2</v>
      </c>
      <c r="L11" s="27">
        <f>SUMIF(R0!$L$7:$Q$7,B11,R0!$L$36:$Q$36)</f>
        <v>1.1866857300153471</v>
      </c>
      <c r="M11" s="24">
        <f>SUMIF(R0!$L$7:$Q$7,B11,R0!$L$37:$Q$37)</f>
        <v>11.425327279591061</v>
      </c>
      <c r="N11" s="24">
        <f t="shared" si="0"/>
        <v>12.612013009606407</v>
      </c>
      <c r="O11" s="58"/>
      <c r="P11" s="40">
        <f t="shared" si="1"/>
        <v>9.6279301171366587</v>
      </c>
      <c r="Q11" s="58">
        <f t="shared" si="7"/>
        <v>6.6571213626900484E-3</v>
      </c>
      <c r="R11" s="27">
        <f>SUMIF(R0!$L$7:$Q$7,B11,R0!$L$40:$Q$40)</f>
        <v>312515.87760428939</v>
      </c>
      <c r="S11" s="58">
        <f t="shared" si="8"/>
        <v>1.1998143031840583E-2</v>
      </c>
      <c r="T11" s="27">
        <f>SUMIF(R0!$L$7:$Q$7,B11,R0!$L$41:$Q$41)</f>
        <v>399835.12414136803</v>
      </c>
      <c r="U11" s="58">
        <f t="shared" si="9"/>
        <v>-1.1466771388697004E-2</v>
      </c>
      <c r="V11" s="24">
        <f t="shared" si="2"/>
        <v>1.2794073926945981</v>
      </c>
      <c r="W11" s="58">
        <f t="shared" si="10"/>
        <v>-2.3186716875032126E-2</v>
      </c>
      <c r="X11" s="27">
        <f>SUMIF(R0!$L$7:$Q$7,B11,R0!$L$52:$Q$52)</f>
        <v>231992.80496148579</v>
      </c>
      <c r="Y11" s="58">
        <f t="shared" si="11"/>
        <v>-1.9358188976393565E-2</v>
      </c>
      <c r="Z11" s="27">
        <f>SUMIF(R0!$L$7:$Q$7,B11,R0!$L$35:$Q$35)</f>
        <v>2925896.274309339</v>
      </c>
      <c r="AA11" s="58">
        <f t="shared" si="12"/>
        <v>-1.9856192468468415E-2</v>
      </c>
      <c r="AB11" s="5"/>
      <c r="AC11" s="5"/>
      <c r="AD11" s="5"/>
    </row>
    <row r="12" spans="1:30" x14ac:dyDescent="0.25">
      <c r="A12" s="95"/>
      <c r="B12" s="31">
        <v>2080</v>
      </c>
      <c r="C12" s="6">
        <f>SUMIF(R0!$L$7:$Q$7,B12,R0!$L$42:$Q$42)</f>
        <v>18.469449999999998</v>
      </c>
      <c r="D12" s="43">
        <f>SUMIF(R0!$L$7:$Q$7,B12,R0!$L$46:$Q$46)</f>
        <v>0.93947441413050536</v>
      </c>
      <c r="E12" s="35">
        <f>SUMIF(R0!$L$7:$Q$7,B12,R0!$L$47:$Q$47)</f>
        <v>0.99120776832621305</v>
      </c>
      <c r="F12" s="50">
        <f t="shared" si="3"/>
        <v>1.0550662726068889</v>
      </c>
      <c r="G12" s="58">
        <f t="shared" si="5"/>
        <v>2.3737102346575785E-2</v>
      </c>
      <c r="H12" s="4">
        <f>SUMIF(R0!$L$7:$Q$7,B12,R0!$L$44:$Q$44)</f>
        <v>0.96078943915232329</v>
      </c>
      <c r="I12" s="5">
        <f>SUMIF(R0!$L$7:$Q$7,B12,R0!$L$45:$Q$45)</f>
        <v>1</v>
      </c>
      <c r="J12" s="5">
        <f t="shared" si="4"/>
        <v>1.0408107741923882</v>
      </c>
      <c r="K12" s="58">
        <f t="shared" si="6"/>
        <v>-4.8770575499285859E-2</v>
      </c>
      <c r="L12" s="27">
        <f>SUMIF(R0!$L$7:$Q$7,B12,R0!$L$36:$Q$36)</f>
        <v>1.0606821141647971</v>
      </c>
      <c r="M12" s="24">
        <f>SUMIF(R0!$L$7:$Q$7,B12,R0!$L$37:$Q$37)</f>
        <v>18.951133433202799</v>
      </c>
      <c r="N12" s="24">
        <f t="shared" si="0"/>
        <v>20.011815547367597</v>
      </c>
      <c r="O12" s="58"/>
      <c r="P12" s="40">
        <f t="shared" si="1"/>
        <v>17.866930327306697</v>
      </c>
      <c r="Q12" s="58">
        <f t="shared" si="7"/>
        <v>6.6571213626899278E-3</v>
      </c>
      <c r="R12" s="27">
        <f>SUMIF(R0!$L$7:$Q$7,B12,R0!$L$40:$Q$40)</f>
        <v>436219.96326765133</v>
      </c>
      <c r="S12" s="58">
        <f t="shared" si="8"/>
        <v>1.3507787544697237E-2</v>
      </c>
      <c r="T12" s="27">
        <f>SUMIF(R0!$L$7:$Q$7,B12,R0!$L$41:$Q$41)</f>
        <v>558103.04584559903</v>
      </c>
      <c r="U12" s="58">
        <f t="shared" si="9"/>
        <v>-9.9921305757415483E-3</v>
      </c>
      <c r="V12" s="24">
        <f t="shared" si="2"/>
        <v>1.2794073926945979</v>
      </c>
      <c r="W12" s="58">
        <f t="shared" si="10"/>
        <v>-2.3186716875031797E-2</v>
      </c>
      <c r="X12" s="27">
        <f>SUMIF(R0!$L$7:$Q$7,B12,R0!$L$52:$Q$52)</f>
        <v>327357.96563098341</v>
      </c>
      <c r="Y12" s="58">
        <f t="shared" si="11"/>
        <v>-1.7957073840564931E-2</v>
      </c>
      <c r="Z12" s="27">
        <f>SUMIF(R0!$L$7:$Q$7,B12,R0!$L$35:$Q$35)</f>
        <v>6551027.2261687405</v>
      </c>
      <c r="AA12" s="58">
        <f t="shared" si="12"/>
        <v>-1.854194837155684E-2</v>
      </c>
      <c r="AB12" s="5"/>
      <c r="AC12" s="5"/>
      <c r="AD12" s="5"/>
    </row>
    <row r="13" spans="1:30" ht="15.75" thickBot="1" x14ac:dyDescent="0.3">
      <c r="A13" s="96"/>
      <c r="B13" s="32">
        <v>2100</v>
      </c>
      <c r="C13" s="9">
        <f>SUMIF(R0!$L$7:$Q$7,B13,R0!$L$42:$Q$42)</f>
        <v>18.660360000000001</v>
      </c>
      <c r="D13" s="44">
        <f>SUMIF(R0!$L$7:$Q$7,B13,R0!$L$46:$Q$46)</f>
        <v>0.93231395090361513</v>
      </c>
      <c r="E13" s="36">
        <f>SUMIF(R0!$L$7:$Q$7,B13,R0!$L$47:$Q$47)</f>
        <v>0.98848865179879042</v>
      </c>
      <c r="F13" s="51">
        <f t="shared" si="3"/>
        <v>1.0602529875700453</v>
      </c>
      <c r="G13" s="59">
        <f t="shared" si="5"/>
        <v>2.8769802836526654E-2</v>
      </c>
      <c r="H13" s="7">
        <f>SUMIF(R0!$L$7:$Q$7,B13,R0!$L$44:$Q$44)</f>
        <v>0.96078943915232329</v>
      </c>
      <c r="I13" s="8">
        <f>SUMIF(R0!$L$7:$Q$7,B13,R0!$L$45:$Q$45)</f>
        <v>1</v>
      </c>
      <c r="J13" s="8">
        <f t="shared" si="4"/>
        <v>1.0408107741923882</v>
      </c>
      <c r="K13" s="59">
        <f t="shared" si="6"/>
        <v>-4.8770575499285859E-2</v>
      </c>
      <c r="L13" s="28">
        <f>SUMIF(R0!$L$7:$Q$7,B13,R0!$L$36:$Q$36)</f>
        <v>0.92499267260550166</v>
      </c>
      <c r="M13" s="25">
        <f>SUMIF(R0!$L$7:$Q$7,B13,R0!$L$37:$Q$37)</f>
        <v>30.631820586556589</v>
      </c>
      <c r="N13" s="25">
        <f t="shared" si="0"/>
        <v>31.556813259162091</v>
      </c>
      <c r="O13" s="59"/>
      <c r="P13" s="41">
        <f t="shared" si="1"/>
        <v>33.115744041813286</v>
      </c>
      <c r="Q13" s="59">
        <f t="shared" si="7"/>
        <v>5.4237248683410774E-3</v>
      </c>
      <c r="R13" s="33">
        <f>SUMIF(R0!$L$7:$Q$7,B13,R0!$L$40:$Q$40)</f>
        <v>574488.36747000157</v>
      </c>
      <c r="S13" s="59">
        <f t="shared" si="8"/>
        <v>1.6331668099950954E-2</v>
      </c>
      <c r="T13" s="28">
        <f>SUMIF(R0!$L$7:$Q$7,B13,R0!$L$41:$Q$41)</f>
        <v>731409.05110802222</v>
      </c>
      <c r="U13" s="59">
        <f t="shared" si="9"/>
        <v>-1.2090299212011648E-2</v>
      </c>
      <c r="V13" s="25">
        <f t="shared" si="2"/>
        <v>1.2731485831977523</v>
      </c>
      <c r="W13" s="59">
        <f t="shared" si="10"/>
        <v>-2.7965248160669847E-2</v>
      </c>
      <c r="X13" s="28">
        <f>SUMIF(R0!$L$7:$Q$7,B13,R0!$L$52:$Q$52)</f>
        <v>430498.13483984268</v>
      </c>
      <c r="Y13" s="59">
        <f t="shared" si="11"/>
        <v>-2.2773033239951175E-2</v>
      </c>
      <c r="Z13" s="28">
        <f>SUMIF(R0!$L$7:$Q$7,B13,R0!$L$35:$Q$35)</f>
        <v>13585149.249558499</v>
      </c>
      <c r="AA13" s="59">
        <f t="shared" si="12"/>
        <v>-2.3394395205394387E-2</v>
      </c>
      <c r="AB13" s="5"/>
      <c r="AC13" s="5"/>
      <c r="AD13" s="5"/>
    </row>
    <row r="14" spans="1:30" ht="15" customHeight="1" x14ac:dyDescent="0.25">
      <c r="A14" s="100" t="s">
        <v>6</v>
      </c>
      <c r="B14" s="21">
        <v>2000</v>
      </c>
      <c r="C14" s="3">
        <f>SUMIF('R1'!$L$7:$Q$7,B14,'R1'!$L$17:$Q$17)</f>
        <v>16.550899999999999</v>
      </c>
      <c r="D14" s="42">
        <f>SUMIF('R1'!$L$7:$Q$7,B14,'R1'!$L$21:$Q$21)</f>
        <v>1</v>
      </c>
      <c r="E14" s="34">
        <f>SUMIF('R1'!$L$7:$Q$7,B14,'R1'!$L$22:$Q$22)</f>
        <v>1</v>
      </c>
      <c r="F14" s="45">
        <f>E14/D14</f>
        <v>1</v>
      </c>
      <c r="G14" s="53"/>
      <c r="H14" s="1">
        <f>SUMIF('R1'!$L$7:$Q$7,B14,'R1'!$L$19:$Q$19)</f>
        <v>0.88692043671715748</v>
      </c>
      <c r="I14" s="2">
        <f>SUMIF('R1'!$L$7:$Q$7,B14,'R1'!$L$20:$Q$20)</f>
        <v>1</v>
      </c>
      <c r="J14" s="2">
        <f>I14/H14</f>
        <v>1.1274968515793757</v>
      </c>
      <c r="K14" s="53"/>
      <c r="L14" s="26">
        <f>SUMIF('R1'!$L$7:$Q$7,B14,'R1'!$L$11:$Q$11)</f>
        <v>1.8708231251865</v>
      </c>
      <c r="M14" s="24">
        <f>SUMIF('R1'!$L$7:$Q$7,B14,'R1'!$L$12:$Q$12)</f>
        <v>2.7998389129982999</v>
      </c>
      <c r="N14" s="23">
        <f t="shared" si="0"/>
        <v>4.6706620381847994</v>
      </c>
      <c r="O14" s="53"/>
      <c r="P14" s="38">
        <f t="shared" si="1"/>
        <v>1.4965813044026743</v>
      </c>
      <c r="Q14" s="53"/>
      <c r="R14" s="26">
        <f>SUMIF('R1'!$L$7:$Q$7,B14,'R1'!$L$15:$Q$15)</f>
        <v>44822.290798478491</v>
      </c>
      <c r="S14" s="53"/>
      <c r="T14" s="26">
        <f>SUMIF('R1'!$L$7:$Q$7,B14,'R1'!$L$16:$Q$16)</f>
        <v>59488.971502423847</v>
      </c>
      <c r="U14" s="53"/>
      <c r="V14" s="23">
        <f t="shared" si="2"/>
        <v>1.3272184540921148</v>
      </c>
      <c r="W14" s="53"/>
      <c r="X14" s="26">
        <f>SUMIF('R1'!$L$7:$Q$7,B14,'R1'!$L$27:$Q$27)</f>
        <v>18427.262540756401</v>
      </c>
      <c r="Y14" s="53"/>
      <c r="Z14" s="26">
        <f>SUMIF('R1'!$L$7:$Q$7,B14,'R1'!$L$10:$Q$10)</f>
        <v>150225.97198840001</v>
      </c>
      <c r="AA14" s="53"/>
    </row>
    <row r="15" spans="1:30" x14ac:dyDescent="0.25">
      <c r="A15" s="101"/>
      <c r="B15" s="31">
        <v>2020</v>
      </c>
      <c r="C15" s="14">
        <f>SUMIF('R1'!$L$7:$Q$7,B15,'R1'!$L$17:$Q$17)</f>
        <v>16.550899999999999</v>
      </c>
      <c r="D15" s="43">
        <f>SUMIF('R1'!$L$7:$Q$7,B15,'R1'!$L$21:$Q$21)</f>
        <v>0.98300570279749855</v>
      </c>
      <c r="E15" s="35">
        <f>SUMIF('R1'!$L$7:$Q$7,B15,'R1'!$L$22:$Q$22)</f>
        <v>0.99977488244563673</v>
      </c>
      <c r="F15" s="46">
        <f t="shared" ref="F15:F25" si="13">E15/D15</f>
        <v>1.0170590868398988</v>
      </c>
      <c r="G15" s="54"/>
      <c r="H15" s="4">
        <f>SUMIF('R1'!$L$7:$Q$7,B15,'R1'!$L$19:$Q$19)</f>
        <v>0.88692043671715748</v>
      </c>
      <c r="I15" s="5">
        <f>SUMIF('R1'!$L$7:$Q$7,B15,'R1'!$L$20:$Q$20)</f>
        <v>1</v>
      </c>
      <c r="J15" s="5">
        <f t="shared" ref="J15:J25" si="14">I15/H15</f>
        <v>1.1274968515793757</v>
      </c>
      <c r="K15" s="55"/>
      <c r="L15" s="27">
        <f>SUMIF('R1'!$L$7:$Q$7,B15,'R1'!$L$11:$Q$11)</f>
        <v>2.077624390008967</v>
      </c>
      <c r="M15" s="24">
        <f>SUMIF('R1'!$L$7:$Q$7,B15,'R1'!$L$12:$Q$12)</f>
        <v>5.7701136219606672</v>
      </c>
      <c r="N15" s="24">
        <f t="shared" si="0"/>
        <v>7.8477380119696338</v>
      </c>
      <c r="O15" s="55"/>
      <c r="P15" s="39">
        <f t="shared" si="1"/>
        <v>2.7772650579712166</v>
      </c>
      <c r="Q15" s="55"/>
      <c r="R15" s="27">
        <f>SUMIF('R1'!$L$7:$Q$7,B15,'R1'!$L$15:$Q$15)</f>
        <v>108984.62419619771</v>
      </c>
      <c r="S15" s="55"/>
      <c r="T15" s="27">
        <f>SUMIF('R1'!$L$7:$Q$7,B15,'R1'!$L$16:$Q$16)</f>
        <v>144646.4044454876</v>
      </c>
      <c r="U15" s="55"/>
      <c r="V15" s="24">
        <f t="shared" si="2"/>
        <v>1.3272184540921146</v>
      </c>
      <c r="W15" s="55"/>
      <c r="X15" s="27">
        <f>SUMIF('R1'!$L$7:$Q$7,B15,'R1'!$L$27:$Q$27)</f>
        <v>80814.579265369073</v>
      </c>
      <c r="Y15" s="55"/>
      <c r="Z15" s="27">
        <f>SUMIF('R1'!$L$7:$Q$7,B15,'R1'!$L$10:$Q$10)</f>
        <v>634211.64562216983</v>
      </c>
      <c r="AA15" s="55"/>
    </row>
    <row r="16" spans="1:30" x14ac:dyDescent="0.25">
      <c r="A16" s="101"/>
      <c r="B16" s="31">
        <v>2040</v>
      </c>
      <c r="C16" s="6">
        <f>SUMIF('R1'!$L$7:$Q$7,B16,'R1'!$L$17:$Q$17)</f>
        <v>16.550899999999999</v>
      </c>
      <c r="D16" s="43">
        <f>SUMIF('R1'!$L$7:$Q$7,B16,'R1'!$L$21:$Q$21)</f>
        <v>0.98300570279749855</v>
      </c>
      <c r="E16" s="35">
        <f>SUMIF('R1'!$L$7:$Q$7,B16,'R1'!$L$22:$Q$22)</f>
        <v>0.99977488244563673</v>
      </c>
      <c r="F16" s="47">
        <f t="shared" si="13"/>
        <v>1.0170590868398988</v>
      </c>
      <c r="G16" s="55"/>
      <c r="H16" s="4">
        <f>SUMIF('R1'!$L$7:$Q$7,B16,'R1'!$L$19:$Q$19)</f>
        <v>0.88692043671715748</v>
      </c>
      <c r="I16" s="5">
        <f>SUMIF('R1'!$L$7:$Q$7,B16,'R1'!$L$20:$Q$20)</f>
        <v>1</v>
      </c>
      <c r="J16" s="5">
        <f t="shared" si="14"/>
        <v>1.1274968515793757</v>
      </c>
      <c r="K16" s="55"/>
      <c r="L16" s="27">
        <f>SUMIF('R1'!$L$7:$Q$7,B16,'R1'!$L$11:$Q$11)</f>
        <v>2.0834235495300728</v>
      </c>
      <c r="M16" s="24">
        <f>SUMIF('R1'!$L$7:$Q$7,B16,'R1'!$L$12:$Q$12)</f>
        <v>10.737716006280801</v>
      </c>
      <c r="N16" s="24">
        <f t="shared" si="0"/>
        <v>12.821139555810873</v>
      </c>
      <c r="O16" s="55"/>
      <c r="P16" s="40">
        <f t="shared" si="1"/>
        <v>5.1538805005361246</v>
      </c>
      <c r="Q16" s="55"/>
      <c r="R16" s="27">
        <f>SUMIF('R1'!$L$7:$Q$7,B16,'R1'!$L$15:$Q$15)</f>
        <v>198380.9085707881</v>
      </c>
      <c r="S16" s="55"/>
      <c r="T16" s="27">
        <f>SUMIF('R1'!$L$7:$Q$7,B16,'R1'!$L$16:$Q$16)</f>
        <v>263294.8027947105</v>
      </c>
      <c r="U16" s="55"/>
      <c r="V16" s="24">
        <f t="shared" si="2"/>
        <v>1.3272184540921146</v>
      </c>
      <c r="W16" s="55"/>
      <c r="X16" s="27">
        <f>SUMIF('R1'!$L$7:$Q$7,B16,'R1'!$L$27:$Q$27)</f>
        <v>151289.3237436155</v>
      </c>
      <c r="Y16" s="55"/>
      <c r="Z16" s="27">
        <f>SUMIF('R1'!$L$7:$Q$7,B16,'R1'!$L$10:$Q$10)</f>
        <v>1939701.533021146</v>
      </c>
      <c r="AA16" s="55"/>
    </row>
    <row r="17" spans="1:27" x14ac:dyDescent="0.25">
      <c r="A17" s="101"/>
      <c r="B17" s="31">
        <v>2060</v>
      </c>
      <c r="C17" s="6">
        <f>SUMIF('R1'!$L$7:$Q$7,B17,'R1'!$L$17:$Q$17)</f>
        <v>16.550899999999999</v>
      </c>
      <c r="D17" s="43">
        <f>SUMIF('R1'!$L$7:$Q$7,B17,'R1'!$L$21:$Q$21)</f>
        <v>0.98300570279749855</v>
      </c>
      <c r="E17" s="35">
        <f>SUMIF('R1'!$L$7:$Q$7,B17,'R1'!$L$22:$Q$22)</f>
        <v>0.99977488244563673</v>
      </c>
      <c r="F17" s="47">
        <f t="shared" si="13"/>
        <v>1.0170590868398988</v>
      </c>
      <c r="G17" s="55"/>
      <c r="H17" s="4">
        <f>SUMIF('R1'!$L$7:$Q$7,B17,'R1'!$L$19:$Q$19)</f>
        <v>0.88692043671715748</v>
      </c>
      <c r="I17" s="5">
        <f>SUMIF('R1'!$L$7:$Q$7,B17,'R1'!$L$20:$Q$20)</f>
        <v>1</v>
      </c>
      <c r="J17" s="5">
        <f t="shared" si="14"/>
        <v>1.1274968515793757</v>
      </c>
      <c r="K17" s="55"/>
      <c r="L17" s="27">
        <f>SUMIF('R1'!$L$7:$Q$7,B17,'R1'!$L$11:$Q$11)</f>
        <v>1.947018242106048</v>
      </c>
      <c r="M17" s="24">
        <f>SUMIF('R1'!$L$7:$Q$7,B17,'R1'!$L$12:$Q$12)</f>
        <v>18.621788068624159</v>
      </c>
      <c r="N17" s="24">
        <f t="shared" si="0"/>
        <v>20.568806310730206</v>
      </c>
      <c r="O17" s="55"/>
      <c r="P17" s="40">
        <f t="shared" si="1"/>
        <v>9.5642596797045769</v>
      </c>
      <c r="Q17" s="55"/>
      <c r="R17" s="27">
        <f>SUMIF('R1'!$L$7:$Q$7,B17,'R1'!$L$15:$Q$15)</f>
        <v>305686.34199488262</v>
      </c>
      <c r="S17" s="55"/>
      <c r="T17" s="27">
        <f>SUMIF('R1'!$L$7:$Q$7,B17,'R1'!$L$16:$Q$16)</f>
        <v>405712.55425952142</v>
      </c>
      <c r="U17" s="55"/>
      <c r="V17" s="24">
        <f t="shared" si="2"/>
        <v>1.3272184540921141</v>
      </c>
      <c r="W17" s="55"/>
      <c r="X17" s="27">
        <f>SUMIF('R1'!$L$7:$Q$7,B17,'R1'!$L$27:$Q$27)</f>
        <v>237401.85696295279</v>
      </c>
      <c r="Y17" s="55"/>
      <c r="Z17" s="27">
        <f>SUMIF('R1'!$L$7:$Q$7,B17,'R1'!$L$10:$Q$10)</f>
        <v>4883072.813678653</v>
      </c>
      <c r="AA17" s="55"/>
    </row>
    <row r="18" spans="1:27" x14ac:dyDescent="0.25">
      <c r="A18" s="101"/>
      <c r="B18" s="31">
        <v>2080</v>
      </c>
      <c r="C18" s="6">
        <f>SUMIF('R1'!$L$7:$Q$7,B18,'R1'!$L$17:$Q$17)</f>
        <v>16.550899999999999</v>
      </c>
      <c r="D18" s="43">
        <f>SUMIF('R1'!$L$7:$Q$7,B18,'R1'!$L$21:$Q$21)</f>
        <v>0.98300570279749855</v>
      </c>
      <c r="E18" s="35">
        <f>SUMIF('R1'!$L$7:$Q$7,B18,'R1'!$L$22:$Q$22)</f>
        <v>0.99977488244563673</v>
      </c>
      <c r="F18" s="47">
        <f t="shared" si="13"/>
        <v>1.0170590868398988</v>
      </c>
      <c r="G18" s="55"/>
      <c r="H18" s="4">
        <f>SUMIF('R1'!$L$7:$Q$7,B18,'R1'!$L$19:$Q$19)</f>
        <v>0.88692043671715748</v>
      </c>
      <c r="I18" s="5">
        <f>SUMIF('R1'!$L$7:$Q$7,B18,'R1'!$L$20:$Q$20)</f>
        <v>1</v>
      </c>
      <c r="J18" s="5">
        <f t="shared" si="14"/>
        <v>1.1274968515793757</v>
      </c>
      <c r="K18" s="55"/>
      <c r="L18" s="27">
        <f>SUMIF('R1'!$L$7:$Q$7,B18,'R1'!$L$11:$Q$11)</f>
        <v>1.7409103454761881</v>
      </c>
      <c r="M18" s="24">
        <f>SUMIF('R1'!$L$7:$Q$7,B18,'R1'!$L$12:$Q$12)</f>
        <v>30.89902528738352</v>
      </c>
      <c r="N18" s="24">
        <f t="shared" si="0"/>
        <v>32.639935632859711</v>
      </c>
      <c r="O18" s="55"/>
      <c r="P18" s="40">
        <f t="shared" si="1"/>
        <v>17.748774580882721</v>
      </c>
      <c r="Q18" s="55"/>
      <c r="R18" s="27">
        <f>SUMIF('R1'!$L$7:$Q$7,B18,'R1'!$L$15:$Q$15)</f>
        <v>425474.50853735273</v>
      </c>
      <c r="S18" s="55"/>
      <c r="T18" s="27">
        <f>SUMIF('R1'!$L$7:$Q$7,B18,'R1'!$L$16:$Q$16)</f>
        <v>564697.61947654758</v>
      </c>
      <c r="U18" s="55"/>
      <c r="V18" s="24">
        <f t="shared" si="2"/>
        <v>1.3272184540921148</v>
      </c>
      <c r="W18" s="55"/>
      <c r="X18" s="27">
        <f>SUMIF('R1'!$L$7:$Q$7,B18,'R1'!$L$27:$Q$27)</f>
        <v>334059.53954187222</v>
      </c>
      <c r="Y18" s="55"/>
      <c r="Z18" s="27">
        <f>SUMIF('R1'!$L$7:$Q$7,B18,'R1'!$L$10:$Q$10)</f>
        <v>10903681.86818946</v>
      </c>
      <c r="AA18" s="55"/>
    </row>
    <row r="19" spans="1:27" ht="15.75" thickBot="1" x14ac:dyDescent="0.3">
      <c r="A19" s="102"/>
      <c r="B19" s="32">
        <v>2100</v>
      </c>
      <c r="C19" s="9">
        <f>SUMIF('R1'!$L$7:$Q$7,B19,'R1'!$L$17:$Q$17)</f>
        <v>16.550899999999999</v>
      </c>
      <c r="D19" s="44">
        <f>SUMIF('R1'!$L$7:$Q$7,B19,'R1'!$L$21:$Q$21)</f>
        <v>0.98300570279749855</v>
      </c>
      <c r="E19" s="36">
        <f>SUMIF('R1'!$L$7:$Q$7,B19,'R1'!$L$22:$Q$22)</f>
        <v>0.99977488244563673</v>
      </c>
      <c r="F19" s="48">
        <f t="shared" si="13"/>
        <v>1.0170590868398988</v>
      </c>
      <c r="G19" s="56"/>
      <c r="H19" s="7">
        <f>SUMIF('R1'!$L$7:$Q$7,B19,'R1'!$L$19:$Q$19)</f>
        <v>0.88692043671715748</v>
      </c>
      <c r="I19" s="8">
        <f>SUMIF('R1'!$L$7:$Q$7,B19,'R1'!$L$20:$Q$20)</f>
        <v>1</v>
      </c>
      <c r="J19" s="8">
        <f t="shared" si="14"/>
        <v>1.1274968515793757</v>
      </c>
      <c r="K19" s="56"/>
      <c r="L19" s="28">
        <f>SUMIF('R1'!$L$7:$Q$7,B19,'R1'!$L$11:$Q$11)</f>
        <v>1.5166965056407069</v>
      </c>
      <c r="M19" s="25">
        <f>SUMIF('R1'!$L$7:$Q$7,B19,'R1'!$L$12:$Q$12)</f>
        <v>49.955587905474793</v>
      </c>
      <c r="N19" s="25">
        <f t="shared" si="0"/>
        <v>51.472284411115503</v>
      </c>
      <c r="O19" s="56"/>
      <c r="P19" s="41">
        <f t="shared" si="1"/>
        <v>32.937102261188215</v>
      </c>
      <c r="Q19" s="56"/>
      <c r="R19" s="28">
        <f>SUMIF('R1'!$L$7:$Q$7,B19,'R1'!$L$15:$Q$15)</f>
        <v>558350.53552459541</v>
      </c>
      <c r="S19" s="56"/>
      <c r="T19" s="28">
        <f>SUMIF('R1'!$L$7:$Q$7,B19,'R1'!$L$16:$Q$16)</f>
        <v>741053.1346004575</v>
      </c>
      <c r="U19" s="56"/>
      <c r="V19" s="25">
        <f t="shared" si="2"/>
        <v>1.3272184540921139</v>
      </c>
      <c r="W19" s="56"/>
      <c r="X19" s="28">
        <f>SUMIF('R1'!$L$7:$Q$7,B19,'R1'!$L$27:$Q$27)</f>
        <v>441136.8373603588</v>
      </c>
      <c r="Y19" s="56"/>
      <c r="Z19" s="28">
        <f>SUMIF('R1'!$L$7:$Q$7,B19,'R1'!$L$10:$Q$10)</f>
        <v>22706320.756832391</v>
      </c>
      <c r="AA19" s="56"/>
    </row>
    <row r="20" spans="1:27" ht="15" customHeight="1" x14ac:dyDescent="0.25">
      <c r="A20" s="100" t="str">
        <f>'R1'!B1</f>
        <v>Eastern Cape</v>
      </c>
      <c r="B20" s="21">
        <v>2000</v>
      </c>
      <c r="C20" s="3">
        <f>SUMIF('R1'!$L$7:$Q$7,B20,'R1'!$L$42:$Q$42)</f>
        <v>16.550899999999999</v>
      </c>
      <c r="D20" s="42">
        <f>SUMIF('R1'!$L$7:$Q$7,B20,'R1'!$L$46:$Q$46)</f>
        <v>1</v>
      </c>
      <c r="E20" s="34">
        <f>SUMIF('R1'!$L$7:$Q$7,B20,'R1'!$L$47:$Q$47)</f>
        <v>1</v>
      </c>
      <c r="F20" s="49">
        <f t="shared" si="13"/>
        <v>1</v>
      </c>
      <c r="G20" s="57">
        <f t="shared" ref="G20:G25" si="15">(F20-$F14)/$F14</f>
        <v>0</v>
      </c>
      <c r="H20" s="1">
        <f>SUMIF('R1'!$L$7:$Q$7,B20,'R1'!$L$44:$Q$44)</f>
        <v>0.88692043671715748</v>
      </c>
      <c r="I20" s="2">
        <f>SUMIF('R1'!$L$7:$Q$7,B20,'R1'!$L$45:$Q$45)</f>
        <v>1</v>
      </c>
      <c r="J20" s="2">
        <f t="shared" si="14"/>
        <v>1.1274968515793757</v>
      </c>
      <c r="K20" s="57">
        <f t="shared" ref="K20:K25" si="16">(J20-$J14)/$J14</f>
        <v>0</v>
      </c>
      <c r="L20" s="26">
        <f>SUMIF('R1'!$L$7:$Q$7,B20,'R1'!$L$36:$Q$36)</f>
        <v>1.8708231251865</v>
      </c>
      <c r="M20" s="23">
        <f>SUMIF('R1'!$L$7:$Q$7,B20,'R1'!$L$37:$Q$37)</f>
        <v>2.7998389129982999</v>
      </c>
      <c r="N20" s="23">
        <f t="shared" si="0"/>
        <v>4.6706620381847994</v>
      </c>
      <c r="O20" s="57"/>
      <c r="P20" s="38">
        <f t="shared" si="1"/>
        <v>1.4965813044026743</v>
      </c>
      <c r="Q20" s="57">
        <f t="shared" ref="Q20:Q25" si="17">(P20-$P14)/$P14</f>
        <v>0</v>
      </c>
      <c r="R20" s="26">
        <f>SUMIF('R1'!$L$7:$Q$7,B20,'R1'!$L$40:$Q$40)</f>
        <v>44822.290798478491</v>
      </c>
      <c r="S20" s="57">
        <f t="shared" ref="S20:S25" si="18">(R20-$R14)/$R14</f>
        <v>0</v>
      </c>
      <c r="T20" s="26">
        <f>SUMIF('R1'!$L$7:$Q$7,B20,'R1'!$L$41:$Q$41)</f>
        <v>59488.971502423847</v>
      </c>
      <c r="U20" s="57">
        <f t="shared" ref="U20:U25" si="19">(T20-$T14)/$T14</f>
        <v>0</v>
      </c>
      <c r="V20" s="23">
        <f t="shared" si="2"/>
        <v>1.3272184540921148</v>
      </c>
      <c r="W20" s="57">
        <f t="shared" ref="W20:W25" si="20">(V20-$V14)/$V14</f>
        <v>0</v>
      </c>
      <c r="X20" s="26">
        <f>SUMIF('R1'!$L$7:$Q$7,B20,'R1'!$L$52:$Q$52)</f>
        <v>18427.262540756401</v>
      </c>
      <c r="Y20" s="57">
        <f t="shared" ref="Y20:Y25" si="21">(X20-$X14)/$X14</f>
        <v>0</v>
      </c>
      <c r="Z20" s="26">
        <f>SUMIF('R1'!$L$7:$Q$7,B20,'R1'!$L$35:$Q$35)</f>
        <v>150225.97198840001</v>
      </c>
      <c r="AA20" s="57">
        <f t="shared" ref="AA20:AA25" si="22">(Z20-$Z14)/$Z14</f>
        <v>0</v>
      </c>
    </row>
    <row r="21" spans="1:27" x14ac:dyDescent="0.25">
      <c r="A21" s="101"/>
      <c r="B21" s="31">
        <v>2020</v>
      </c>
      <c r="C21" s="14">
        <f>SUMIF('R1'!$L$7:$Q$7,B21,'R1'!$L$42:$Q$42)</f>
        <v>16.94595</v>
      </c>
      <c r="D21" s="43">
        <f>SUMIF('R1'!$L$7:$Q$7,B21,'R1'!$L$46:$Q$46)</f>
        <v>0.97451937357749729</v>
      </c>
      <c r="E21" s="35">
        <f>SUMIF('R1'!$L$7:$Q$7,B21,'R1'!$L$47:$Q$47)</f>
        <v>0.99985329417805535</v>
      </c>
      <c r="F21" s="50">
        <f t="shared" si="13"/>
        <v>1.0259963232003857</v>
      </c>
      <c r="G21" s="58">
        <f t="shared" si="15"/>
        <v>8.7873324924078837E-3</v>
      </c>
      <c r="H21" s="4">
        <f>SUMIF('R1'!$L$7:$Q$7,B21,'R1'!$L$44:$Q$44)</f>
        <v>0.90483741803595918</v>
      </c>
      <c r="I21" s="5">
        <f>SUMIF('R1'!$L$7:$Q$7,B21,'R1'!$L$45:$Q$45)</f>
        <v>1</v>
      </c>
      <c r="J21" s="13">
        <f t="shared" si="14"/>
        <v>1.1051709180756482</v>
      </c>
      <c r="K21" s="58">
        <f t="shared" si="16"/>
        <v>-1.9801326693244282E-2</v>
      </c>
      <c r="L21" s="27">
        <f>SUMIF('R1'!$L$7:$Q$7,B21,'R1'!$L$36:$Q$36)</f>
        <v>2.073014848553107</v>
      </c>
      <c r="M21" s="24">
        <f>SUMIF('R1'!$L$7:$Q$7,B21,'R1'!$L$37:$Q$37)</f>
        <v>5.7735284522834451</v>
      </c>
      <c r="N21" s="24">
        <f t="shared" si="0"/>
        <v>7.8465433008365526</v>
      </c>
      <c r="O21" s="58"/>
      <c r="P21" s="39">
        <f t="shared" si="1"/>
        <v>2.7850878426235921</v>
      </c>
      <c r="Q21" s="58">
        <f t="shared" si="17"/>
        <v>2.8167223830231148E-3</v>
      </c>
      <c r="R21" s="27">
        <f>SUMIF('R1'!$L$7:$Q$7,B21,'R1'!$L$40:$Q$40)</f>
        <v>109552.31636736709</v>
      </c>
      <c r="S21" s="58">
        <f t="shared" si="18"/>
        <v>5.208919839439081E-3</v>
      </c>
      <c r="T21" s="27">
        <f>SUMIF('R1'!$L$7:$Q$7,B21,'R1'!$L$41:$Q$41)</f>
        <v>144133.30866483829</v>
      </c>
      <c r="U21" s="58">
        <f t="shared" si="19"/>
        <v>-3.5472418593210067E-3</v>
      </c>
      <c r="V21" s="24">
        <f t="shared" si="2"/>
        <v>1.3156573356377885</v>
      </c>
      <c r="W21" s="58">
        <f t="shared" si="20"/>
        <v>-8.7107879028358263E-3</v>
      </c>
      <c r="X21" s="27">
        <f>SUMIF('R1'!$L$7:$Q$7,B21,'R1'!$L$52:$Q$52)</f>
        <v>80546.488266546294</v>
      </c>
      <c r="Y21" s="58">
        <f t="shared" si="21"/>
        <v>-3.3173593336723929E-3</v>
      </c>
      <c r="Z21" s="27">
        <f>SUMIF('R1'!$L$7:$Q$7,B21,'R1'!$L$35:$Q$35)</f>
        <v>632011.50791377877</v>
      </c>
      <c r="AA21" s="58">
        <f t="shared" si="22"/>
        <v>-3.4690906790787474E-3</v>
      </c>
    </row>
    <row r="22" spans="1:27" x14ac:dyDescent="0.25">
      <c r="A22" s="101"/>
      <c r="B22" s="31">
        <v>2040</v>
      </c>
      <c r="C22" s="6">
        <f>SUMIF('R1'!$L$7:$Q$7,B22,'R1'!$L$42:$Q$42)</f>
        <v>17.492909999999998</v>
      </c>
      <c r="D22" s="43">
        <f>SUMIF('R1'!$L$7:$Q$7,B22,'R1'!$L$46:$Q$46)</f>
        <v>0.96439833420871968</v>
      </c>
      <c r="E22" s="35">
        <f>SUMIF('R1'!$L$7:$Q$7,B22,'R1'!$L$47:$Q$47)</f>
        <v>0.99844694181596516</v>
      </c>
      <c r="F22" s="50">
        <f t="shared" si="13"/>
        <v>1.0353055437773875</v>
      </c>
      <c r="G22" s="58">
        <f t="shared" si="15"/>
        <v>1.7940409926607344E-2</v>
      </c>
      <c r="H22" s="4">
        <f>SUMIF('R1'!$L$7:$Q$7,B22,'R1'!$L$44:$Q$44)</f>
        <v>0.92311634638663587</v>
      </c>
      <c r="I22" s="5">
        <f>SUMIF('R1'!$L$7:$Q$7,B22,'R1'!$L$45:$Q$45)</f>
        <v>1</v>
      </c>
      <c r="J22" s="5">
        <f t="shared" si="14"/>
        <v>1.0832870676749584</v>
      </c>
      <c r="K22" s="58">
        <f t="shared" si="16"/>
        <v>-3.9210560847676969E-2</v>
      </c>
      <c r="L22" s="27">
        <f>SUMIF('R1'!$L$7:$Q$7,B22,'R1'!$L$36:$Q$36)</f>
        <v>2.0730106375621218</v>
      </c>
      <c r="M22" s="24">
        <f>SUMIF('R1'!$L$7:$Q$7,B22,'R1'!$L$37:$Q$37)</f>
        <v>10.743560438565821</v>
      </c>
      <c r="N22" s="24">
        <f t="shared" si="0"/>
        <v>12.816571076127943</v>
      </c>
      <c r="O22" s="58"/>
      <c r="P22" s="40">
        <f t="shared" si="1"/>
        <v>5.1825881854616718</v>
      </c>
      <c r="Q22" s="58">
        <f t="shared" si="17"/>
        <v>5.5701107005800641E-3</v>
      </c>
      <c r="R22" s="27">
        <f>SUMIF('R1'!$L$7:$Q$7,B22,'R1'!$L$40:$Q$40)</f>
        <v>200784.4598864149</v>
      </c>
      <c r="S22" s="58">
        <f t="shared" si="18"/>
        <v>1.2115839840350069E-2</v>
      </c>
      <c r="T22" s="27">
        <f>SUMIF('R1'!$L$7:$Q$7,B22,'R1'!$L$41:$Q$41)</f>
        <v>261788.25190305689</v>
      </c>
      <c r="U22" s="58">
        <f t="shared" si="19"/>
        <v>-5.7219165576475692E-3</v>
      </c>
      <c r="V22" s="24">
        <f t="shared" si="2"/>
        <v>1.3038272585993569</v>
      </c>
      <c r="W22" s="58">
        <f t="shared" si="20"/>
        <v>-1.7624224121234416E-2</v>
      </c>
      <c r="X22" s="27">
        <f>SUMIF('R1'!$L$7:$Q$7,B22,'R1'!$L$52:$Q$52)</f>
        <v>150254.5299503261</v>
      </c>
      <c r="Y22" s="58">
        <f t="shared" si="21"/>
        <v>-6.8398335565503987E-3</v>
      </c>
      <c r="Z22" s="27">
        <f>SUMIF('R1'!$L$7:$Q$7,B22,'R1'!$L$35:$Q$35)</f>
        <v>1925747.862618549</v>
      </c>
      <c r="AA22" s="58">
        <f t="shared" si="22"/>
        <v>-7.1937203559681983E-3</v>
      </c>
    </row>
    <row r="23" spans="1:27" x14ac:dyDescent="0.25">
      <c r="A23" s="101"/>
      <c r="B23" s="31">
        <v>2060</v>
      </c>
      <c r="C23" s="6">
        <f>SUMIF('R1'!$L$7:$Q$7,B23,'R1'!$L$42:$Q$42)</f>
        <v>18.010770000000001</v>
      </c>
      <c r="D23" s="43">
        <f>SUMIF('R1'!$L$7:$Q$7,B23,'R1'!$L$46:$Q$46)</f>
        <v>0.95269766517752652</v>
      </c>
      <c r="E23" s="35">
        <f>SUMIF('R1'!$L$7:$Q$7,B23,'R1'!$L$47:$Q$47)</f>
        <v>0.99556088418081246</v>
      </c>
      <c r="F23" s="50">
        <f t="shared" si="13"/>
        <v>1.0449914181277002</v>
      </c>
      <c r="G23" s="58">
        <f t="shared" si="15"/>
        <v>2.7463823537125995E-2</v>
      </c>
      <c r="H23" s="4">
        <f>SUMIF('R1'!$L$7:$Q$7,B23,'R1'!$L$44:$Q$44)</f>
        <v>0.94176453358424828</v>
      </c>
      <c r="I23" s="5">
        <f>SUMIF('R1'!$L$7:$Q$7,B23,'R1'!$L$45:$Q$45)</f>
        <v>1</v>
      </c>
      <c r="J23" s="5">
        <f t="shared" si="14"/>
        <v>1.0618365465453601</v>
      </c>
      <c r="K23" s="58">
        <f t="shared" si="16"/>
        <v>-5.8235466415750933E-2</v>
      </c>
      <c r="L23" s="27">
        <f>SUMIF('R1'!$L$7:$Q$7,B23,'R1'!$L$36:$Q$36)</f>
        <v>1.9315160676523571</v>
      </c>
      <c r="M23" s="24">
        <f>SUMIF('R1'!$L$7:$Q$7,B23,'R1'!$L$37:$Q$37)</f>
        <v>18.62612300867373</v>
      </c>
      <c r="N23" s="24">
        <f t="shared" si="0"/>
        <v>20.557639076326087</v>
      </c>
      <c r="O23" s="58"/>
      <c r="P23" s="40">
        <f t="shared" si="1"/>
        <v>9.6432658887029987</v>
      </c>
      <c r="Q23" s="58">
        <f t="shared" si="17"/>
        <v>8.2605671159340765E-3</v>
      </c>
      <c r="R23" s="27">
        <f>SUMIF('R1'!$L$7:$Q$7,B23,'R1'!$L$40:$Q$40)</f>
        <v>311556.08962227718</v>
      </c>
      <c r="S23" s="58">
        <f t="shared" si="18"/>
        <v>1.9201864202008829E-2</v>
      </c>
      <c r="T23" s="27">
        <f>SUMIF('R1'!$L$7:$Q$7,B23,'R1'!$L$41:$Q$41)</f>
        <v>402450.17114855291</v>
      </c>
      <c r="U23" s="58">
        <f t="shared" si="19"/>
        <v>-8.0411194495146679E-3</v>
      </c>
      <c r="V23" s="24">
        <f t="shared" si="2"/>
        <v>1.2917422722710168</v>
      </c>
      <c r="W23" s="58">
        <f t="shared" si="20"/>
        <v>-2.67297231376766E-2</v>
      </c>
      <c r="X23" s="27">
        <f>SUMIF('R1'!$L$7:$Q$7,B23,'R1'!$L$52:$Q$52)</f>
        <v>234544.07102797521</v>
      </c>
      <c r="Y23" s="58">
        <f t="shared" si="21"/>
        <v>-1.2037757292789619E-2</v>
      </c>
      <c r="Z23" s="27">
        <f>SUMIF('R1'!$L$7:$Q$7,B23,'R1'!$L$35:$Q$35)</f>
        <v>4821672.3596853036</v>
      </c>
      <c r="AA23" s="58">
        <f t="shared" si="22"/>
        <v>-1.2574142622111225E-2</v>
      </c>
    </row>
    <row r="24" spans="1:27" x14ac:dyDescent="0.25">
      <c r="A24" s="101"/>
      <c r="B24" s="31">
        <v>2080</v>
      </c>
      <c r="C24" s="6">
        <f>SUMIF('R1'!$L$7:$Q$7,B24,'R1'!$L$42:$Q$42)</f>
        <v>18.25863</v>
      </c>
      <c r="D24" s="43">
        <f>SUMIF('R1'!$L$7:$Q$7,B24,'R1'!$L$46:$Q$46)</f>
        <v>0.94627095271536965</v>
      </c>
      <c r="E24" s="35">
        <f>SUMIF('R1'!$L$7:$Q$7,B24,'R1'!$L$47:$Q$47)</f>
        <v>0.99356517912022047</v>
      </c>
      <c r="F24" s="50">
        <f t="shared" si="13"/>
        <v>1.0499795817140301</v>
      </c>
      <c r="G24" s="58">
        <f t="shared" si="15"/>
        <v>3.2368320877421648E-2</v>
      </c>
      <c r="H24" s="4">
        <f>SUMIF('R1'!$L$7:$Q$7,B24,'R1'!$L$44:$Q$44)</f>
        <v>0.95122942450071424</v>
      </c>
      <c r="I24" s="5">
        <f>SUMIF('R1'!$L$7:$Q$7,B24,'R1'!$L$45:$Q$45)</f>
        <v>1</v>
      </c>
      <c r="J24" s="5">
        <f t="shared" si="14"/>
        <v>1.0512710963760239</v>
      </c>
      <c r="K24" s="58">
        <f t="shared" si="16"/>
        <v>-6.7606180094051949E-2</v>
      </c>
      <c r="L24" s="27">
        <f>SUMIF('R1'!$L$7:$Q$7,B24,'R1'!$L$36:$Q$36)</f>
        <v>1.724107126729614</v>
      </c>
      <c r="M24" s="24">
        <f>SUMIF('R1'!$L$7:$Q$7,B24,'R1'!$L$37:$Q$37)</f>
        <v>30.893997481195871</v>
      </c>
      <c r="N24" s="24">
        <f t="shared" si="0"/>
        <v>32.618104607925488</v>
      </c>
      <c r="O24" s="58"/>
      <c r="P24" s="40">
        <f t="shared" si="1"/>
        <v>17.918838685968076</v>
      </c>
      <c r="Q24" s="58">
        <f t="shared" si="17"/>
        <v>9.5817378439485221E-3</v>
      </c>
      <c r="R24" s="27">
        <f>SUMIF('R1'!$L$7:$Q$7,B24,'R1'!$L$40:$Q$40)</f>
        <v>435417.28037359758</v>
      </c>
      <c r="S24" s="58">
        <f t="shared" si="18"/>
        <v>2.3368666363644125E-2</v>
      </c>
      <c r="T24" s="27">
        <f>SUMIF('R1'!$L$7:$Q$7,B24,'R1'!$L$41:$Q$41)</f>
        <v>559774.87690757553</v>
      </c>
      <c r="U24" s="58">
        <f t="shared" si="19"/>
        <v>-8.7174841883258559E-3</v>
      </c>
      <c r="V24" s="24">
        <f t="shared" si="2"/>
        <v>1.285605560779022</v>
      </c>
      <c r="W24" s="58">
        <f t="shared" si="20"/>
        <v>-3.1353461960079626E-2</v>
      </c>
      <c r="X24" s="27">
        <f>SUMIF('R1'!$L$7:$Q$7,B24,'R1'!$L$52:$Q$52)</f>
        <v>329132.05862475379</v>
      </c>
      <c r="Y24" s="58">
        <f t="shared" si="21"/>
        <v>-1.4750307456796346E-2</v>
      </c>
      <c r="Z24" s="27">
        <f>SUMIF('R1'!$L$7:$Q$7,B24,'R1'!$L$35:$Q$35)</f>
        <v>10735663.918044079</v>
      </c>
      <c r="AA24" s="58">
        <f t="shared" si="22"/>
        <v>-1.5409285796897494E-2</v>
      </c>
    </row>
    <row r="25" spans="1:27" ht="15.75" thickBot="1" x14ac:dyDescent="0.3">
      <c r="A25" s="102"/>
      <c r="B25" s="32">
        <v>2100</v>
      </c>
      <c r="C25" s="9">
        <f>SUMIF('R1'!$L$7:$Q$7,B25,'R1'!$L$42:$Q$42)</f>
        <v>18.38879</v>
      </c>
      <c r="D25" s="44">
        <f>SUMIF('R1'!$L$7:$Q$7,B25,'R1'!$L$46:$Q$46)</f>
        <v>0.93947441413050536</v>
      </c>
      <c r="E25" s="36">
        <f>SUMIF('R1'!$L$7:$Q$7,B25,'R1'!$L$47:$Q$47)</f>
        <v>0.99120776832621305</v>
      </c>
      <c r="F25" s="51">
        <f t="shared" si="13"/>
        <v>1.0550662726068889</v>
      </c>
      <c r="G25" s="59">
        <f t="shared" si="15"/>
        <v>3.7369692930114953E-2</v>
      </c>
      <c r="H25" s="7">
        <f>SUMIF('R1'!$L$7:$Q$7,B25,'R1'!$L$44:$Q$44)</f>
        <v>0.96078943915232329</v>
      </c>
      <c r="I25" s="8">
        <f>SUMIF('R1'!$L$7:$Q$7,B25,'R1'!$L$45:$Q$45)</f>
        <v>1</v>
      </c>
      <c r="J25" s="8">
        <f t="shared" si="14"/>
        <v>1.0408107741923882</v>
      </c>
      <c r="K25" s="59">
        <f t="shared" si="16"/>
        <v>-7.6883653613364286E-2</v>
      </c>
      <c r="L25" s="28">
        <f>SUMIF('R1'!$L$7:$Q$7,B25,'R1'!$L$36:$Q$36)</f>
        <v>1.499714217897399</v>
      </c>
      <c r="M25" s="25">
        <f>SUMIF('R1'!$L$7:$Q$7,B25,'R1'!$L$37:$Q$37)</f>
        <v>49.934004681136969</v>
      </c>
      <c r="N25" s="25">
        <f t="shared" si="0"/>
        <v>51.433718899034368</v>
      </c>
      <c r="O25" s="59"/>
      <c r="P25" s="41">
        <f t="shared" si="1"/>
        <v>33.295679993715403</v>
      </c>
      <c r="Q25" s="59">
        <f t="shared" si="17"/>
        <v>1.0886741938732163E-2</v>
      </c>
      <c r="R25" s="33">
        <f>SUMIF('R1'!$L$7:$Q$7,B25,'R1'!$L$40:$Q$40)</f>
        <v>573335.30138663051</v>
      </c>
      <c r="S25" s="59">
        <f t="shared" si="18"/>
        <v>2.6837559756177611E-2</v>
      </c>
      <c r="T25" s="28">
        <f>SUMIF('R1'!$L$7:$Q$7,B25,'R1'!$L$41:$Q$41)</f>
        <v>733529.42308684019</v>
      </c>
      <c r="U25" s="59">
        <f t="shared" si="19"/>
        <v>-1.0152728815692487E-2</v>
      </c>
      <c r="V25" s="25">
        <f t="shared" si="2"/>
        <v>1.2794073926945975</v>
      </c>
      <c r="W25" s="59">
        <f t="shared" si="20"/>
        <v>-3.602350558802446E-2</v>
      </c>
      <c r="X25" s="28">
        <f>SUMIF('R1'!$L$7:$Q$7,B25,'R1'!$L$52:$Q$52)</f>
        <v>432951.18697809591</v>
      </c>
      <c r="Y25" s="59">
        <f t="shared" si="21"/>
        <v>-1.8555807833332539E-2</v>
      </c>
      <c r="Z25" s="28">
        <f>SUMIF('R1'!$L$7:$Q$7,B25,'R1'!$L$35:$Q$35)</f>
        <v>22268289.648034651</v>
      </c>
      <c r="AA25" s="59">
        <f t="shared" si="22"/>
        <v>-1.9291153044507903E-2</v>
      </c>
    </row>
    <row r="26" spans="1:27" ht="15" customHeight="1" x14ac:dyDescent="0.25">
      <c r="A26" s="97" t="s">
        <v>6</v>
      </c>
      <c r="B26" s="21">
        <v>2000</v>
      </c>
      <c r="C26" s="3">
        <f>SUMIF('R2'!$L$7:$Q$7,B26,'R2'!$L$17:$Q$17)</f>
        <v>17.447839999999999</v>
      </c>
      <c r="D26" s="42">
        <f>SUMIF('R2'!$L$7:$Q$7,B26,'R2'!$L$21:$Q$21)</f>
        <v>1</v>
      </c>
      <c r="E26" s="34">
        <f>SUMIF('R2'!$L$7:$Q$7,B26,'R2'!$L$22:$Q$22)</f>
        <v>1</v>
      </c>
      <c r="F26" s="45">
        <f>E26/D26</f>
        <v>1</v>
      </c>
      <c r="G26" s="53"/>
      <c r="H26" s="1">
        <f>SUMIF('R2'!$L$7:$Q$7,B26,'R2'!$L$19:$Q$19)</f>
        <v>0.92311634638663587</v>
      </c>
      <c r="I26" s="2">
        <f>SUMIF('R2'!$L$7:$Q$7,B26,'R2'!$L$20:$Q$20)</f>
        <v>1</v>
      </c>
      <c r="J26" s="2">
        <f>I26/H26</f>
        <v>1.0832870676749584</v>
      </c>
      <c r="K26" s="53"/>
      <c r="L26" s="26">
        <f>SUMIF('R2'!$L$7:$Q$7,B26,'R2'!$L$11:$Q$11)</f>
        <v>0.23874911168999999</v>
      </c>
      <c r="M26" s="24">
        <f>SUMIF('R2'!$L$7:$Q$7,B26,'R2'!$L$12:$Q$12)</f>
        <v>0.35730745699799998</v>
      </c>
      <c r="N26" s="23">
        <f t="shared" si="0"/>
        <v>0.59605656868799994</v>
      </c>
      <c r="O26" s="53"/>
      <c r="P26" s="38">
        <f t="shared" si="1"/>
        <v>1.4965813044026743</v>
      </c>
      <c r="Q26" s="53"/>
      <c r="R26" s="26">
        <f>SUMIF('R2'!$L$7:$Q$7,B26,'R2'!$L$15:$Q$15)</f>
        <v>45393.77360074802</v>
      </c>
      <c r="S26" s="53"/>
      <c r="T26" s="26">
        <f>SUMIF('R2'!$L$7:$Q$7,B26,'R2'!$L$16:$Q$16)</f>
        <v>59185.639391343168</v>
      </c>
      <c r="U26" s="53"/>
      <c r="V26" s="23">
        <f t="shared" si="2"/>
        <v>1.3038272585993573</v>
      </c>
      <c r="W26" s="53"/>
      <c r="X26" s="26">
        <f>SUMIF('R2'!$L$7:$Q$7,B26,'R2'!$L$27:$Q$27)</f>
        <v>18427.26254075639</v>
      </c>
      <c r="Y26" s="53"/>
      <c r="Z26" s="26">
        <f>SUMIF('R2'!$L$7:$Q$7,B26,'R2'!$L$10:$Q$10)</f>
        <v>19171.410103999999</v>
      </c>
      <c r="AA26" s="53"/>
    </row>
    <row r="27" spans="1:27" x14ac:dyDescent="0.25">
      <c r="A27" s="98"/>
      <c r="B27" s="31">
        <v>2020</v>
      </c>
      <c r="C27" s="14">
        <f>SUMIF('R2'!$L$7:$Q$7,B27,'R2'!$L$17:$Q$17)</f>
        <v>17.447839999999999</v>
      </c>
      <c r="D27" s="43">
        <f>SUMIF('R2'!$L$7:$Q$7,B27,'R2'!$L$21:$Q$21)</f>
        <v>0.96439833420871968</v>
      </c>
      <c r="E27" s="35">
        <f>SUMIF('R2'!$L$7:$Q$7,B27,'R2'!$L$22:$Q$22)</f>
        <v>0.99844694181596516</v>
      </c>
      <c r="F27" s="46">
        <f t="shared" ref="F27:F37" si="23">E27/D27</f>
        <v>1.0353055437773875</v>
      </c>
      <c r="G27" s="54"/>
      <c r="H27" s="4">
        <f>SUMIF('R2'!$L$7:$Q$7,B27,'R2'!$L$19:$Q$19)</f>
        <v>0.92311634638663587</v>
      </c>
      <c r="I27" s="5">
        <f>SUMIF('R2'!$L$7:$Q$7,B27,'R2'!$L$20:$Q$20)</f>
        <v>1</v>
      </c>
      <c r="J27" s="5">
        <f t="shared" ref="J27:J37" si="24">I27/H27</f>
        <v>1.0832870676749584</v>
      </c>
      <c r="K27" s="55"/>
      <c r="L27" s="27">
        <f>SUMIF('R2'!$L$7:$Q$7,B27,'R2'!$L$11:$Q$11)</f>
        <v>0.26514049931399603</v>
      </c>
      <c r="M27" s="24">
        <f>SUMIF('R2'!$L$7:$Q$7,B27,'R2'!$L$12:$Q$12)</f>
        <v>0.73636544419780237</v>
      </c>
      <c r="N27" s="24">
        <f t="shared" si="0"/>
        <v>1.0015059435117983</v>
      </c>
      <c r="O27" s="55"/>
      <c r="P27" s="39">
        <f t="shared" si="1"/>
        <v>2.7772650579712161</v>
      </c>
      <c r="Q27" s="55"/>
      <c r="R27" s="27">
        <f>SUMIF('R2'!$L$7:$Q$7,B27,'R2'!$L$15:$Q$15)</f>
        <v>109613.8268010399</v>
      </c>
      <c r="S27" s="55"/>
      <c r="T27" s="27">
        <f>SUMIF('R2'!$L$7:$Q$7,B27,'R2'!$L$16:$Q$16)</f>
        <v>142917.4953025846</v>
      </c>
      <c r="U27" s="55"/>
      <c r="V27" s="24">
        <f t="shared" si="2"/>
        <v>1.3038272585993571</v>
      </c>
      <c r="W27" s="55"/>
      <c r="X27" s="27">
        <f>SUMIF('R2'!$L$7:$Q$7,B27,'R2'!$L$27:$Q$27)</f>
        <v>79742.572044224056</v>
      </c>
      <c r="Y27" s="55"/>
      <c r="Z27" s="27">
        <f>SUMIF('R2'!$L$7:$Q$7,B27,'R2'!$L$10:$Q$10)</f>
        <v>79862.65985320817</v>
      </c>
      <c r="AA27" s="55"/>
    </row>
    <row r="28" spans="1:27" x14ac:dyDescent="0.25">
      <c r="A28" s="98"/>
      <c r="B28" s="31">
        <v>2040</v>
      </c>
      <c r="C28" s="6">
        <f>SUMIF('R2'!$L$7:$Q$7,B28,'R2'!$L$17:$Q$17)</f>
        <v>17.447839999999999</v>
      </c>
      <c r="D28" s="43">
        <f>SUMIF('R2'!$L$7:$Q$7,B28,'R2'!$L$21:$Q$21)</f>
        <v>0.96439833420871968</v>
      </c>
      <c r="E28" s="35">
        <f>SUMIF('R2'!$L$7:$Q$7,B28,'R2'!$L$22:$Q$22)</f>
        <v>0.99844694181596516</v>
      </c>
      <c r="F28" s="47">
        <f t="shared" si="23"/>
        <v>1.0353055437773875</v>
      </c>
      <c r="G28" s="55"/>
      <c r="H28" s="4">
        <f>SUMIF('R2'!$L$7:$Q$7,B28,'R2'!$L$19:$Q$19)</f>
        <v>0.92311634638663587</v>
      </c>
      <c r="I28" s="5">
        <f>SUMIF('R2'!$L$7:$Q$7,B28,'R2'!$L$20:$Q$20)</f>
        <v>1</v>
      </c>
      <c r="J28" s="5">
        <f t="shared" si="24"/>
        <v>1.0832870676749584</v>
      </c>
      <c r="K28" s="55"/>
      <c r="L28" s="27">
        <f>SUMIF('R2'!$L$7:$Q$7,B28,'R2'!$L$11:$Q$11)</f>
        <v>0.26588057151300443</v>
      </c>
      <c r="M28" s="24">
        <f>SUMIF('R2'!$L$7:$Q$7,B28,'R2'!$L$12:$Q$12)</f>
        <v>1.370316692992275</v>
      </c>
      <c r="N28" s="24">
        <f t="shared" si="0"/>
        <v>1.6361972645052794</v>
      </c>
      <c r="O28" s="55"/>
      <c r="P28" s="40">
        <f t="shared" si="1"/>
        <v>5.1538805005361281</v>
      </c>
      <c r="Q28" s="55"/>
      <c r="R28" s="27">
        <f>SUMIF('R2'!$L$7:$Q$7,B28,'R2'!$L$15:$Q$15)</f>
        <v>200497.62255490059</v>
      </c>
      <c r="S28" s="55"/>
      <c r="T28" s="27">
        <f>SUMIF('R2'!$L$7:$Q$7,B28,'R2'!$L$16:$Q$16)</f>
        <v>261414.26557144479</v>
      </c>
      <c r="U28" s="55"/>
      <c r="V28" s="24">
        <f t="shared" si="2"/>
        <v>1.3038272585993578</v>
      </c>
      <c r="W28" s="55"/>
      <c r="X28" s="27">
        <f>SUMIF('R2'!$L$7:$Q$7,B28,'R2'!$L$27:$Q$27)</f>
        <v>150009.25288880811</v>
      </c>
      <c r="Y28" s="55"/>
      <c r="Z28" s="27">
        <f>SUMIF('R2'!$L$7:$Q$7,B28,'R2'!$L$10:$Q$10)</f>
        <v>245444.7292271484</v>
      </c>
      <c r="AA28" s="55"/>
    </row>
    <row r="29" spans="1:27" x14ac:dyDescent="0.25">
      <c r="A29" s="98"/>
      <c r="B29" s="31">
        <v>2060</v>
      </c>
      <c r="C29" s="6">
        <f>SUMIF('R2'!$L$7:$Q$7,B29,'R2'!$L$17:$Q$17)</f>
        <v>17.447839999999999</v>
      </c>
      <c r="D29" s="43">
        <f>SUMIF('R2'!$L$7:$Q$7,B29,'R2'!$L$21:$Q$21)</f>
        <v>0.96439833420871968</v>
      </c>
      <c r="E29" s="35">
        <f>SUMIF('R2'!$L$7:$Q$7,B29,'R2'!$L$22:$Q$22)</f>
        <v>0.99844694181596516</v>
      </c>
      <c r="F29" s="47">
        <f t="shared" si="23"/>
        <v>1.0353055437773875</v>
      </c>
      <c r="G29" s="55"/>
      <c r="H29" s="4">
        <f>SUMIF('R2'!$L$7:$Q$7,B29,'R2'!$L$19:$Q$19)</f>
        <v>0.92311634638663587</v>
      </c>
      <c r="I29" s="5">
        <f>SUMIF('R2'!$L$7:$Q$7,B29,'R2'!$L$20:$Q$20)</f>
        <v>1</v>
      </c>
      <c r="J29" s="5">
        <f t="shared" si="24"/>
        <v>1.0832870676749584</v>
      </c>
      <c r="K29" s="55"/>
      <c r="L29" s="27">
        <f>SUMIF('R2'!$L$7:$Q$7,B29,'R2'!$L$11:$Q$11)</f>
        <v>0.24847291520447939</v>
      </c>
      <c r="M29" s="24">
        <f>SUMIF('R2'!$L$7:$Q$7,B29,'R2'!$L$12:$Q$12)</f>
        <v>2.3764594843888571</v>
      </c>
      <c r="N29" s="24">
        <f t="shared" si="0"/>
        <v>2.6249323995933365</v>
      </c>
      <c r="O29" s="55"/>
      <c r="P29" s="40">
        <f t="shared" si="1"/>
        <v>9.5642596797045787</v>
      </c>
      <c r="Q29" s="55"/>
      <c r="R29" s="27">
        <f>SUMIF('R2'!$L$7:$Q$7,B29,'R2'!$L$15:$Q$15)</f>
        <v>309898.18916546792</v>
      </c>
      <c r="S29" s="55"/>
      <c r="T29" s="27">
        <f>SUMIF('R2'!$L$7:$Q$7,B29,'R2'!$L$16:$Q$16)</f>
        <v>404053.70642451697</v>
      </c>
      <c r="U29" s="55"/>
      <c r="V29" s="24">
        <f t="shared" si="2"/>
        <v>1.3038272585993569</v>
      </c>
      <c r="W29" s="55"/>
      <c r="X29" s="27">
        <f>SUMIF('R2'!$L$7:$Q$7,B29,'R2'!$L$27:$Q$27)</f>
        <v>236117.14833106019</v>
      </c>
      <c r="Y29" s="55"/>
      <c r="Z29" s="27">
        <f>SUMIF('R2'!$L$7:$Q$7,B29,'R2'!$L$10:$Q$10)</f>
        <v>619791.55275378539</v>
      </c>
      <c r="AA29" s="55"/>
    </row>
    <row r="30" spans="1:27" x14ac:dyDescent="0.25">
      <c r="A30" s="98"/>
      <c r="B30" s="31">
        <v>2080</v>
      </c>
      <c r="C30" s="6">
        <f>SUMIF('R2'!$L$7:$Q$7,B30,'R2'!$L$17:$Q$17)</f>
        <v>17.447839999999999</v>
      </c>
      <c r="D30" s="43">
        <f>SUMIF('R2'!$L$7:$Q$7,B30,'R2'!$L$21:$Q$21)</f>
        <v>0.96439833420871968</v>
      </c>
      <c r="E30" s="35">
        <f>SUMIF('R2'!$L$7:$Q$7,B30,'R2'!$L$22:$Q$22)</f>
        <v>0.99844694181596516</v>
      </c>
      <c r="F30" s="47">
        <f t="shared" si="23"/>
        <v>1.0353055437773875</v>
      </c>
      <c r="G30" s="55"/>
      <c r="H30" s="4">
        <f>SUMIF('R2'!$L$7:$Q$7,B30,'R2'!$L$19:$Q$19)</f>
        <v>0.92311634638663587</v>
      </c>
      <c r="I30" s="5">
        <f>SUMIF('R2'!$L$7:$Q$7,B30,'R2'!$L$20:$Q$20)</f>
        <v>1</v>
      </c>
      <c r="J30" s="5">
        <f t="shared" si="24"/>
        <v>1.0832870676749584</v>
      </c>
      <c r="K30" s="55"/>
      <c r="L30" s="27">
        <f>SUMIF('R2'!$L$7:$Q$7,B30,'R2'!$L$11:$Q$11)</f>
        <v>0.2221700132517532</v>
      </c>
      <c r="M30" s="24">
        <f>SUMIF('R2'!$L$7:$Q$7,B30,'R2'!$L$12:$Q$12)</f>
        <v>3.9432454838370941</v>
      </c>
      <c r="N30" s="24">
        <f t="shared" si="0"/>
        <v>4.1654154970888468</v>
      </c>
      <c r="O30" s="55"/>
      <c r="P30" s="40">
        <f t="shared" si="1"/>
        <v>17.748774580882721</v>
      </c>
      <c r="Q30" s="55"/>
      <c r="R30" s="27">
        <f>SUMIF('R2'!$L$7:$Q$7,B30,'R2'!$L$15:$Q$15)</f>
        <v>432120.26022089558</v>
      </c>
      <c r="S30" s="55"/>
      <c r="T30" s="27">
        <f>SUMIF('R2'!$L$7:$Q$7,B30,'R2'!$L$16:$Q$16)</f>
        <v>563410.17426905083</v>
      </c>
      <c r="U30" s="55"/>
      <c r="V30" s="24">
        <f t="shared" si="2"/>
        <v>1.3038272585993564</v>
      </c>
      <c r="W30" s="55"/>
      <c r="X30" s="27">
        <f>SUMIF('R2'!$L$7:$Q$7,B30,'R2'!$L$27:$Q$27)</f>
        <v>332855.22294734372</v>
      </c>
      <c r="Y30" s="55"/>
      <c r="Z30" s="27">
        <f>SUMIF('R2'!$L$7:$Q$7,B30,'R2'!$L$10:$Q$10)</f>
        <v>1386480.303951829</v>
      </c>
      <c r="AA30" s="55"/>
    </row>
    <row r="31" spans="1:27" ht="15.75" thickBot="1" x14ac:dyDescent="0.3">
      <c r="A31" s="99"/>
      <c r="B31" s="32">
        <v>2100</v>
      </c>
      <c r="C31" s="9">
        <f>SUMIF('R2'!$L$7:$Q$7,B31,'R2'!$L$17:$Q$17)</f>
        <v>17.447839999999999</v>
      </c>
      <c r="D31" s="44">
        <f>SUMIF('R2'!$L$7:$Q$7,B31,'R2'!$L$21:$Q$21)</f>
        <v>0.96439833420871968</v>
      </c>
      <c r="E31" s="36">
        <f>SUMIF('R2'!$L$7:$Q$7,B31,'R2'!$L$22:$Q$22)</f>
        <v>0.99844694181596516</v>
      </c>
      <c r="F31" s="48">
        <f t="shared" si="23"/>
        <v>1.0353055437773875</v>
      </c>
      <c r="G31" s="56"/>
      <c r="H31" s="7">
        <f>SUMIF('R2'!$L$7:$Q$7,B31,'R2'!$L$19:$Q$19)</f>
        <v>0.92311634638663587</v>
      </c>
      <c r="I31" s="8">
        <f>SUMIF('R2'!$L$7:$Q$7,B31,'R2'!$L$20:$Q$20)</f>
        <v>1</v>
      </c>
      <c r="J31" s="8">
        <f t="shared" si="24"/>
        <v>1.0832870676749584</v>
      </c>
      <c r="K31" s="56"/>
      <c r="L31" s="28">
        <f>SUMIF('R2'!$L$7:$Q$7,B31,'R2'!$L$11:$Q$11)</f>
        <v>0.1935564824648765</v>
      </c>
      <c r="M31" s="25">
        <f>SUMIF('R2'!$L$7:$Q$7,B31,'R2'!$L$12:$Q$12)</f>
        <v>6.3751896562615151</v>
      </c>
      <c r="N31" s="25">
        <f t="shared" si="0"/>
        <v>6.5687461387263912</v>
      </c>
      <c r="O31" s="56"/>
      <c r="P31" s="41">
        <f t="shared" si="1"/>
        <v>32.937102261188187</v>
      </c>
      <c r="Q31" s="56"/>
      <c r="R31" s="28">
        <f>SUMIF('R2'!$L$7:$Q$7,B31,'R2'!$L$15:$Q$15)</f>
        <v>567655.96896973415</v>
      </c>
      <c r="S31" s="56"/>
      <c r="T31" s="28">
        <f>SUMIF('R2'!$L$7:$Q$7,B31,'R2'!$L$16:$Q$16)</f>
        <v>740125.32584936998</v>
      </c>
      <c r="U31" s="56"/>
      <c r="V31" s="25">
        <f t="shared" si="2"/>
        <v>1.3038272585993567</v>
      </c>
      <c r="W31" s="56"/>
      <c r="X31" s="28">
        <f>SUMIF('R2'!$L$7:$Q$7,B31,'R2'!$L$27:$Q$27)</f>
        <v>439999.32611759641</v>
      </c>
      <c r="Y31" s="56"/>
      <c r="Z31" s="28">
        <f>SUMIF('R2'!$L$7:$Q$7,B31,'R2'!$L$10:$Q$10)</f>
        <v>2890243.874477176</v>
      </c>
      <c r="AA31" s="56"/>
    </row>
    <row r="32" spans="1:27" ht="15" customHeight="1" x14ac:dyDescent="0.25">
      <c r="A32" s="97" t="str">
        <f>'R2'!B1</f>
        <v>Northern Cape</v>
      </c>
      <c r="B32" s="21">
        <v>2000</v>
      </c>
      <c r="C32" s="3">
        <f>SUMIF('R2'!$L$7:$Q$7,B32,'R2'!$L$42:$Q$42)</f>
        <v>17.447839999999999</v>
      </c>
      <c r="D32" s="42">
        <f>SUMIF('R2'!$L$7:$Q$7,B32,'R2'!$L$46:$Q$46)</f>
        <v>1</v>
      </c>
      <c r="E32" s="34">
        <f>SUMIF('R2'!$L$7:$Q$7,B32,'R2'!$L$47:$Q$47)</f>
        <v>1</v>
      </c>
      <c r="F32" s="49">
        <f t="shared" si="23"/>
        <v>1</v>
      </c>
      <c r="G32" s="57">
        <f t="shared" ref="G32:G37" si="25">(F32-$F26)/$F26</f>
        <v>0</v>
      </c>
      <c r="H32" s="1">
        <f>SUMIF('R2'!$L$7:$Q$7,B32,'R2'!$L$44:$Q$44)</f>
        <v>0.92311634638663587</v>
      </c>
      <c r="I32" s="2">
        <f>SUMIF('R2'!$L$7:$Q$7,B32,'R2'!$L$45:$Q$45)</f>
        <v>1</v>
      </c>
      <c r="J32" s="2">
        <f t="shared" si="24"/>
        <v>1.0832870676749584</v>
      </c>
      <c r="K32" s="57">
        <f t="shared" ref="K32:K37" si="26">(J32-$J26)/$J26</f>
        <v>0</v>
      </c>
      <c r="L32" s="26">
        <f>SUMIF('R2'!$L$7:$Q$7,B32,'R2'!$L$36:$Q$36)</f>
        <v>0.23874911168999999</v>
      </c>
      <c r="M32" s="23">
        <f>SUMIF('R2'!$L$7:$Q$7,B32,'R2'!$L$37:$Q$37)</f>
        <v>0.35730745699799998</v>
      </c>
      <c r="N32" s="23">
        <f t="shared" si="0"/>
        <v>0.59605656868799994</v>
      </c>
      <c r="O32" s="57"/>
      <c r="P32" s="38">
        <f t="shared" si="1"/>
        <v>1.4965813044026743</v>
      </c>
      <c r="Q32" s="57">
        <f t="shared" ref="Q32:Q37" si="27">(P32-$P26)/$P26</f>
        <v>0</v>
      </c>
      <c r="R32" s="26">
        <f>SUMIF('R2'!$L$7:$Q$7,B32,'R2'!$L$40:$Q$40)</f>
        <v>45393.77360074802</v>
      </c>
      <c r="S32" s="57">
        <f t="shared" ref="S32:S37" si="28">(R32-$R26)/$R26</f>
        <v>0</v>
      </c>
      <c r="T32" s="26">
        <f>SUMIF('R2'!$L$7:$Q$7,B32,'R2'!$L$41:$Q$41)</f>
        <v>59185.639391343168</v>
      </c>
      <c r="U32" s="57">
        <f t="shared" ref="U32:U37" si="29">(T32-$T26)/$T26</f>
        <v>0</v>
      </c>
      <c r="V32" s="23">
        <f t="shared" si="2"/>
        <v>1.3038272585993573</v>
      </c>
      <c r="W32" s="57">
        <f t="shared" ref="W32:W37" si="30">(V32-$V26)/$V26</f>
        <v>0</v>
      </c>
      <c r="X32" s="26">
        <f>SUMIF('R2'!$L$7:$Q$7,B32,'R2'!$L$52:$Q$52)</f>
        <v>18427.26254075639</v>
      </c>
      <c r="Y32" s="57">
        <f t="shared" ref="Y32:Y37" si="31">(X32-$X26)/$X26</f>
        <v>0</v>
      </c>
      <c r="Z32" s="26">
        <f>SUMIF('R2'!$L$7:$Q$7,B32,'R2'!$L$35:$Q$35)</f>
        <v>19171.410103999999</v>
      </c>
      <c r="AA32" s="57">
        <f t="shared" ref="AA32:AA37" si="32">(Z32-$Z26)/$Z26</f>
        <v>0</v>
      </c>
    </row>
    <row r="33" spans="1:30" x14ac:dyDescent="0.25">
      <c r="A33" s="98"/>
      <c r="B33" s="31">
        <v>2020</v>
      </c>
      <c r="C33" s="14">
        <f>SUMIF('R2'!$L$7:$Q$7,B33,'R2'!$L$42:$Q$42)</f>
        <v>18.266200000000001</v>
      </c>
      <c r="D33" s="43">
        <f>SUMIF('R2'!$L$7:$Q$7,B33,'R2'!$L$46:$Q$46)</f>
        <v>0.94627095271536965</v>
      </c>
      <c r="E33" s="35">
        <f>SUMIF('R2'!$L$7:$Q$7,B33,'R2'!$L$47:$Q$47)</f>
        <v>0.99356517912022047</v>
      </c>
      <c r="F33" s="50">
        <f t="shared" si="23"/>
        <v>1.0499795817140301</v>
      </c>
      <c r="G33" s="58">
        <f t="shared" si="25"/>
        <v>1.4173630214615944E-2</v>
      </c>
      <c r="H33" s="4">
        <f>SUMIF('R2'!$L$7:$Q$7,B33,'R2'!$L$44:$Q$44)</f>
        <v>0.95122942450071424</v>
      </c>
      <c r="I33" s="5">
        <f>SUMIF('R2'!$L$7:$Q$7,B33,'R2'!$L$45:$Q$45)</f>
        <v>1</v>
      </c>
      <c r="J33" s="13">
        <f t="shared" si="24"/>
        <v>1.0512710963760239</v>
      </c>
      <c r="K33" s="58">
        <f t="shared" si="26"/>
        <v>-2.9554466451491831E-2</v>
      </c>
      <c r="L33" s="27">
        <f>SUMIF('R2'!$L$7:$Q$7,B33,'R2'!$L$36:$Q$36)</f>
        <v>0.26430810337868738</v>
      </c>
      <c r="M33" s="24">
        <f>SUMIF('R2'!$L$7:$Q$7,B33,'R2'!$L$37:$Q$37)</f>
        <v>0.73698209791654368</v>
      </c>
      <c r="N33" s="24">
        <f t="shared" si="0"/>
        <v>1.0012902012952312</v>
      </c>
      <c r="O33" s="58"/>
      <c r="P33" s="39">
        <f t="shared" si="1"/>
        <v>2.7883446950570137</v>
      </c>
      <c r="Q33" s="58">
        <f t="shared" si="27"/>
        <v>3.9894057119240732E-3</v>
      </c>
      <c r="R33" s="27">
        <f>SUMIF('R2'!$L$7:$Q$7,B33,'R2'!$L$40:$Q$40)</f>
        <v>109970.4914349871</v>
      </c>
      <c r="S33" s="58">
        <f t="shared" si="28"/>
        <v>3.2538288677264582E-3</v>
      </c>
      <c r="T33" s="27">
        <f>SUMIF('R2'!$L$7:$Q$7,B33,'R2'!$L$41:$Q$41)</f>
        <v>141378.67531042109</v>
      </c>
      <c r="U33" s="58">
        <f t="shared" si="29"/>
        <v>-1.0767191160924863E-2</v>
      </c>
      <c r="V33" s="24">
        <f t="shared" si="2"/>
        <v>1.2856055607790209</v>
      </c>
      <c r="W33" s="58">
        <f t="shared" si="30"/>
        <v>-1.3975545993654845E-2</v>
      </c>
      <c r="X33" s="27">
        <f>SUMIF('R2'!$L$7:$Q$7,B33,'R2'!$L$52:$Q$52)</f>
        <v>78515.190280982453</v>
      </c>
      <c r="Y33" s="58">
        <f t="shared" si="31"/>
        <v>-1.5391800537370617E-2</v>
      </c>
      <c r="Z33" s="27">
        <f>SUMIF('R2'!$L$7:$Q$7,B33,'R2'!$L$35:$Q$35)</f>
        <v>78616.4906811783</v>
      </c>
      <c r="AA33" s="58">
        <f t="shared" si="32"/>
        <v>-1.5603902678928989E-2</v>
      </c>
    </row>
    <row r="34" spans="1:30" x14ac:dyDescent="0.25">
      <c r="A34" s="98"/>
      <c r="B34" s="31">
        <v>2040</v>
      </c>
      <c r="C34" s="6">
        <f>SUMIF('R2'!$L$7:$Q$7,B34,'R2'!$L$42:$Q$42)</f>
        <v>19.079370000000001</v>
      </c>
      <c r="D34" s="43">
        <f>SUMIF('R2'!$L$7:$Q$7,B34,'R2'!$L$46:$Q$46)</f>
        <v>0.91693862656807257</v>
      </c>
      <c r="E34" s="35">
        <f>SUMIF('R2'!$L$7:$Q$7,B34,'R2'!$L$47:$Q$47)</f>
        <v>0.98197288977586894</v>
      </c>
      <c r="F34" s="50">
        <f t="shared" si="23"/>
        <v>1.0709254265481294</v>
      </c>
      <c r="G34" s="58">
        <f t="shared" si="25"/>
        <v>3.4405188868959567E-2</v>
      </c>
      <c r="H34" s="4">
        <f>SUMIF('R2'!$L$7:$Q$7,B34,'R2'!$L$44:$Q$44)</f>
        <v>0.97044553354850793</v>
      </c>
      <c r="I34" s="5">
        <f>SUMIF('R2'!$L$7:$Q$7,B34,'R2'!$L$45:$Q$45)</f>
        <v>1</v>
      </c>
      <c r="J34" s="5">
        <f t="shared" si="24"/>
        <v>1.0304545339535172</v>
      </c>
      <c r="K34" s="58">
        <f t="shared" si="26"/>
        <v>-4.8770575499285589E-2</v>
      </c>
      <c r="L34" s="27">
        <f>SUMIF('R2'!$L$7:$Q$7,B34,'R2'!$L$36:$Q$36)</f>
        <v>0.26488497675161782</v>
      </c>
      <c r="M34" s="24">
        <f>SUMIF('R2'!$L$7:$Q$7,B34,'R2'!$L$37:$Q$37)</f>
        <v>1.370716626041647</v>
      </c>
      <c r="N34" s="24">
        <f t="shared" si="0"/>
        <v>1.6356016027932649</v>
      </c>
      <c r="O34" s="58"/>
      <c r="P34" s="40">
        <f t="shared" si="1"/>
        <v>5.174761675242026</v>
      </c>
      <c r="Q34" s="58">
        <f t="shared" si="27"/>
        <v>4.051544210954397E-3</v>
      </c>
      <c r="R34" s="27">
        <f>SUMIF('R2'!$L$7:$Q$7,B34,'R2'!$L$40:$Q$40)</f>
        <v>202230.46096491319</v>
      </c>
      <c r="S34" s="58">
        <f t="shared" si="28"/>
        <v>8.6426880674762615E-3</v>
      </c>
      <c r="T34" s="27">
        <f>SUMIF('R2'!$L$7:$Q$7,B34,'R2'!$L$41:$Q$41)</f>
        <v>254903.58165495409</v>
      </c>
      <c r="U34" s="58">
        <f t="shared" si="29"/>
        <v>-2.4905618299974997E-2</v>
      </c>
      <c r="V34" s="24">
        <f t="shared" si="2"/>
        <v>1.2604608644944919</v>
      </c>
      <c r="W34" s="58">
        <f t="shared" si="30"/>
        <v>-3.3260843274171469E-2</v>
      </c>
      <c r="X34" s="27">
        <f>SUMIF('R2'!$L$7:$Q$7,B34,'R2'!$L$52:$Q$52)</f>
        <v>143881.10980911739</v>
      </c>
      <c r="Y34" s="58">
        <f t="shared" si="31"/>
        <v>-4.0851767218873541E-2</v>
      </c>
      <c r="Z34" s="27">
        <f>SUMIF('R2'!$L$7:$Q$7,B34,'R2'!$L$35:$Q$35)</f>
        <v>235332.17381546611</v>
      </c>
      <c r="AA34" s="58">
        <f t="shared" si="32"/>
        <v>-4.1200947535212945E-2</v>
      </c>
    </row>
    <row r="35" spans="1:30" x14ac:dyDescent="0.25">
      <c r="A35" s="98"/>
      <c r="B35" s="31">
        <v>2060</v>
      </c>
      <c r="C35" s="6">
        <f>SUMIF('R2'!$L$7:$Q$7,B35,'R2'!$L$42:$Q$42)</f>
        <v>19.696829999999999</v>
      </c>
      <c r="D35" s="43">
        <f>SUMIF('R2'!$L$7:$Q$7,B35,'R2'!$L$46:$Q$46)</f>
        <v>0.89139111669784621</v>
      </c>
      <c r="E35" s="35">
        <f>SUMIF('R2'!$L$7:$Q$7,B35,'R2'!$L$47:$Q$47)</f>
        <v>0.96957624782154495</v>
      </c>
      <c r="F35" s="50">
        <f t="shared" si="23"/>
        <v>1.0877113644719001</v>
      </c>
      <c r="G35" s="58">
        <f t="shared" si="25"/>
        <v>5.0618699966877567E-2</v>
      </c>
      <c r="H35" s="4">
        <f>SUMIF('R2'!$L$7:$Q$7,B35,'R2'!$L$44:$Q$44)</f>
        <v>0.99004983374916744</v>
      </c>
      <c r="I35" s="5">
        <f>SUMIF('R2'!$L$7:$Q$7,B35,'R2'!$L$45:$Q$45)</f>
        <v>1</v>
      </c>
      <c r="J35" s="5">
        <f t="shared" si="24"/>
        <v>1.0100501670841686</v>
      </c>
      <c r="K35" s="58">
        <f t="shared" si="26"/>
        <v>-6.760618009405113E-2</v>
      </c>
      <c r="L35" s="27">
        <f>SUMIF('R2'!$L$7:$Q$7,B35,'R2'!$L$36:$Q$36)</f>
        <v>0.24719666867443571</v>
      </c>
      <c r="M35" s="24">
        <f>SUMIF('R2'!$L$7:$Q$7,B35,'R2'!$L$37:$Q$37)</f>
        <v>2.3764727822043539</v>
      </c>
      <c r="N35" s="24">
        <f t="shared" si="0"/>
        <v>2.6236694508787894</v>
      </c>
      <c r="O35" s="58"/>
      <c r="P35" s="40">
        <f t="shared" si="1"/>
        <v>9.6136925911984221</v>
      </c>
      <c r="Q35" s="58">
        <f t="shared" si="27"/>
        <v>5.1685036949321228E-3</v>
      </c>
      <c r="R35" s="27">
        <f>SUMIF('R2'!$L$7:$Q$7,B35,'R2'!$L$40:$Q$40)</f>
        <v>313899.54474447208</v>
      </c>
      <c r="S35" s="58">
        <f t="shared" si="28"/>
        <v>1.2911839174599572E-2</v>
      </c>
      <c r="T35" s="27">
        <f>SUMIF('R2'!$L$7:$Q$7,B35,'R2'!$L$41:$Q$41)</f>
        <v>389552.15903988219</v>
      </c>
      <c r="U35" s="58">
        <f t="shared" si="29"/>
        <v>-3.589014815124307E-2</v>
      </c>
      <c r="V35" s="24">
        <f t="shared" si="2"/>
        <v>1.2410089965469515</v>
      </c>
      <c r="W35" s="58">
        <f t="shared" si="30"/>
        <v>-4.8179896253962518E-2</v>
      </c>
      <c r="X35" s="27">
        <f>SUMIF('R2'!$L$7:$Q$7,B35,'R2'!$L$52:$Q$52)</f>
        <v>221086.33331469301</v>
      </c>
      <c r="Y35" s="58">
        <f t="shared" si="31"/>
        <v>-6.3658294717723996E-2</v>
      </c>
      <c r="Z35" s="27">
        <f>SUMIF('R2'!$L$7:$Q$7,B35,'R2'!$L$35:$Q$35)</f>
        <v>580057.45872456557</v>
      </c>
      <c r="AA35" s="58">
        <f t="shared" si="32"/>
        <v>-6.4108802149170863E-2</v>
      </c>
    </row>
    <row r="36" spans="1:30" x14ac:dyDescent="0.25">
      <c r="A36" s="98"/>
      <c r="B36" s="31">
        <v>2080</v>
      </c>
      <c r="C36" s="6">
        <f>SUMIF('R2'!$L$7:$Q$7,B36,'R2'!$L$42:$Q$42)</f>
        <v>20.011869999999998</v>
      </c>
      <c r="D36" s="43">
        <f>SUMIF('R2'!$L$7:$Q$7,B36,'R2'!$L$46:$Q$46)</f>
        <v>0.88225365744265238</v>
      </c>
      <c r="E36" s="35">
        <f>SUMIF('R2'!$L$7:$Q$7,B36,'R2'!$L$47:$Q$47)</f>
        <v>0.96476277921532627</v>
      </c>
      <c r="F36" s="50">
        <f t="shared" si="23"/>
        <v>1.0935208611226834</v>
      </c>
      <c r="G36" s="58">
        <f t="shared" si="25"/>
        <v>5.623008366486007E-2</v>
      </c>
      <c r="H36" s="4">
        <f>SUMIF('R2'!$L$7:$Q$7,B36,'R2'!$L$44:$Q$44)</f>
        <v>0.99004983374916744</v>
      </c>
      <c r="I36" s="5">
        <f>SUMIF('R2'!$L$7:$Q$7,B36,'R2'!$L$45:$Q$45)</f>
        <v>1</v>
      </c>
      <c r="J36" s="5">
        <f t="shared" si="24"/>
        <v>1.0100501670841686</v>
      </c>
      <c r="K36" s="58">
        <f t="shared" si="26"/>
        <v>-6.760618009405113E-2</v>
      </c>
      <c r="L36" s="27">
        <f>SUMIF('R2'!$L$7:$Q$7,B36,'R2'!$L$36:$Q$36)</f>
        <v>0.22124951408332691</v>
      </c>
      <c r="M36" s="24">
        <f>SUMIF('R2'!$L$7:$Q$7,B36,'R2'!$L$37:$Q$37)</f>
        <v>3.941950980858667</v>
      </c>
      <c r="N36" s="24">
        <f t="shared" si="0"/>
        <v>4.1632004949419938</v>
      </c>
      <c r="O36" s="58"/>
      <c r="P36" s="40">
        <f t="shared" si="1"/>
        <v>17.816766726882172</v>
      </c>
      <c r="Q36" s="58">
        <f t="shared" si="27"/>
        <v>3.8308079067433565E-3</v>
      </c>
      <c r="R36" s="27">
        <f>SUMIF('R2'!$L$7:$Q$7,B36,'R2'!$L$40:$Q$40)</f>
        <v>439054.67876109842</v>
      </c>
      <c r="S36" s="58">
        <f t="shared" si="28"/>
        <v>1.6047427483863015E-2</v>
      </c>
      <c r="T36" s="27">
        <f>SUMIF('R2'!$L$7:$Q$7,B36,'R2'!$L$41:$Q$41)</f>
        <v>541976.09691066353</v>
      </c>
      <c r="U36" s="58">
        <f t="shared" si="29"/>
        <v>-3.8043468750267311E-2</v>
      </c>
      <c r="V36" s="24">
        <f t="shared" si="2"/>
        <v>1.2344159466424169</v>
      </c>
      <c r="W36" s="58">
        <f t="shared" si="30"/>
        <v>-5.3236585981109939E-2</v>
      </c>
      <c r="X36" s="27">
        <f>SUMIF('R2'!$L$7:$Q$7,B36,'R2'!$L$52:$Q$52)</f>
        <v>309405.74229565868</v>
      </c>
      <c r="Y36" s="58">
        <f t="shared" si="31"/>
        <v>-7.0449489853414871E-2</v>
      </c>
      <c r="Z36" s="27">
        <f>SUMIF('R2'!$L$7:$Q$7,B36,'R2'!$L$35:$Q$35)</f>
        <v>1288118.1394631809</v>
      </c>
      <c r="AA36" s="58">
        <f t="shared" si="32"/>
        <v>-7.0943787811691486E-2</v>
      </c>
    </row>
    <row r="37" spans="1:30" ht="15.75" thickBot="1" x14ac:dyDescent="0.3">
      <c r="A37" s="99"/>
      <c r="B37" s="32">
        <v>2100</v>
      </c>
      <c r="C37" s="9">
        <f>SUMIF('R2'!$L$7:$Q$7,B37,'R2'!$L$42:$Q$42)</f>
        <v>20.236989999999999</v>
      </c>
      <c r="D37" s="44">
        <f>SUMIF('R2'!$L$7:$Q$7,B37,'R2'!$L$46:$Q$46)</f>
        <v>0.87282505847383773</v>
      </c>
      <c r="E37" s="36">
        <f>SUMIF('R2'!$L$7:$Q$7,B37,'R2'!$L$47:$Q$47)</f>
        <v>0.95961542839364711</v>
      </c>
      <c r="F37" s="51">
        <f t="shared" si="23"/>
        <v>1.0994361574260541</v>
      </c>
      <c r="G37" s="59">
        <f t="shared" si="25"/>
        <v>6.1943659081242206E-2</v>
      </c>
      <c r="H37" s="7">
        <f>SUMIF('R2'!$L$7:$Q$7,B37,'R2'!$L$44:$Q$44)</f>
        <v>0.99004983374916744</v>
      </c>
      <c r="I37" s="8">
        <f>SUMIF('R2'!$L$7:$Q$7,B37,'R2'!$L$45:$Q$45)</f>
        <v>1</v>
      </c>
      <c r="J37" s="8">
        <f t="shared" si="24"/>
        <v>1.0100501670841686</v>
      </c>
      <c r="K37" s="59">
        <f t="shared" si="26"/>
        <v>-6.760618009405113E-2</v>
      </c>
      <c r="L37" s="28">
        <f>SUMIF('R2'!$L$7:$Q$7,B37,'R2'!$L$36:$Q$36)</f>
        <v>0.1929858860619843</v>
      </c>
      <c r="M37" s="25">
        <f>SUMIF('R2'!$L$7:$Q$7,B37,'R2'!$L$37:$Q$37)</f>
        <v>6.3721460430097698</v>
      </c>
      <c r="N37" s="25">
        <f t="shared" si="0"/>
        <v>6.5651319290717538</v>
      </c>
      <c r="O37" s="59"/>
      <c r="P37" s="41">
        <f t="shared" si="1"/>
        <v>33.018715373636844</v>
      </c>
      <c r="Q37" s="59">
        <f t="shared" si="27"/>
        <v>2.4778473771454746E-3</v>
      </c>
      <c r="R37" s="33">
        <f>SUMIF('R2'!$L$7:$Q$7,B37,'R2'!$L$40:$Q$40)</f>
        <v>577809.50581014808</v>
      </c>
      <c r="S37" s="59">
        <f t="shared" si="28"/>
        <v>1.7886778956701658E-2</v>
      </c>
      <c r="T37" s="28">
        <f>SUMIF('R2'!$L$7:$Q$7,B37,'R2'!$L$41:$Q$41)</f>
        <v>709419.73004940769</v>
      </c>
      <c r="U37" s="59">
        <f t="shared" si="29"/>
        <v>-4.1487022167123466E-2</v>
      </c>
      <c r="V37" s="25">
        <f t="shared" si="2"/>
        <v>1.2277744185858082</v>
      </c>
      <c r="W37" s="59">
        <f t="shared" si="30"/>
        <v>-5.8330457130685145E-2</v>
      </c>
      <c r="X37" s="28">
        <f>SUMIF('R2'!$L$7:$Q$7,B37,'R2'!$L$52:$Q$52)</f>
        <v>405350.07503516198</v>
      </c>
      <c r="Y37" s="59">
        <f t="shared" si="31"/>
        <v>-7.8748418521836339E-2</v>
      </c>
      <c r="Z37" s="28">
        <f>SUMIF('R2'!$L$7:$Q$7,B37,'R2'!$L$35:$Q$35)</f>
        <v>2661176.720064973</v>
      </c>
      <c r="AA37" s="59">
        <f t="shared" si="32"/>
        <v>-7.9255303137227326E-2</v>
      </c>
    </row>
    <row r="38" spans="1:30" x14ac:dyDescent="0.25">
      <c r="A38" s="94" t="s">
        <v>6</v>
      </c>
      <c r="B38" s="21">
        <v>2000</v>
      </c>
      <c r="C38" s="3">
        <f>SUMIF('R3'!$L$7:$Q$7,B38,'R3'!$L$17:$Q$17)</f>
        <v>15.19354</v>
      </c>
      <c r="D38" s="42">
        <f>SUMIF('R3'!$L$7:$Q$7,B38,'R3'!$L$21:$Q$21)</f>
        <v>1</v>
      </c>
      <c r="E38" s="34">
        <f>SUMIF('R3'!$L$7:$Q$7,B38,'R3'!$L$22:$Q$22)</f>
        <v>1</v>
      </c>
      <c r="F38" s="45">
        <f>E38/D38</f>
        <v>1</v>
      </c>
      <c r="G38" s="53"/>
      <c r="H38" s="1">
        <f>SUMIF('R3'!$L$7:$Q$7,B38,'R3'!$L$19:$Q$19)</f>
        <v>0.81873075307798171</v>
      </c>
      <c r="I38" s="2">
        <f>SUMIF('R3'!$L$7:$Q$7,B38,'R3'!$L$20:$Q$20)</f>
        <v>1</v>
      </c>
      <c r="J38" s="2">
        <f>I38/H38</f>
        <v>1.2214027581601701</v>
      </c>
      <c r="K38" s="53"/>
      <c r="L38" s="26">
        <f>SUMIF('R3'!$L$7:$Q$7,B38,'R3'!$L$11:$Q$11)</f>
        <v>0.75821948022449992</v>
      </c>
      <c r="M38" s="24">
        <f>SUMIF('R3'!$L$7:$Q$7,B38,'R3'!$L$12:$Q$12)</f>
        <v>1.1347370987379</v>
      </c>
      <c r="N38" s="23">
        <f t="shared" si="0"/>
        <v>1.8929565789623999</v>
      </c>
      <c r="O38" s="53"/>
      <c r="P38" s="38">
        <f t="shared" si="1"/>
        <v>1.4965813044026746</v>
      </c>
      <c r="Q38" s="53"/>
      <c r="R38" s="26">
        <f>SUMIF('R3'!$L$7:$Q$7,B38,'R3'!$L$15:$Q$15)</f>
        <v>44364.207815122681</v>
      </c>
      <c r="S38" s="53"/>
      <c r="T38" s="26">
        <f>SUMIF('R3'!$L$7:$Q$7,B38,'R3'!$L$16:$Q$16)</f>
        <v>60345.050465605484</v>
      </c>
      <c r="U38" s="53"/>
      <c r="V38" s="23">
        <f t="shared" si="2"/>
        <v>1.3602192721907529</v>
      </c>
      <c r="W38" s="53"/>
      <c r="X38" s="26">
        <f>SUMIF('R3'!$L$7:$Q$7,B38,'R3'!$L$27:$Q$27)</f>
        <v>18427.26254075639</v>
      </c>
      <c r="Y38" s="53"/>
      <c r="Z38" s="26">
        <f>SUMIF('R3'!$L$7:$Q$7,B38,'R3'!$L$10:$Q$10)</f>
        <v>60884.568329200003</v>
      </c>
      <c r="AA38" s="53"/>
      <c r="AB38" s="5"/>
      <c r="AC38" s="5"/>
      <c r="AD38" s="5"/>
    </row>
    <row r="39" spans="1:30" s="10" customFormat="1" x14ac:dyDescent="0.25">
      <c r="A39" s="95"/>
      <c r="B39" s="31">
        <v>2020</v>
      </c>
      <c r="C39" s="14">
        <f>SUMIF('R3'!$L$7:$Q$7,B39,'R3'!$L$17:$Q$17)</f>
        <v>15.19354</v>
      </c>
      <c r="D39" s="43">
        <f>SUMIF('R3'!$L$7:$Q$7,B39,'R3'!$L$21:$Q$21)</f>
        <v>0.99826693183986537</v>
      </c>
      <c r="E39" s="35">
        <f>SUMIF('R3'!$L$7:$Q$7,B39,'R3'!$L$22:$Q$22)</f>
        <v>0.99066394502072841</v>
      </c>
      <c r="F39" s="46">
        <f t="shared" ref="F39:F49" si="33">E39/D39</f>
        <v>0.99238381381107732</v>
      </c>
      <c r="G39" s="54"/>
      <c r="H39" s="4">
        <f>SUMIF('R3'!$L$7:$Q$7,B39,'R3'!$L$19:$Q$19)</f>
        <v>0.81873075307798171</v>
      </c>
      <c r="I39" s="5">
        <f>SUMIF('R3'!$L$7:$Q$7,B39,'R3'!$L$20:$Q$20)</f>
        <v>1</v>
      </c>
      <c r="J39" s="5">
        <f t="shared" ref="J39:J49" si="34">I39/H39</f>
        <v>1.2214027581601701</v>
      </c>
      <c r="K39" s="55"/>
      <c r="L39" s="27">
        <f>SUMIF('R3'!$L$7:$Q$7,B39,'R3'!$L$11:$Q$11)</f>
        <v>0.84203325471364565</v>
      </c>
      <c r="M39" s="24">
        <f>SUMIF('R3'!$L$7:$Q$7,B39,'R3'!$L$12:$Q$12)</f>
        <v>2.3385495359659849</v>
      </c>
      <c r="N39" s="24">
        <f t="shared" si="0"/>
        <v>3.1805827906796305</v>
      </c>
      <c r="O39" s="55"/>
      <c r="P39" s="39">
        <f t="shared" si="1"/>
        <v>2.7772650579712161</v>
      </c>
      <c r="Q39" s="55"/>
      <c r="R39" s="27">
        <f>SUMIF('R3'!$L$7:$Q$7,B39,'R3'!$L$15:$Q$15)</f>
        <v>108634.0552435243</v>
      </c>
      <c r="S39" s="55"/>
      <c r="T39" s="27">
        <f>SUMIF('R3'!$L$7:$Q$7,B39,'R3'!$L$16:$Q$16)</f>
        <v>147766.1355584767</v>
      </c>
      <c r="U39" s="55"/>
      <c r="V39" s="24">
        <f t="shared" si="2"/>
        <v>1.3602192721907531</v>
      </c>
      <c r="W39" s="55"/>
      <c r="X39" s="27">
        <f>SUMIF('R3'!$L$7:$Q$7,B39,'R3'!$L$27:$Q$27)</f>
        <v>81805.240320235811</v>
      </c>
      <c r="Y39" s="55"/>
      <c r="Z39" s="27">
        <f>SUMIF('R3'!$L$7:$Q$7,B39,'R3'!$L$10:$Q$10)</f>
        <v>260188.3395499535</v>
      </c>
      <c r="AA39" s="55"/>
      <c r="AB39" s="13"/>
      <c r="AC39" s="13"/>
      <c r="AD39" s="13"/>
    </row>
    <row r="40" spans="1:30" x14ac:dyDescent="0.25">
      <c r="A40" s="95"/>
      <c r="B40" s="31">
        <v>2040</v>
      </c>
      <c r="C40" s="6">
        <f>SUMIF('R3'!$L$7:$Q$7,B40,'R3'!$L$17:$Q$17)</f>
        <v>15.19354</v>
      </c>
      <c r="D40" s="43">
        <f>SUMIF('R3'!$L$7:$Q$7,B40,'R3'!$L$21:$Q$21)</f>
        <v>0.99826693183986537</v>
      </c>
      <c r="E40" s="35">
        <f>SUMIF('R3'!$L$7:$Q$7,B40,'R3'!$L$22:$Q$22)</f>
        <v>0.99066394502072841</v>
      </c>
      <c r="F40" s="47">
        <f t="shared" si="33"/>
        <v>0.99238381381107732</v>
      </c>
      <c r="G40" s="55"/>
      <c r="H40" s="4">
        <f>SUMIF('R3'!$L$7:$Q$7,B40,'R3'!$L$19:$Q$19)</f>
        <v>0.81873075307798171</v>
      </c>
      <c r="I40" s="5">
        <f>SUMIF('R3'!$L$7:$Q$7,B40,'R3'!$L$20:$Q$20)</f>
        <v>1</v>
      </c>
      <c r="J40" s="5">
        <f t="shared" si="34"/>
        <v>1.2214027581601701</v>
      </c>
      <c r="K40" s="55"/>
      <c r="L40" s="27">
        <f>SUMIF('R3'!$L$7:$Q$7,B40,'R3'!$L$11:$Q$11)</f>
        <v>0.84438357616233595</v>
      </c>
      <c r="M40" s="24">
        <f>SUMIF('R3'!$L$7:$Q$7,B40,'R3'!$L$12:$Q$12)</f>
        <v>4.3518520481560241</v>
      </c>
      <c r="N40" s="24">
        <f t="shared" si="0"/>
        <v>5.1962356243183603</v>
      </c>
      <c r="O40" s="55"/>
      <c r="P40" s="40">
        <f t="shared" si="1"/>
        <v>5.1538805005361263</v>
      </c>
      <c r="Q40" s="55"/>
      <c r="R40" s="27">
        <f>SUMIF('R3'!$L$7:$Q$7,B40,'R3'!$L$15:$Q$15)</f>
        <v>196040.7048850698</v>
      </c>
      <c r="S40" s="55"/>
      <c r="T40" s="27">
        <f>SUMIF('R3'!$L$7:$Q$7,B40,'R3'!$L$16:$Q$16)</f>
        <v>266658.34491853189</v>
      </c>
      <c r="U40" s="55"/>
      <c r="V40" s="24">
        <f t="shared" si="2"/>
        <v>1.3602192721907531</v>
      </c>
      <c r="W40" s="55"/>
      <c r="X40" s="27">
        <f>SUMIF('R3'!$L$7:$Q$7,B40,'R3'!$L$27:$Q$27)</f>
        <v>151825.70616905531</v>
      </c>
      <c r="Y40" s="55"/>
      <c r="Z40" s="27">
        <f>SUMIF('R3'!$L$7:$Q$7,B40,'R3'!$L$10:$Q$10)</f>
        <v>788922.14308293711</v>
      </c>
      <c r="AA40" s="55"/>
      <c r="AB40" s="5"/>
      <c r="AC40" s="5"/>
      <c r="AD40" s="5"/>
    </row>
    <row r="41" spans="1:30" x14ac:dyDescent="0.25">
      <c r="A41" s="95"/>
      <c r="B41" s="31">
        <v>2060</v>
      </c>
      <c r="C41" s="6">
        <f>SUMIF('R3'!$L$7:$Q$7,B41,'R3'!$L$17:$Q$17)</f>
        <v>15.19354</v>
      </c>
      <c r="D41" s="43">
        <f>SUMIF('R3'!$L$7:$Q$7,B41,'R3'!$L$21:$Q$21)</f>
        <v>0.99826693183986537</v>
      </c>
      <c r="E41" s="35">
        <f>SUMIF('R3'!$L$7:$Q$7,B41,'R3'!$L$22:$Q$22)</f>
        <v>0.99066394502072841</v>
      </c>
      <c r="F41" s="47">
        <f t="shared" si="33"/>
        <v>0.99238381381107732</v>
      </c>
      <c r="G41" s="55"/>
      <c r="H41" s="4">
        <f>SUMIF('R3'!$L$7:$Q$7,B41,'R3'!$L$19:$Q$19)</f>
        <v>0.81873075307798171</v>
      </c>
      <c r="I41" s="5">
        <f>SUMIF('R3'!$L$7:$Q$7,B41,'R3'!$L$20:$Q$20)</f>
        <v>1</v>
      </c>
      <c r="J41" s="5">
        <f t="shared" si="34"/>
        <v>1.2214027581601701</v>
      </c>
      <c r="K41" s="55"/>
      <c r="L41" s="27">
        <f>SUMIF('R3'!$L$7:$Q$7,B41,'R3'!$L$11:$Q$11)</f>
        <v>0.78910033751592634</v>
      </c>
      <c r="M41" s="24">
        <f>SUMIF('R3'!$L$7:$Q$7,B41,'R3'!$L$12:$Q$12)</f>
        <v>7.547160541344847</v>
      </c>
      <c r="N41" s="24">
        <f t="shared" si="0"/>
        <v>8.3362608788607737</v>
      </c>
      <c r="O41" s="55"/>
      <c r="P41" s="40">
        <f t="shared" si="1"/>
        <v>9.5642596797045769</v>
      </c>
      <c r="Q41" s="55"/>
      <c r="R41" s="27">
        <f>SUMIF('R3'!$L$7:$Q$7,B41,'R3'!$L$15:$Q$15)</f>
        <v>300439.14844479109</v>
      </c>
      <c r="S41" s="55"/>
      <c r="T41" s="27">
        <f>SUMIF('R3'!$L$7:$Q$7,B41,'R3'!$L$16:$Q$16)</f>
        <v>408663.11983518308</v>
      </c>
      <c r="U41" s="55"/>
      <c r="V41" s="24">
        <f t="shared" si="2"/>
        <v>1.3602192721907522</v>
      </c>
      <c r="W41" s="55"/>
      <c r="X41" s="27">
        <f>SUMIF('R3'!$L$7:$Q$7,B41,'R3'!$L$27:$Q$27)</f>
        <v>236949.20004547</v>
      </c>
      <c r="Y41" s="55"/>
      <c r="Z41" s="27">
        <f>SUMIF('R3'!$L$7:$Q$7,B41,'R3'!$L$10:$Q$10)</f>
        <v>1975270.3466164069</v>
      </c>
      <c r="AA41" s="55"/>
      <c r="AB41" s="5"/>
      <c r="AC41" s="5"/>
      <c r="AD41" s="5"/>
    </row>
    <row r="42" spans="1:30" x14ac:dyDescent="0.25">
      <c r="A42" s="95"/>
      <c r="B42" s="31">
        <v>2080</v>
      </c>
      <c r="C42" s="6">
        <f>SUMIF('R3'!$L$7:$Q$7,B42,'R3'!$L$17:$Q$17)</f>
        <v>15.19354</v>
      </c>
      <c r="D42" s="43">
        <f>SUMIF('R3'!$L$7:$Q$7,B42,'R3'!$L$21:$Q$21)</f>
        <v>0.99826693183986537</v>
      </c>
      <c r="E42" s="35">
        <f>SUMIF('R3'!$L$7:$Q$7,B42,'R3'!$L$22:$Q$22)</f>
        <v>0.99066394502072841</v>
      </c>
      <c r="F42" s="47">
        <f t="shared" si="33"/>
        <v>0.99238381381107732</v>
      </c>
      <c r="G42" s="55"/>
      <c r="H42" s="4">
        <f>SUMIF('R3'!$L$7:$Q$7,B42,'R3'!$L$19:$Q$19)</f>
        <v>0.81873075307798171</v>
      </c>
      <c r="I42" s="5">
        <f>SUMIF('R3'!$L$7:$Q$7,B42,'R3'!$L$20:$Q$20)</f>
        <v>1</v>
      </c>
      <c r="J42" s="5">
        <f t="shared" si="34"/>
        <v>1.2214027581601701</v>
      </c>
      <c r="K42" s="55"/>
      <c r="L42" s="27">
        <f>SUMIF('R3'!$L$7:$Q$7,B42,'R3'!$L$11:$Q$11)</f>
        <v>0.70556757584061891</v>
      </c>
      <c r="M42" s="24">
        <f>SUMIF('R3'!$L$7:$Q$7,B42,'R3'!$L$12:$Q$12)</f>
        <v>12.522959855175021</v>
      </c>
      <c r="N42" s="24">
        <f t="shared" si="0"/>
        <v>13.228527431015639</v>
      </c>
      <c r="O42" s="55"/>
      <c r="P42" s="40">
        <f t="shared" si="1"/>
        <v>17.748774580882724</v>
      </c>
      <c r="Q42" s="55"/>
      <c r="R42" s="27">
        <f>SUMIF('R3'!$L$7:$Q$7,B42,'R3'!$L$15:$Q$15)</f>
        <v>416829.90615871153</v>
      </c>
      <c r="S42" s="55"/>
      <c r="T42" s="27">
        <f>SUMIF('R3'!$L$7:$Q$7,B42,'R3'!$L$16:$Q$16)</f>
        <v>566980.07158254273</v>
      </c>
      <c r="U42" s="55"/>
      <c r="V42" s="24">
        <f t="shared" si="2"/>
        <v>1.3602192721907536</v>
      </c>
      <c r="W42" s="55"/>
      <c r="X42" s="27">
        <f>SUMIF('R3'!$L$7:$Q$7,B42,'R3'!$L$27:$Q$27)</f>
        <v>332353.18970149761</v>
      </c>
      <c r="Y42" s="55"/>
      <c r="Z42" s="27">
        <f>SUMIF('R3'!$L$7:$Q$7,B42,'R3'!$L$10:$Q$10)</f>
        <v>4396543.2867518058</v>
      </c>
      <c r="AA42" s="55"/>
      <c r="AB42" s="5"/>
      <c r="AC42" s="5"/>
      <c r="AD42" s="5"/>
    </row>
    <row r="43" spans="1:30" ht="15.75" thickBot="1" x14ac:dyDescent="0.3">
      <c r="A43" s="96"/>
      <c r="B43" s="32">
        <v>2100</v>
      </c>
      <c r="C43" s="9">
        <f>SUMIF('R3'!$L$7:$Q$7,B43,'R3'!$L$17:$Q$17)</f>
        <v>15.19354</v>
      </c>
      <c r="D43" s="44">
        <f>SUMIF('R3'!$L$7:$Q$7,B43,'R3'!$L$21:$Q$21)</f>
        <v>0.99826693183986537</v>
      </c>
      <c r="E43" s="36">
        <f>SUMIF('R3'!$L$7:$Q$7,B43,'R3'!$L$22:$Q$22)</f>
        <v>0.99066394502072841</v>
      </c>
      <c r="F43" s="48">
        <f t="shared" si="33"/>
        <v>0.99238381381107732</v>
      </c>
      <c r="G43" s="56"/>
      <c r="H43" s="7">
        <f>SUMIF('R3'!$L$7:$Q$7,B43,'R3'!$L$19:$Q$19)</f>
        <v>0.81873075307798171</v>
      </c>
      <c r="I43" s="8">
        <f>SUMIF('R3'!$L$7:$Q$7,B43,'R3'!$L$20:$Q$20)</f>
        <v>1</v>
      </c>
      <c r="J43" s="8">
        <f t="shared" si="34"/>
        <v>1.2214027581601701</v>
      </c>
      <c r="K43" s="56"/>
      <c r="L43" s="28">
        <f>SUMIF('R3'!$L$7:$Q$7,B43,'R3'!$L$11:$Q$11)</f>
        <v>0.61469671861714426</v>
      </c>
      <c r="M43" s="25">
        <f>SUMIF('R3'!$L$7:$Q$7,B43,'R3'!$L$12:$Q$12)</f>
        <v>20.246328680709709</v>
      </c>
      <c r="N43" s="25">
        <f t="shared" si="0"/>
        <v>20.861025399326852</v>
      </c>
      <c r="O43" s="56"/>
      <c r="P43" s="41">
        <f t="shared" si="1"/>
        <v>32.937102261188201</v>
      </c>
      <c r="Q43" s="56"/>
      <c r="R43" s="28">
        <f>SUMIF('R3'!$L$7:$Q$7,B43,'R3'!$L$15:$Q$15)</f>
        <v>546011.19105995714</v>
      </c>
      <c r="S43" s="56"/>
      <c r="T43" s="28">
        <f>SUMIF('R3'!$L$7:$Q$7,B43,'R3'!$L$16:$Q$16)</f>
        <v>742694.94491158111</v>
      </c>
      <c r="U43" s="56"/>
      <c r="V43" s="25">
        <f t="shared" si="2"/>
        <v>1.3602192721907531</v>
      </c>
      <c r="W43" s="56"/>
      <c r="X43" s="28">
        <f>SUMIF('R3'!$L$7:$Q$7,B43,'R3'!$L$27:$Q$27)</f>
        <v>438085.19861956878</v>
      </c>
      <c r="Y43" s="56"/>
      <c r="Z43" s="28">
        <f>SUMIF('R3'!$L$7:$Q$7,B43,'R3'!$L$10:$Q$10)</f>
        <v>9138906.4554719739</v>
      </c>
      <c r="AA43" s="56"/>
      <c r="AB43" s="5"/>
      <c r="AC43" s="5"/>
      <c r="AD43" s="5"/>
    </row>
    <row r="44" spans="1:30" x14ac:dyDescent="0.25">
      <c r="A44" s="94" t="str">
        <f>'R3'!B1</f>
        <v>Free State</v>
      </c>
      <c r="B44" s="21">
        <v>2000</v>
      </c>
      <c r="C44" s="3">
        <f>SUMIF('R3'!$L$7:$Q$7,B44,'R3'!$L$42:$Q$42)</f>
        <v>15.19354</v>
      </c>
      <c r="D44" s="42">
        <f>SUMIF('R3'!$L$7:$Q$7,B44,'R3'!$L$46:$Q$46)</f>
        <v>1</v>
      </c>
      <c r="E44" s="34">
        <f>SUMIF('R3'!$L$7:$Q$7,B44,'R3'!$L$47:$Q$47)</f>
        <v>1</v>
      </c>
      <c r="F44" s="49">
        <f t="shared" si="33"/>
        <v>1</v>
      </c>
      <c r="G44" s="57">
        <f t="shared" ref="G44:G49" si="35">(F44-$F38)/$F38</f>
        <v>0</v>
      </c>
      <c r="H44" s="1">
        <f>SUMIF('R3'!$L$7:$Q$7,B44,'R3'!$L$44:$Q$44)</f>
        <v>0.81873075307798171</v>
      </c>
      <c r="I44" s="2">
        <f>SUMIF('R3'!$L$7:$Q$7,B44,'R3'!$L$45:$Q$45)</f>
        <v>1</v>
      </c>
      <c r="J44" s="2">
        <f t="shared" si="34"/>
        <v>1.2214027581601701</v>
      </c>
      <c r="K44" s="57">
        <f t="shared" ref="K44:K49" si="36">(J44-$J38)/$J38</f>
        <v>0</v>
      </c>
      <c r="L44" s="26">
        <f>SUMIF('R3'!$L$7:$Q$7,B44,'R3'!$L$36:$Q$36)</f>
        <v>0.75821948022449992</v>
      </c>
      <c r="M44" s="23">
        <f>SUMIF('R3'!$L$7:$Q$7,B44,'R3'!$L$37:$Q$37)</f>
        <v>1.1347370987379</v>
      </c>
      <c r="N44" s="23">
        <f t="shared" si="0"/>
        <v>1.8929565789623999</v>
      </c>
      <c r="O44" s="57"/>
      <c r="P44" s="38">
        <f t="shared" si="1"/>
        <v>1.4965813044026746</v>
      </c>
      <c r="Q44" s="57">
        <f t="shared" ref="Q44:Q49" si="37">(P44-$P38)/$P38</f>
        <v>0</v>
      </c>
      <c r="R44" s="26">
        <f>SUMIF('R3'!$L$7:$Q$7,B44,'R3'!$L$40:$Q$40)</f>
        <v>44364.207815122681</v>
      </c>
      <c r="S44" s="57">
        <f t="shared" ref="S44:S49" si="38">(R44-$R38)/$R38</f>
        <v>0</v>
      </c>
      <c r="T44" s="26">
        <f>SUMIF('R3'!$L$7:$Q$7,B44,'R3'!$L$41:$Q$41)</f>
        <v>60345.050465605484</v>
      </c>
      <c r="U44" s="57">
        <f t="shared" ref="U44:U49" si="39">(T44-$T38)/$T38</f>
        <v>0</v>
      </c>
      <c r="V44" s="23">
        <f t="shared" si="2"/>
        <v>1.3602192721907529</v>
      </c>
      <c r="W44" s="57">
        <f t="shared" ref="W44:W49" si="40">(V44-$V38)/$V38</f>
        <v>0</v>
      </c>
      <c r="X44" s="26">
        <f>SUMIF('R3'!$L$7:$Q$7,B44,'R3'!$L$52:$Q$52)</f>
        <v>18427.26254075639</v>
      </c>
      <c r="Y44" s="57">
        <f t="shared" ref="Y44:Y49" si="41">(X44-$X38)/$X38</f>
        <v>0</v>
      </c>
      <c r="Z44" s="26">
        <f>SUMIF('R3'!$L$7:$Q$7,B44,'R3'!$L$35:$Q$35)</f>
        <v>60884.568329200003</v>
      </c>
      <c r="AA44" s="57">
        <f t="shared" ref="AA44:AA49" si="42">(Z44-$Z38)/$Z38</f>
        <v>0</v>
      </c>
      <c r="AB44" s="5"/>
      <c r="AC44" s="5"/>
      <c r="AD44" s="5"/>
    </row>
    <row r="45" spans="1:30" x14ac:dyDescent="0.25">
      <c r="A45" s="95"/>
      <c r="B45" s="31">
        <v>2020</v>
      </c>
      <c r="C45" s="14">
        <f>SUMIF('R3'!$L$7:$Q$7,B45,'R3'!$L$42:$Q$42)</f>
        <v>15.86791</v>
      </c>
      <c r="D45" s="43">
        <f>SUMIF('R3'!$L$7:$Q$7,B45,'R3'!$L$46:$Q$46)</f>
        <v>0.99257987162312367</v>
      </c>
      <c r="E45" s="35">
        <f>SUMIF('R3'!$L$7:$Q$7,B45,'R3'!$L$47:$Q$47)</f>
        <v>0.99687617775686799</v>
      </c>
      <c r="F45" s="50">
        <f t="shared" si="33"/>
        <v>1.0043284235924699</v>
      </c>
      <c r="G45" s="58">
        <f t="shared" si="35"/>
        <v>1.2036280333434058E-2</v>
      </c>
      <c r="H45" s="4">
        <f>SUMIF('R3'!$L$7:$Q$7,B45,'R3'!$L$44:$Q$44)</f>
        <v>0.85214378896621124</v>
      </c>
      <c r="I45" s="5">
        <f>SUMIF('R3'!$L$7:$Q$7,B45,'R3'!$L$45:$Q$45)</f>
        <v>1</v>
      </c>
      <c r="J45" s="13">
        <f t="shared" si="34"/>
        <v>1.1735108709918103</v>
      </c>
      <c r="K45" s="58">
        <f t="shared" si="36"/>
        <v>-3.9210560847676941E-2</v>
      </c>
      <c r="L45" s="27">
        <f>SUMIF('R3'!$L$7:$Q$7,B45,'R3'!$L$36:$Q$36)</f>
        <v>0.83738373399328603</v>
      </c>
      <c r="M45" s="24">
        <f>SUMIF('R3'!$L$7:$Q$7,B45,'R3'!$L$37:$Q$37)</f>
        <v>2.3419939836392101</v>
      </c>
      <c r="N45" s="24">
        <f t="shared" si="0"/>
        <v>3.1793777176324962</v>
      </c>
      <c r="O45" s="58"/>
      <c r="P45" s="39">
        <f t="shared" si="1"/>
        <v>2.7967989925846681</v>
      </c>
      <c r="Q45" s="58">
        <f t="shared" si="37"/>
        <v>7.0335147008695909E-3</v>
      </c>
      <c r="R45" s="27">
        <f>SUMIF('R3'!$L$7:$Q$7,B45,'R3'!$L$40:$Q$40)</f>
        <v>110097.0909225325</v>
      </c>
      <c r="S45" s="58">
        <f t="shared" si="38"/>
        <v>1.3467560202263668E-2</v>
      </c>
      <c r="T45" s="27">
        <f>SUMIF('R3'!$L$7:$Q$7,B45,'R3'!$L$41:$Q$41)</f>
        <v>147975.11491942409</v>
      </c>
      <c r="U45" s="58">
        <f t="shared" si="39"/>
        <v>1.4142574694638631E-3</v>
      </c>
      <c r="V45" s="24">
        <f t="shared" si="2"/>
        <v>1.3440420058286886</v>
      </c>
      <c r="W45" s="58">
        <f t="shared" si="40"/>
        <v>-1.1893131271408616E-2</v>
      </c>
      <c r="X45" s="27">
        <f>SUMIF('R3'!$L$7:$Q$7,B45,'R3'!$L$52:$Q$52)</f>
        <v>82465.886939714634</v>
      </c>
      <c r="Y45" s="58">
        <f t="shared" si="41"/>
        <v>8.0758471815820989E-3</v>
      </c>
      <c r="Z45" s="27">
        <f>SUMIF('R3'!$L$7:$Q$7,B45,'R3'!$L$35:$Q$35)</f>
        <v>262190.2034009294</v>
      </c>
      <c r="AA45" s="58">
        <f t="shared" si="42"/>
        <v>7.6939030182463907E-3</v>
      </c>
      <c r="AB45" s="5"/>
      <c r="AC45" s="5"/>
      <c r="AD45" s="5"/>
    </row>
    <row r="46" spans="1:30" x14ac:dyDescent="0.25">
      <c r="A46" s="95"/>
      <c r="B46" s="31">
        <v>2040</v>
      </c>
      <c r="C46" s="6">
        <f>SUMIF('R3'!$L$7:$Q$7,B46,'R3'!$L$42:$Q$42)</f>
        <v>16.55575</v>
      </c>
      <c r="D46" s="43">
        <f>SUMIF('R3'!$L$7:$Q$7,B46,'R3'!$L$46:$Q$46)</f>
        <v>0.98300570279749855</v>
      </c>
      <c r="E46" s="35">
        <f>SUMIF('R3'!$L$7:$Q$7,B46,'R3'!$L$47:$Q$47)</f>
        <v>0.99977488244563673</v>
      </c>
      <c r="F46" s="50">
        <f t="shared" si="33"/>
        <v>1.0170590868398988</v>
      </c>
      <c r="G46" s="58">
        <f t="shared" si="35"/>
        <v>2.4864646808436294E-2</v>
      </c>
      <c r="H46" s="4">
        <f>SUMIF('R3'!$L$7:$Q$7,B46,'R3'!$L$44:$Q$44)</f>
        <v>0.88692043671715748</v>
      </c>
      <c r="I46" s="5">
        <f>SUMIF('R3'!$L$7:$Q$7,B46,'R3'!$L$45:$Q$45)</f>
        <v>1</v>
      </c>
      <c r="J46" s="5">
        <f t="shared" si="34"/>
        <v>1.1274968515793757</v>
      </c>
      <c r="K46" s="58">
        <f t="shared" si="36"/>
        <v>-7.6883653613364342E-2</v>
      </c>
      <c r="L46" s="27">
        <f>SUMIF('R3'!$L$7:$Q$7,B46,'R3'!$L$36:$Q$36)</f>
        <v>0.83388822601932455</v>
      </c>
      <c r="M46" s="24">
        <f>SUMIF('R3'!$L$7:$Q$7,B46,'R3'!$L$37:$Q$37)</f>
        <v>4.3577413364474733</v>
      </c>
      <c r="N46" s="24">
        <f t="shared" si="0"/>
        <v>5.1916295624667974</v>
      </c>
      <c r="O46" s="58"/>
      <c r="P46" s="40">
        <f t="shared" si="1"/>
        <v>5.2258098873151457</v>
      </c>
      <c r="Q46" s="58">
        <f t="shared" si="37"/>
        <v>1.3956355171901448E-2</v>
      </c>
      <c r="R46" s="27">
        <f>SUMIF('R3'!$L$7:$Q$7,B46,'R3'!$L$40:$Q$40)</f>
        <v>201565.76849165911</v>
      </c>
      <c r="S46" s="58">
        <f t="shared" si="38"/>
        <v>2.8183246993671092E-2</v>
      </c>
      <c r="T46" s="27">
        <f>SUMIF('R3'!$L$7:$Q$7,B46,'R3'!$L$41:$Q$41)</f>
        <v>267521.80765538878</v>
      </c>
      <c r="U46" s="58">
        <f t="shared" si="39"/>
        <v>3.2380863127335902E-3</v>
      </c>
      <c r="V46" s="24">
        <f t="shared" si="2"/>
        <v>1.3272184540921141</v>
      </c>
      <c r="W46" s="58">
        <f t="shared" si="40"/>
        <v>-2.426139577149811E-2</v>
      </c>
      <c r="X46" s="27">
        <f>SUMIF('R3'!$L$7:$Q$7,B46,'R3'!$L$52:$Q$52)</f>
        <v>153796.24992419031</v>
      </c>
      <c r="Y46" s="58">
        <f t="shared" si="41"/>
        <v>1.2978986265611949E-2</v>
      </c>
      <c r="Z46" s="27">
        <f>SUMIF('R3'!$L$7:$Q$7,B46,'R3'!$L$35:$Q$35)</f>
        <v>798453.15770295844</v>
      </c>
      <c r="AA46" s="58">
        <f t="shared" si="42"/>
        <v>1.2081058572872845E-2</v>
      </c>
      <c r="AB46" s="5"/>
      <c r="AC46" s="5"/>
      <c r="AD46" s="5"/>
    </row>
    <row r="47" spans="1:30" x14ac:dyDescent="0.25">
      <c r="A47" s="95"/>
      <c r="B47" s="31">
        <v>2060</v>
      </c>
      <c r="C47" s="6">
        <f>SUMIF('R3'!$L$7:$Q$7,B47,'R3'!$L$42:$Q$42)</f>
        <v>17.244319999999998</v>
      </c>
      <c r="D47" s="43">
        <f>SUMIF('R3'!$L$7:$Q$7,B47,'R3'!$L$46:$Q$46)</f>
        <v>0.96966048781639314</v>
      </c>
      <c r="E47" s="35">
        <f>SUMIF('R3'!$L$7:$Q$7,B47,'R3'!$L$47:$Q$47)</f>
        <v>0.99933476497980267</v>
      </c>
      <c r="F47" s="50">
        <f t="shared" si="33"/>
        <v>1.0306027496595576</v>
      </c>
      <c r="G47" s="58">
        <f t="shared" si="35"/>
        <v>3.851225233280163E-2</v>
      </c>
      <c r="H47" s="4">
        <f>SUMIF('R3'!$L$7:$Q$7,B47,'R3'!$L$44:$Q$44)</f>
        <v>0.91393118527122841</v>
      </c>
      <c r="I47" s="5">
        <f>SUMIF('R3'!$L$7:$Q$7,B47,'R3'!$L$45:$Q$45)</f>
        <v>1</v>
      </c>
      <c r="J47" s="5">
        <f t="shared" si="34"/>
        <v>1.0941742837052102</v>
      </c>
      <c r="K47" s="58">
        <f t="shared" si="36"/>
        <v>-0.10416586470347206</v>
      </c>
      <c r="L47" s="27">
        <f>SUMIF('R3'!$L$7:$Q$7,B47,'R3'!$L$36:$Q$36)</f>
        <v>0.77529292522191806</v>
      </c>
      <c r="M47" s="24">
        <f>SUMIF('R3'!$L$7:$Q$7,B47,'R3'!$L$37:$Q$37)</f>
        <v>7.5501811580058913</v>
      </c>
      <c r="N47" s="24">
        <f t="shared" si="0"/>
        <v>8.3254740832278102</v>
      </c>
      <c r="O47" s="58"/>
      <c r="P47" s="40">
        <f t="shared" si="1"/>
        <v>9.7384883988780686</v>
      </c>
      <c r="Q47" s="58">
        <f t="shared" si="37"/>
        <v>1.8216644571372963E-2</v>
      </c>
      <c r="R47" s="27">
        <f>SUMIF('R3'!$L$7:$Q$7,B47,'R3'!$L$40:$Q$40)</f>
        <v>313099.54236195289</v>
      </c>
      <c r="S47" s="58">
        <f t="shared" si="38"/>
        <v>4.2139627883708633E-2</v>
      </c>
      <c r="T47" s="27">
        <f>SUMIF('R3'!$L$7:$Q$7,B47,'R3'!$L$41:$Q$41)</f>
        <v>410090.5219733073</v>
      </c>
      <c r="U47" s="58">
        <f t="shared" si="39"/>
        <v>3.4928577325497394E-3</v>
      </c>
      <c r="V47" s="24">
        <f t="shared" si="2"/>
        <v>1.3097768169179558</v>
      </c>
      <c r="W47" s="58">
        <f t="shared" si="40"/>
        <v>-3.7084061595123896E-2</v>
      </c>
      <c r="X47" s="27">
        <f>SUMIF('R3'!$L$7:$Q$7,B47,'R3'!$L$52:$Q$52)</f>
        <v>239955.8576126241</v>
      </c>
      <c r="Y47" s="58">
        <f t="shared" si="41"/>
        <v>1.2689038690897127E-2</v>
      </c>
      <c r="Z47" s="27">
        <f>SUMIF('R3'!$L$7:$Q$7,B47,'R3'!$L$35:$Q$35)</f>
        <v>1997746.273672604</v>
      </c>
      <c r="AA47" s="58">
        <f t="shared" si="42"/>
        <v>1.1378658670544935E-2</v>
      </c>
      <c r="AB47" s="5"/>
      <c r="AC47" s="5"/>
      <c r="AD47" s="5"/>
    </row>
    <row r="48" spans="1:30" x14ac:dyDescent="0.25">
      <c r="A48" s="95"/>
      <c r="B48" s="31">
        <v>2080</v>
      </c>
      <c r="C48" s="6">
        <f>SUMIF('R3'!$L$7:$Q$7,B48,'R3'!$L$42:$Q$42)</f>
        <v>17.58325</v>
      </c>
      <c r="D48" s="43">
        <f>SUMIF('R3'!$L$7:$Q$7,B48,'R3'!$L$46:$Q$46)</f>
        <v>0.96439833420871968</v>
      </c>
      <c r="E48" s="35">
        <f>SUMIF('R3'!$L$7:$Q$7,B48,'R3'!$L$47:$Q$47)</f>
        <v>0.99844694181596516</v>
      </c>
      <c r="F48" s="50">
        <f t="shared" si="33"/>
        <v>1.0353055437773875</v>
      </c>
      <c r="G48" s="58">
        <f t="shared" si="35"/>
        <v>4.3251138691467295E-2</v>
      </c>
      <c r="H48" s="4">
        <f>SUMIF('R3'!$L$7:$Q$7,B48,'R3'!$L$44:$Q$44)</f>
        <v>0.93239381990594794</v>
      </c>
      <c r="I48" s="5">
        <f>SUMIF('R3'!$L$7:$Q$7,B48,'R3'!$L$45:$Q$45)</f>
        <v>1</v>
      </c>
      <c r="J48" s="5">
        <f t="shared" si="34"/>
        <v>1.0725081812542168</v>
      </c>
      <c r="K48" s="58">
        <f t="shared" si="36"/>
        <v>-0.12190456907943861</v>
      </c>
      <c r="L48" s="27">
        <f>SUMIF('R3'!$L$7:$Q$7,B48,'R3'!$L$36:$Q$36)</f>
        <v>0.68997965035270337</v>
      </c>
      <c r="M48" s="24">
        <f>SUMIF('R3'!$L$7:$Q$7,B48,'R3'!$L$37:$Q$37)</f>
        <v>12.51762709780609</v>
      </c>
      <c r="N48" s="24">
        <f t="shared" si="0"/>
        <v>13.207606748158792</v>
      </c>
      <c r="O48" s="58"/>
      <c r="P48" s="40">
        <f t="shared" si="1"/>
        <v>18.142023596503659</v>
      </c>
      <c r="Q48" s="58">
        <f t="shared" si="37"/>
        <v>2.215640374657216E-2</v>
      </c>
      <c r="R48" s="27">
        <f>SUMIF('R3'!$L$7:$Q$7,B48,'R3'!$L$40:$Q$40)</f>
        <v>436848.09344497422</v>
      </c>
      <c r="S48" s="58">
        <f t="shared" si="38"/>
        <v>4.8024834567989456E-2</v>
      </c>
      <c r="T48" s="27">
        <f>SUMIF('R3'!$L$7:$Q$7,B48,'R3'!$L$41:$Q$41)</f>
        <v>569574.45210071653</v>
      </c>
      <c r="U48" s="58">
        <f t="shared" si="39"/>
        <v>4.5757878419472823E-3</v>
      </c>
      <c r="V48" s="24">
        <f t="shared" si="2"/>
        <v>1.3038272585993571</v>
      </c>
      <c r="W48" s="58">
        <f t="shared" si="40"/>
        <v>-4.1458031616161503E-2</v>
      </c>
      <c r="X48" s="27">
        <f>SUMIF('R3'!$L$7:$Q$7,B48,'R3'!$L$52:$Q$52)</f>
        <v>336593.89950541279</v>
      </c>
      <c r="Y48" s="58">
        <f t="shared" si="41"/>
        <v>1.2759648275751349E-2</v>
      </c>
      <c r="Z48" s="27">
        <f>SUMIF('R3'!$L$7:$Q$7,B48,'R3'!$L$35:$Q$35)</f>
        <v>4445599.8584967731</v>
      </c>
      <c r="AA48" s="58">
        <f t="shared" si="42"/>
        <v>1.115798675127126E-2</v>
      </c>
      <c r="AB48" s="5"/>
      <c r="AC48" s="5"/>
      <c r="AD48" s="5"/>
    </row>
    <row r="49" spans="1:30" ht="15.75" thickBot="1" x14ac:dyDescent="0.3">
      <c r="A49" s="96"/>
      <c r="B49" s="32">
        <v>2100</v>
      </c>
      <c r="C49" s="9">
        <f>SUMIF('R3'!$L$7:$Q$7,B49,'R3'!$L$42:$Q$42)</f>
        <v>17.732389999999999</v>
      </c>
      <c r="D49" s="44">
        <f>SUMIF('R3'!$L$7:$Q$7,B49,'R3'!$L$46:$Q$46)</f>
        <v>0.9587427485556127</v>
      </c>
      <c r="E49" s="36">
        <f>SUMIF('R3'!$L$7:$Q$7,B49,'R3'!$L$47:$Q$47)</f>
        <v>0.99718729527581951</v>
      </c>
      <c r="F49" s="51">
        <f t="shared" si="33"/>
        <v>1.0400989178568758</v>
      </c>
      <c r="G49" s="59">
        <f t="shared" si="35"/>
        <v>4.8081300180176187E-2</v>
      </c>
      <c r="H49" s="7">
        <f>SUMIF('R3'!$L$7:$Q$7,B49,'R3'!$L$44:$Q$44)</f>
        <v>0.94176453358424828</v>
      </c>
      <c r="I49" s="8">
        <f>SUMIF('R3'!$L$7:$Q$7,B49,'R3'!$L$45:$Q$45)</f>
        <v>1</v>
      </c>
      <c r="J49" s="8">
        <f t="shared" si="34"/>
        <v>1.0618365465453601</v>
      </c>
      <c r="K49" s="59">
        <f t="shared" si="36"/>
        <v>-0.13064176460119398</v>
      </c>
      <c r="L49" s="28">
        <f>SUMIF('R3'!$L$7:$Q$7,B49,'R3'!$L$36:$Q$36)</f>
        <v>0.5999176715761414</v>
      </c>
      <c r="M49" s="25">
        <f>SUMIF('R3'!$L$7:$Q$7,B49,'R3'!$L$37:$Q$37)</f>
        <v>20.224537877227789</v>
      </c>
      <c r="N49" s="25">
        <f t="shared" si="0"/>
        <v>20.824455548803929</v>
      </c>
      <c r="O49" s="59"/>
      <c r="P49" s="41">
        <f t="shared" si="1"/>
        <v>33.712188914343216</v>
      </c>
      <c r="Q49" s="59">
        <f t="shared" si="37"/>
        <v>2.3532326766594353E-2</v>
      </c>
      <c r="R49" s="33">
        <f>SUMIF('R3'!$L$7:$Q$7,B49,'R3'!$L$40:$Q$40)</f>
        <v>574888.75099166005</v>
      </c>
      <c r="S49" s="59">
        <f t="shared" si="38"/>
        <v>5.2888219883632175E-2</v>
      </c>
      <c r="T49" s="28">
        <f>SUMIF('R3'!$L$7:$Q$7,B49,'R3'!$L$41:$Q$41)</f>
        <v>746101.24074353569</v>
      </c>
      <c r="U49" s="59">
        <f t="shared" si="39"/>
        <v>4.5863996453619285E-3</v>
      </c>
      <c r="V49" s="25">
        <f t="shared" si="2"/>
        <v>1.2978184726289059</v>
      </c>
      <c r="W49" s="59">
        <f t="shared" si="40"/>
        <v>-4.5875544360833229E-2</v>
      </c>
      <c r="X49" s="28">
        <f>SUMIF('R3'!$L$7:$Q$7,B49,'R3'!$L$52:$Q$52)</f>
        <v>443068.50242264773</v>
      </c>
      <c r="Y49" s="59">
        <f t="shared" si="41"/>
        <v>1.137519327012558E-2</v>
      </c>
      <c r="Z49" s="28">
        <f>SUMIF('R3'!$L$7:$Q$7,B49,'R3'!$L$35:$Q$35)</f>
        <v>9226660.333775552</v>
      </c>
      <c r="AA49" s="59">
        <f t="shared" si="42"/>
        <v>9.6022296246434363E-3</v>
      </c>
      <c r="AB49" s="5"/>
      <c r="AC49" s="5"/>
      <c r="AD49" s="5"/>
    </row>
    <row r="50" spans="1:30" x14ac:dyDescent="0.25">
      <c r="A50" s="103" t="s">
        <v>6</v>
      </c>
      <c r="B50" s="21">
        <v>2000</v>
      </c>
      <c r="C50" s="3">
        <f>SUMIF('R4'!$L$7:$Q$7,B50,'R4'!$L$17:$Q$17)</f>
        <v>19.07366</v>
      </c>
      <c r="D50" s="42">
        <f>SUMIF('R4'!$L$7:$Q$7,B50,'R4'!$L$21:$Q$21)</f>
        <v>1</v>
      </c>
      <c r="E50" s="34">
        <f>SUMIF('R4'!$L$7:$Q$7,B50,'R4'!$L$22:$Q$22)</f>
        <v>1</v>
      </c>
      <c r="F50" s="45">
        <f>E50/D50</f>
        <v>1</v>
      </c>
      <c r="G50" s="53"/>
      <c r="H50" s="1">
        <f>SUMIF('R4'!$L$7:$Q$7,B50,'R4'!$L$19:$Q$19)</f>
        <v>0.97044553354850793</v>
      </c>
      <c r="I50" s="2">
        <f>SUMIF('R4'!$L$7:$Q$7,B50,'R4'!$L$20:$Q$20)</f>
        <v>1</v>
      </c>
      <c r="J50" s="2">
        <f>I50/H50</f>
        <v>1.0304545339535172</v>
      </c>
      <c r="K50" s="53"/>
      <c r="L50" s="26">
        <f>SUMIF('R4'!$L$7:$Q$7,B50,'R4'!$L$11:$Q$11)</f>
        <v>2.4328473815880001</v>
      </c>
      <c r="M50" s="24">
        <f>SUMIF('R4'!$L$7:$Q$7,B50,'R4'!$L$12:$Q$12)</f>
        <v>3.6409539077496</v>
      </c>
      <c r="N50" s="23">
        <f t="shared" si="0"/>
        <v>6.0738012893376006</v>
      </c>
      <c r="O50" s="53"/>
      <c r="P50" s="38">
        <f t="shared" si="1"/>
        <v>1.4965813044026743</v>
      </c>
      <c r="Q50" s="53"/>
      <c r="R50" s="26">
        <f>SUMIF('R4'!$L$7:$Q$7,B50,'R4'!$L$15:$Q$15)</f>
        <v>46919.594157542197</v>
      </c>
      <c r="S50" s="53"/>
      <c r="T50" s="26">
        <f>SUMIF('R4'!$L$7:$Q$7,B50,'R4'!$L$16:$Q$16)</f>
        <v>59140.312213546342</v>
      </c>
      <c r="U50" s="53"/>
      <c r="V50" s="23">
        <f t="shared" si="2"/>
        <v>1.2604608644944917</v>
      </c>
      <c r="W50" s="53"/>
      <c r="X50" s="26">
        <f>SUMIF('R4'!$L$7:$Q$7,B50,'R4'!$L$27:$Q$27)</f>
        <v>18427.26254075639</v>
      </c>
      <c r="Y50" s="53"/>
      <c r="Z50" s="26">
        <f>SUMIF('R4'!$L$7:$Q$7,B50,'R4'!$L$10:$Q$10)</f>
        <v>195356.1818208</v>
      </c>
      <c r="AA50" s="53"/>
      <c r="AB50" s="5"/>
      <c r="AC50" s="5"/>
      <c r="AD50" s="5"/>
    </row>
    <row r="51" spans="1:30" s="10" customFormat="1" x14ac:dyDescent="0.25">
      <c r="A51" s="104"/>
      <c r="B51" s="31">
        <v>2020</v>
      </c>
      <c r="C51" s="14">
        <f>SUMIF('R4'!$L$7:$Q$7,B51,'R4'!$L$17:$Q$17)</f>
        <v>19.07366</v>
      </c>
      <c r="D51" s="43">
        <f>SUMIF('R4'!$L$7:$Q$7,B51,'R4'!$L$21:$Q$21)</f>
        <v>0.91693862656807257</v>
      </c>
      <c r="E51" s="35">
        <f>SUMIF('R4'!$L$7:$Q$7,B51,'R4'!$L$22:$Q$22)</f>
        <v>0.98197288977586894</v>
      </c>
      <c r="F51" s="46">
        <f t="shared" ref="F51:F61" si="43">E51/D51</f>
        <v>1.0709254265481294</v>
      </c>
      <c r="G51" s="54"/>
      <c r="H51" s="4">
        <f>SUMIF('R4'!$L$7:$Q$7,B51,'R4'!$L$19:$Q$19)</f>
        <v>0.97044553354850793</v>
      </c>
      <c r="I51" s="5">
        <f>SUMIF('R4'!$L$7:$Q$7,B51,'R4'!$L$20:$Q$20)</f>
        <v>1</v>
      </c>
      <c r="J51" s="5">
        <f t="shared" ref="J51:J61" si="44">I51/H51</f>
        <v>1.0304545339535172</v>
      </c>
      <c r="K51" s="55"/>
      <c r="L51" s="27">
        <f>SUMIF('R4'!$L$7:$Q$7,B51,'R4'!$L$11:$Q$11)</f>
        <v>2.701774950880405</v>
      </c>
      <c r="M51" s="24">
        <f>SUMIF('R4'!$L$7:$Q$7,B51,'R4'!$L$12:$Q$12)</f>
        <v>7.5035451655820484</v>
      </c>
      <c r="N51" s="24">
        <f t="shared" si="0"/>
        <v>10.205320116462453</v>
      </c>
      <c r="O51" s="55"/>
      <c r="P51" s="39">
        <f t="shared" si="1"/>
        <v>2.7772650579712166</v>
      </c>
      <c r="Q51" s="55"/>
      <c r="R51" s="27">
        <f>SUMIF('R4'!$L$7:$Q$7,B51,'R4'!$L$15:$Q$15)</f>
        <v>111385.2807478568</v>
      </c>
      <c r="S51" s="55"/>
      <c r="T51" s="27">
        <f>SUMIF('R4'!$L$7:$Q$7,B51,'R4'!$L$16:$Q$16)</f>
        <v>140396.78726340531</v>
      </c>
      <c r="U51" s="55"/>
      <c r="V51" s="24">
        <f t="shared" si="2"/>
        <v>1.2604608644944924</v>
      </c>
      <c r="W51" s="55"/>
      <c r="X51" s="27">
        <f>SUMIF('R4'!$L$7:$Q$7,B51,'R4'!$L$27:$Q$27)</f>
        <v>77043.59148459624</v>
      </c>
      <c r="Y51" s="55"/>
      <c r="Z51" s="27">
        <f>SUMIF('R4'!$L$7:$Q$7,B51,'R4'!$L$10:$Q$10)</f>
        <v>786254.51402226533</v>
      </c>
      <c r="AA51" s="55"/>
      <c r="AB51" s="13"/>
      <c r="AC51" s="13"/>
      <c r="AD51" s="13"/>
    </row>
    <row r="52" spans="1:30" x14ac:dyDescent="0.25">
      <c r="A52" s="104"/>
      <c r="B52" s="31">
        <v>2040</v>
      </c>
      <c r="C52" s="6">
        <f>SUMIF('R4'!$L$7:$Q$7,B52,'R4'!$L$17:$Q$17)</f>
        <v>19.07366</v>
      </c>
      <c r="D52" s="43">
        <f>SUMIF('R4'!$L$7:$Q$7,B52,'R4'!$L$21:$Q$21)</f>
        <v>0.91693862656807257</v>
      </c>
      <c r="E52" s="35">
        <f>SUMIF('R4'!$L$7:$Q$7,B52,'R4'!$L$22:$Q$22)</f>
        <v>0.98197288977586894</v>
      </c>
      <c r="F52" s="47">
        <f t="shared" si="43"/>
        <v>1.0709254265481294</v>
      </c>
      <c r="G52" s="55"/>
      <c r="H52" s="4">
        <f>SUMIF('R4'!$L$7:$Q$7,B52,'R4'!$L$19:$Q$19)</f>
        <v>0.97044553354850793</v>
      </c>
      <c r="I52" s="5">
        <f>SUMIF('R4'!$L$7:$Q$7,B52,'R4'!$L$20:$Q$20)</f>
        <v>1</v>
      </c>
      <c r="J52" s="5">
        <f t="shared" si="44"/>
        <v>1.0304545339535172</v>
      </c>
      <c r="K52" s="55"/>
      <c r="L52" s="27">
        <f>SUMIF('R4'!$L$7:$Q$7,B52,'R4'!$L$11:$Q$11)</f>
        <v>2.7093162677833198</v>
      </c>
      <c r="M52" s="24">
        <f>SUMIF('R4'!$L$7:$Q$7,B52,'R4'!$L$12:$Q$12)</f>
        <v>13.963492282313769</v>
      </c>
      <c r="N52" s="24">
        <f t="shared" si="0"/>
        <v>16.672808550097088</v>
      </c>
      <c r="O52" s="55"/>
      <c r="P52" s="40">
        <f t="shared" si="1"/>
        <v>5.1538805005361272</v>
      </c>
      <c r="Q52" s="55"/>
      <c r="R52" s="27">
        <f>SUMIF('R4'!$L$7:$Q$7,B52,'R4'!$L$15:$Q$15)</f>
        <v>205202.7093355548</v>
      </c>
      <c r="S52" s="55"/>
      <c r="T52" s="27">
        <f>SUMIF('R4'!$L$7:$Q$7,B52,'R4'!$L$16:$Q$16)</f>
        <v>258649.9844057055</v>
      </c>
      <c r="U52" s="55"/>
      <c r="V52" s="24">
        <f t="shared" si="2"/>
        <v>1.2604608644944926</v>
      </c>
      <c r="W52" s="55"/>
      <c r="X52" s="27">
        <f>SUMIF('R4'!$L$7:$Q$7,B52,'R4'!$L$27:$Q$27)</f>
        <v>145974.07363833889</v>
      </c>
      <c r="Y52" s="55"/>
      <c r="Z52" s="27">
        <f>SUMIF('R4'!$L$7:$Q$7,B52,'R4'!$L$10:$Q$10)</f>
        <v>2433797.783049799</v>
      </c>
      <c r="AA52" s="55"/>
      <c r="AB52" s="5"/>
      <c r="AC52" s="5"/>
      <c r="AD52" s="5"/>
    </row>
    <row r="53" spans="1:30" x14ac:dyDescent="0.25">
      <c r="A53" s="104"/>
      <c r="B53" s="31">
        <v>2060</v>
      </c>
      <c r="C53" s="6">
        <f>SUMIF('R4'!$L$7:$Q$7,B53,'R4'!$L$17:$Q$17)</f>
        <v>19.07366</v>
      </c>
      <c r="D53" s="43">
        <f>SUMIF('R4'!$L$7:$Q$7,B53,'R4'!$L$21:$Q$21)</f>
        <v>0.91693862656807257</v>
      </c>
      <c r="E53" s="35">
        <f>SUMIF('R4'!$L$7:$Q$7,B53,'R4'!$L$22:$Q$22)</f>
        <v>0.98197288977586894</v>
      </c>
      <c r="F53" s="47">
        <f t="shared" si="43"/>
        <v>1.0709254265481294</v>
      </c>
      <c r="G53" s="55"/>
      <c r="H53" s="4">
        <f>SUMIF('R4'!$L$7:$Q$7,B53,'R4'!$L$19:$Q$19)</f>
        <v>0.97044553354850793</v>
      </c>
      <c r="I53" s="5">
        <f>SUMIF('R4'!$L$7:$Q$7,B53,'R4'!$L$20:$Q$20)</f>
        <v>1</v>
      </c>
      <c r="J53" s="5">
        <f t="shared" si="44"/>
        <v>1.0304545339535172</v>
      </c>
      <c r="K53" s="55"/>
      <c r="L53" s="27">
        <f>SUMIF('R4'!$L$7:$Q$7,B53,'R4'!$L$11:$Q$11)</f>
        <v>2.5319326923220289</v>
      </c>
      <c r="M53" s="24">
        <f>SUMIF('R4'!$L$7:$Q$7,B53,'R4'!$L$12:$Q$12)</f>
        <v>24.21606176090145</v>
      </c>
      <c r="N53" s="24">
        <f t="shared" si="0"/>
        <v>26.74799445322348</v>
      </c>
      <c r="O53" s="55"/>
      <c r="P53" s="40">
        <f t="shared" si="1"/>
        <v>9.5642596797045822</v>
      </c>
      <c r="Q53" s="55"/>
      <c r="R53" s="27">
        <f>SUMIF('R4'!$L$7:$Q$7,B53,'R4'!$L$15:$Q$15)</f>
        <v>318615.70184212731</v>
      </c>
      <c r="S53" s="55"/>
      <c r="T53" s="27">
        <f>SUMIF('R4'!$L$7:$Q$7,B53,'R4'!$L$16:$Q$16)</f>
        <v>401602.62298544688</v>
      </c>
      <c r="U53" s="55"/>
      <c r="V53" s="24">
        <f t="shared" si="2"/>
        <v>1.2604608644944912</v>
      </c>
      <c r="W53" s="55"/>
      <c r="X53" s="27">
        <f>SUMIF('R4'!$L$7:$Q$7,B53,'R4'!$L$27:$Q$27)</f>
        <v>230812.58346790471</v>
      </c>
      <c r="Y53" s="55"/>
      <c r="Z53" s="27">
        <f>SUMIF('R4'!$L$7:$Q$7,B53,'R4'!$L$10:$Q$10)</f>
        <v>6173773.7023336971</v>
      </c>
      <c r="AA53" s="55"/>
      <c r="AB53" s="5"/>
      <c r="AC53" s="5"/>
      <c r="AD53" s="5"/>
    </row>
    <row r="54" spans="1:30" x14ac:dyDescent="0.25">
      <c r="A54" s="104"/>
      <c r="B54" s="31">
        <v>2080</v>
      </c>
      <c r="C54" s="6">
        <f>SUMIF('R4'!$L$7:$Q$7,B54,'R4'!$L$17:$Q$17)</f>
        <v>19.07366</v>
      </c>
      <c r="D54" s="43">
        <f>SUMIF('R4'!$L$7:$Q$7,B54,'R4'!$L$21:$Q$21)</f>
        <v>0.91693862656807257</v>
      </c>
      <c r="E54" s="35">
        <f>SUMIF('R4'!$L$7:$Q$7,B54,'R4'!$L$22:$Q$22)</f>
        <v>0.98197288977586894</v>
      </c>
      <c r="F54" s="47">
        <f t="shared" si="43"/>
        <v>1.0709254265481294</v>
      </c>
      <c r="G54" s="55"/>
      <c r="H54" s="4">
        <f>SUMIF('R4'!$L$7:$Q$7,B54,'R4'!$L$19:$Q$19)</f>
        <v>0.97044553354850793</v>
      </c>
      <c r="I54" s="5">
        <f>SUMIF('R4'!$L$7:$Q$7,B54,'R4'!$L$20:$Q$20)</f>
        <v>1</v>
      </c>
      <c r="J54" s="5">
        <f t="shared" si="44"/>
        <v>1.0304545339535172</v>
      </c>
      <c r="K54" s="55"/>
      <c r="L54" s="27">
        <f>SUMIF('R4'!$L$7:$Q$7,B54,'R4'!$L$11:$Q$11)</f>
        <v>2.263906789771474</v>
      </c>
      <c r="M54" s="24">
        <f>SUMIF('R4'!$L$7:$Q$7,B54,'R4'!$L$12:$Q$12)</f>
        <v>40.181571283783732</v>
      </c>
      <c r="N54" s="24">
        <f t="shared" si="0"/>
        <v>42.445478073555208</v>
      </c>
      <c r="O54" s="55"/>
      <c r="P54" s="40">
        <f t="shared" si="1"/>
        <v>17.748774580882717</v>
      </c>
      <c r="Q54" s="55"/>
      <c r="R54" s="27">
        <f>SUMIF('R4'!$L$7:$Q$7,B54,'R4'!$L$15:$Q$15)</f>
        <v>445473.58636310161</v>
      </c>
      <c r="S54" s="55"/>
      <c r="T54" s="27">
        <f>SUMIF('R4'!$L$7:$Q$7,B54,'R4'!$L$16:$Q$16)</f>
        <v>561502.02177669655</v>
      </c>
      <c r="U54" s="55"/>
      <c r="V54" s="24">
        <f t="shared" si="2"/>
        <v>1.2604608644944915</v>
      </c>
      <c r="W54" s="55"/>
      <c r="X54" s="27">
        <f>SUMIF('R4'!$L$7:$Q$7,B54,'R4'!$L$27:$Q$27)</f>
        <v>326254.50848547119</v>
      </c>
      <c r="Y54" s="55"/>
      <c r="Z54" s="27">
        <f>SUMIF('R4'!$L$7:$Q$7,B54,'R4'!$L$10:$Q$10)</f>
        <v>13848028.586318601</v>
      </c>
      <c r="AA54" s="55"/>
      <c r="AB54" s="5"/>
      <c r="AC54" s="5"/>
      <c r="AD54" s="5"/>
    </row>
    <row r="55" spans="1:30" ht="15.75" thickBot="1" x14ac:dyDescent="0.3">
      <c r="A55" s="105"/>
      <c r="B55" s="32">
        <v>2100</v>
      </c>
      <c r="C55" s="9">
        <f>SUMIF('R4'!$L$7:$Q$7,B55,'R4'!$L$17:$Q$17)</f>
        <v>19.07366</v>
      </c>
      <c r="D55" s="44">
        <f>SUMIF('R4'!$L$7:$Q$7,B55,'R4'!$L$21:$Q$21)</f>
        <v>0.91693862656807257</v>
      </c>
      <c r="E55" s="36">
        <f>SUMIF('R4'!$L$7:$Q$7,B55,'R4'!$L$22:$Q$22)</f>
        <v>0.98197288977586894</v>
      </c>
      <c r="F55" s="48">
        <f t="shared" si="43"/>
        <v>1.0709254265481294</v>
      </c>
      <c r="G55" s="56"/>
      <c r="H55" s="7">
        <f>SUMIF('R4'!$L$7:$Q$7,B55,'R4'!$L$19:$Q$19)</f>
        <v>0.97044553354850793</v>
      </c>
      <c r="I55" s="8">
        <f>SUMIF('R4'!$L$7:$Q$7,B55,'R4'!$L$20:$Q$20)</f>
        <v>1</v>
      </c>
      <c r="J55" s="8">
        <f t="shared" si="44"/>
        <v>1.0304545339535172</v>
      </c>
      <c r="K55" s="56"/>
      <c r="L55" s="28">
        <f>SUMIF('R4'!$L$7:$Q$7,B55,'R4'!$L$11:$Q$11)</f>
        <v>1.9723356381132111</v>
      </c>
      <c r="M55" s="25">
        <f>SUMIF('R4'!$L$7:$Q$7,B55,'R4'!$L$12:$Q$12)</f>
        <v>64.96302060592069</v>
      </c>
      <c r="N55" s="25">
        <f t="shared" si="0"/>
        <v>66.935356244033898</v>
      </c>
      <c r="O55" s="56"/>
      <c r="P55" s="41">
        <f t="shared" si="1"/>
        <v>32.937102261188187</v>
      </c>
      <c r="Q55" s="56"/>
      <c r="R55" s="28">
        <f>SUMIF('R4'!$L$7:$Q$7,B55,'R4'!$L$15:$Q$15)</f>
        <v>586093.40474029782</v>
      </c>
      <c r="S55" s="56"/>
      <c r="T55" s="28">
        <f>SUMIF('R4'!$L$7:$Q$7,B55,'R4'!$L$16:$Q$16)</f>
        <v>738747.79961347592</v>
      </c>
      <c r="U55" s="56"/>
      <c r="V55" s="25">
        <f t="shared" si="2"/>
        <v>1.2604608644944919</v>
      </c>
      <c r="W55" s="56"/>
      <c r="X55" s="28">
        <f>SUMIF('R4'!$L$7:$Q$7,B55,'R4'!$L$27:$Q$27)</f>
        <v>431934.06172673282</v>
      </c>
      <c r="Y55" s="56"/>
      <c r="Z55" s="28">
        <f>SUMIF('R4'!$L$7:$Q$7,B55,'R4'!$L$10:$Q$10)</f>
        <v>28911660.295611389</v>
      </c>
      <c r="AA55" s="56"/>
      <c r="AB55" s="5"/>
      <c r="AC55" s="5"/>
      <c r="AD55" s="5"/>
    </row>
    <row r="56" spans="1:30" x14ac:dyDescent="0.25">
      <c r="A56" s="103" t="str">
        <f>'R4'!B1</f>
        <v>KwaZulu-Natal</v>
      </c>
      <c r="B56" s="21">
        <v>2000</v>
      </c>
      <c r="C56" s="3">
        <f>SUMIF('R4'!$L$7:$Q$7,B56,'R4'!$L$42:$Q$42)</f>
        <v>19.07366</v>
      </c>
      <c r="D56" s="42">
        <f>SUMIF('R4'!$L$7:$Q$7,B56,'R4'!$L$46:$Q$46)</f>
        <v>1</v>
      </c>
      <c r="E56" s="34">
        <f>SUMIF('R4'!$L$7:$Q$7,B56,'R4'!$L$47:$Q$47)</f>
        <v>1</v>
      </c>
      <c r="F56" s="49">
        <f t="shared" si="43"/>
        <v>1</v>
      </c>
      <c r="G56" s="57">
        <f t="shared" ref="G56:G61" si="45">(F56-$F50)/$F50</f>
        <v>0</v>
      </c>
      <c r="H56" s="1">
        <f>SUMIF('R4'!$L$7:$Q$7,B56,'R4'!$L$44:$Q$44)</f>
        <v>0.97044553354850793</v>
      </c>
      <c r="I56" s="2">
        <f>SUMIF('R4'!$L$7:$Q$7,B56,'R4'!$L$45:$Q$45)</f>
        <v>1</v>
      </c>
      <c r="J56" s="2">
        <f t="shared" si="44"/>
        <v>1.0304545339535172</v>
      </c>
      <c r="K56" s="57">
        <f t="shared" ref="K56:K61" si="46">(J56-$J50)/$J50</f>
        <v>0</v>
      </c>
      <c r="L56" s="26">
        <f>SUMIF('R4'!$L$7:$Q$7,B56,'R4'!$L$36:$Q$36)</f>
        <v>2.4328473815880001</v>
      </c>
      <c r="M56" s="23">
        <f>SUMIF('R4'!$L$7:$Q$7,B56,'R4'!$L$37:$Q$37)</f>
        <v>3.6409539077496</v>
      </c>
      <c r="N56" s="23">
        <f t="shared" si="0"/>
        <v>6.0738012893376006</v>
      </c>
      <c r="O56" s="57"/>
      <c r="P56" s="38">
        <f t="shared" si="1"/>
        <v>1.4965813044026743</v>
      </c>
      <c r="Q56" s="57">
        <f t="shared" ref="Q56:Q61" si="47">(P56-$P50)/$P50</f>
        <v>0</v>
      </c>
      <c r="R56" s="26">
        <f>SUMIF('R4'!$L$7:$Q$7,B56,'R4'!$L$40:$Q$40)</f>
        <v>46919.594157542197</v>
      </c>
      <c r="S56" s="57">
        <f t="shared" ref="S56:S61" si="48">(R56-$R50)/$R50</f>
        <v>0</v>
      </c>
      <c r="T56" s="26">
        <f>SUMIF('R4'!$L$7:$Q$7,B56,'R4'!$L$41:$Q$41)</f>
        <v>59140.312213546342</v>
      </c>
      <c r="U56" s="57">
        <f t="shared" ref="U56:U61" si="49">(T56-$T50)/$T50</f>
        <v>0</v>
      </c>
      <c r="V56" s="23">
        <f t="shared" si="2"/>
        <v>1.2604608644944917</v>
      </c>
      <c r="W56" s="57">
        <f t="shared" ref="W56:W61" si="50">(V56-$V50)/$V50</f>
        <v>0</v>
      </c>
      <c r="X56" s="26">
        <f>SUMIF('R4'!$L$7:$Q$7,B56,'R4'!$L$52:$Q$52)</f>
        <v>18427.26254075639</v>
      </c>
      <c r="Y56" s="57">
        <f t="shared" ref="Y56:Y61" si="51">(X56-$X50)/$X50</f>
        <v>0</v>
      </c>
      <c r="Z56" s="26">
        <f>SUMIF('R4'!$L$7:$Q$7,B56,'R4'!$L$35:$Q$35)</f>
        <v>195356.1818208</v>
      </c>
      <c r="AA56" s="57">
        <f t="shared" ref="AA56:AA61" si="52">(Z56-$Z50)/$Z50</f>
        <v>0</v>
      </c>
      <c r="AB56" s="5"/>
      <c r="AC56" s="5"/>
      <c r="AD56" s="5"/>
    </row>
    <row r="57" spans="1:30" x14ac:dyDescent="0.25">
      <c r="A57" s="104"/>
      <c r="B57" s="31">
        <v>2020</v>
      </c>
      <c r="C57" s="14">
        <f>SUMIF('R4'!$L$7:$Q$7,B57,'R4'!$L$42:$Q$42)</f>
        <v>19.495840000000001</v>
      </c>
      <c r="D57" s="43">
        <f>SUMIF('R4'!$L$7:$Q$7,B57,'R4'!$L$46:$Q$46)</f>
        <v>0.90022563327805616</v>
      </c>
      <c r="E57" s="35">
        <f>SUMIF('R4'!$L$7:$Q$7,B57,'R4'!$L$47:$Q$47)</f>
        <v>0.97405330480158026</v>
      </c>
      <c r="F57" s="50">
        <f t="shared" si="43"/>
        <v>1.0820101858849431</v>
      </c>
      <c r="G57" s="58">
        <f t="shared" si="45"/>
        <v>1.0350636059265863E-2</v>
      </c>
      <c r="H57" s="4">
        <f>SUMIF('R4'!$L$7:$Q$7,B57,'R4'!$L$44:$Q$44)</f>
        <v>0.98019867330675492</v>
      </c>
      <c r="I57" s="5">
        <f>SUMIF('R4'!$L$7:$Q$7,B57,'R4'!$L$45:$Q$45)</f>
        <v>1</v>
      </c>
      <c r="J57" s="13">
        <f t="shared" si="44"/>
        <v>1.0202013400267562</v>
      </c>
      <c r="K57" s="58">
        <f t="shared" si="46"/>
        <v>-9.9501662508318413E-3</v>
      </c>
      <c r="L57" s="27">
        <f>SUMIF('R4'!$L$7:$Q$7,B57,'R4'!$L$36:$Q$36)</f>
        <v>2.7019335504102</v>
      </c>
      <c r="M57" s="24">
        <f>SUMIF('R4'!$L$7:$Q$7,B57,'R4'!$L$37:$Q$37)</f>
        <v>7.5034276722285984</v>
      </c>
      <c r="N57" s="24">
        <f t="shared" si="0"/>
        <v>10.205361222638798</v>
      </c>
      <c r="O57" s="58"/>
      <c r="P57" s="39">
        <f t="shared" si="1"/>
        <v>2.7770585516766126</v>
      </c>
      <c r="Q57" s="58">
        <f t="shared" si="47"/>
        <v>-7.4355990621507244E-5</v>
      </c>
      <c r="R57" s="27">
        <f>SUMIF('R4'!$L$7:$Q$7,B57,'R4'!$L$40:$Q$40)</f>
        <v>111134.643249063</v>
      </c>
      <c r="S57" s="58">
        <f t="shared" si="48"/>
        <v>-2.2501850972676744E-3</v>
      </c>
      <c r="T57" s="27">
        <f>SUMIF('R4'!$L$7:$Q$7,B57,'R4'!$L$41:$Q$41)</f>
        <v>138645.79632608261</v>
      </c>
      <c r="U57" s="58">
        <f t="shared" si="49"/>
        <v>-1.2471730809890814E-2</v>
      </c>
      <c r="V57" s="24">
        <f t="shared" si="2"/>
        <v>1.2475479497006579</v>
      </c>
      <c r="W57" s="58">
        <f t="shared" si="50"/>
        <v>-1.024459795426748E-2</v>
      </c>
      <c r="X57" s="27">
        <f>SUMIF('R4'!$L$7:$Q$7,B57,'R4'!$L$52:$Q$52)</f>
        <v>75468.815439433427</v>
      </c>
      <c r="Y57" s="58">
        <f t="shared" si="51"/>
        <v>-2.0440065355437988E-2</v>
      </c>
      <c r="Z57" s="27">
        <f>SUMIF('R4'!$L$7:$Q$7,B57,'R4'!$L$35:$Q$35)</f>
        <v>770186.52260407805</v>
      </c>
      <c r="AA57" s="58">
        <f t="shared" si="52"/>
        <v>-2.0436119769904757E-2</v>
      </c>
      <c r="AB57" s="5"/>
      <c r="AC57" s="5"/>
      <c r="AD57" s="5"/>
    </row>
    <row r="58" spans="1:30" x14ac:dyDescent="0.25">
      <c r="A58" s="104"/>
      <c r="B58" s="31">
        <v>2040</v>
      </c>
      <c r="C58" s="6">
        <f>SUMIF('R4'!$L$7:$Q$7,B58,'R4'!$L$42:$Q$42)</f>
        <v>20.00198</v>
      </c>
      <c r="D58" s="43">
        <f>SUMIF('R4'!$L$7:$Q$7,B58,'R4'!$L$46:$Q$46)</f>
        <v>0.88225365744265238</v>
      </c>
      <c r="E58" s="35">
        <f>SUMIF('R4'!$L$7:$Q$7,B58,'R4'!$L$47:$Q$47)</f>
        <v>0.96476277921532627</v>
      </c>
      <c r="F58" s="50">
        <f t="shared" si="43"/>
        <v>1.0935208611226834</v>
      </c>
      <c r="G58" s="58">
        <f t="shared" si="45"/>
        <v>2.1098980390618787E-2</v>
      </c>
      <c r="H58" s="4">
        <f>SUMIF('R4'!$L$7:$Q$7,B58,'R4'!$L$44:$Q$44)</f>
        <v>0.99004983374916744</v>
      </c>
      <c r="I58" s="5">
        <f>SUMIF('R4'!$L$7:$Q$7,B58,'R4'!$L$45:$Q$45)</f>
        <v>1</v>
      </c>
      <c r="J58" s="5">
        <f t="shared" si="44"/>
        <v>1.0100501670841686</v>
      </c>
      <c r="K58" s="58">
        <f t="shared" si="46"/>
        <v>-1.9801326693244446E-2</v>
      </c>
      <c r="L58" s="27">
        <f>SUMIF('R4'!$L$7:$Q$7,B58,'R4'!$L$36:$Q$36)</f>
        <v>2.7098480580198738</v>
      </c>
      <c r="M58" s="24">
        <f>SUMIF('R4'!$L$7:$Q$7,B58,'R4'!$L$37:$Q$37)</f>
        <v>13.96316265089474</v>
      </c>
      <c r="N58" s="24">
        <f t="shared" si="0"/>
        <v>16.673010708914614</v>
      </c>
      <c r="O58" s="58"/>
      <c r="P58" s="40">
        <f t="shared" si="1"/>
        <v>5.1527474426362598</v>
      </c>
      <c r="Q58" s="58">
        <f t="shared" si="47"/>
        <v>-2.1984559008489437E-4</v>
      </c>
      <c r="R58" s="27">
        <f>SUMIF('R4'!$L$7:$Q$7,B58,'R4'!$L$40:$Q$40)</f>
        <v>204746.83610057729</v>
      </c>
      <c r="S58" s="58">
        <f t="shared" si="48"/>
        <v>-2.2215751266327043E-3</v>
      </c>
      <c r="T58" s="27">
        <f>SUMIF('R4'!$L$7:$Q$7,B58,'R4'!$L$41:$Q$41)</f>
        <v>252742.75950713371</v>
      </c>
      <c r="U58" s="58">
        <f t="shared" si="49"/>
        <v>-2.2838682600908298E-2</v>
      </c>
      <c r="V58" s="24">
        <f t="shared" si="2"/>
        <v>1.2344159466424161</v>
      </c>
      <c r="W58" s="58">
        <f t="shared" si="50"/>
        <v>-2.066301190757067E-2</v>
      </c>
      <c r="X58" s="27">
        <f>SUMIF('R4'!$L$7:$Q$7,B58,'R4'!$L$52:$Q$52)</f>
        <v>140139.16311804159</v>
      </c>
      <c r="Y58" s="58">
        <f t="shared" si="51"/>
        <v>-3.9972238732980107E-2</v>
      </c>
      <c r="Z58" s="27">
        <f>SUMIF('R4'!$L$7:$Q$7,B58,'R4'!$L$35:$Q$35)</f>
        <v>2336541.7674054401</v>
      </c>
      <c r="AA58" s="58">
        <f t="shared" si="52"/>
        <v>-3.9960598337996325E-2</v>
      </c>
      <c r="AB58" s="5"/>
      <c r="AC58" s="5"/>
      <c r="AD58" s="5"/>
    </row>
    <row r="59" spans="1:30" x14ac:dyDescent="0.25">
      <c r="A59" s="104"/>
      <c r="B59" s="31">
        <v>2060</v>
      </c>
      <c r="C59" s="6">
        <f>SUMIF('R4'!$L$7:$Q$7,B59,'R4'!$L$42:$Q$42)</f>
        <v>20.50189</v>
      </c>
      <c r="D59" s="43">
        <f>SUMIF('R4'!$L$7:$Q$7,B59,'R4'!$L$46:$Q$46)</f>
        <v>0.86311515559253815</v>
      </c>
      <c r="E59" s="35">
        <f>SUMIF('R4'!$L$7:$Q$7,B59,'R4'!$L$47:$Q$47)</f>
        <v>0.95414178358867729</v>
      </c>
      <c r="F59" s="50">
        <f t="shared" si="43"/>
        <v>1.105462900757024</v>
      </c>
      <c r="G59" s="58">
        <f t="shared" si="45"/>
        <v>3.2250120645858492E-2</v>
      </c>
      <c r="H59" s="4">
        <f>SUMIF('R4'!$L$7:$Q$7,B59,'R4'!$L$44:$Q$44)</f>
        <v>1</v>
      </c>
      <c r="I59" s="5">
        <f>SUMIF('R4'!$L$7:$Q$7,B59,'R4'!$L$45:$Q$45)</f>
        <v>1</v>
      </c>
      <c r="J59" s="5">
        <f t="shared" si="44"/>
        <v>1</v>
      </c>
      <c r="K59" s="58">
        <f t="shared" si="46"/>
        <v>-2.9554466451492109E-2</v>
      </c>
      <c r="L59" s="27">
        <f>SUMIF('R4'!$L$7:$Q$7,B59,'R4'!$L$36:$Q$36)</f>
        <v>2.5329863974725511</v>
      </c>
      <c r="M59" s="24">
        <f>SUMIF('R4'!$L$7:$Q$7,B59,'R4'!$L$37:$Q$37)</f>
        <v>24.215597521586091</v>
      </c>
      <c r="N59" s="24">
        <f t="shared" si="0"/>
        <v>26.748583919058643</v>
      </c>
      <c r="O59" s="58"/>
      <c r="P59" s="40">
        <f t="shared" si="1"/>
        <v>9.5600977351274956</v>
      </c>
      <c r="Q59" s="58">
        <f t="shared" si="47"/>
        <v>-4.351559573312612E-4</v>
      </c>
      <c r="R59" s="27">
        <f>SUMIF('R4'!$L$7:$Q$7,B59,'R4'!$L$40:$Q$40)</f>
        <v>318057.80712050822</v>
      </c>
      <c r="S59" s="58">
        <f t="shared" si="48"/>
        <v>-1.7509956929100774E-3</v>
      </c>
      <c r="T59" s="27">
        <f>SUMIF('R4'!$L$7:$Q$7,B59,'R4'!$L$41:$Q$41)</f>
        <v>388374.30047622888</v>
      </c>
      <c r="U59" s="58">
        <f t="shared" si="49"/>
        <v>-3.2938834938080995E-2</v>
      </c>
      <c r="V59" s="24">
        <f t="shared" si="2"/>
        <v>1.2210808594586033</v>
      </c>
      <c r="W59" s="58">
        <f t="shared" si="50"/>
        <v>-3.1242544806562699E-2</v>
      </c>
      <c r="X59" s="27">
        <f>SUMIF('R4'!$L$7:$Q$7,B59,'R4'!$L$52:$Q$52)</f>
        <v>216881.51449591701</v>
      </c>
      <c r="Y59" s="58">
        <f t="shared" si="51"/>
        <v>-6.0356626847101087E-2</v>
      </c>
      <c r="Z59" s="27">
        <f>SUMIF('R4'!$L$7:$Q$7,B59,'R4'!$L$35:$Q$35)</f>
        <v>5801273.3909865683</v>
      </c>
      <c r="AA59" s="58">
        <f t="shared" si="52"/>
        <v>-6.0335919213612102E-2</v>
      </c>
      <c r="AB59" s="5"/>
      <c r="AC59" s="5"/>
      <c r="AD59" s="5"/>
    </row>
    <row r="60" spans="1:30" x14ac:dyDescent="0.25">
      <c r="A60" s="104"/>
      <c r="B60" s="31">
        <v>2080</v>
      </c>
      <c r="C60" s="6">
        <f>SUMIF('R4'!$L$7:$Q$7,B60,'R4'!$L$42:$Q$42)</f>
        <v>20.769770000000001</v>
      </c>
      <c r="D60" s="43">
        <f>SUMIF('R4'!$L$7:$Q$7,B60,'R4'!$L$46:$Q$46)</f>
        <v>0.85313575176011658</v>
      </c>
      <c r="E60" s="35">
        <f>SUMIF('R4'!$L$7:$Q$7,B60,'R4'!$L$47:$Q$47)</f>
        <v>0.94834437421114004</v>
      </c>
      <c r="F60" s="50">
        <f t="shared" si="43"/>
        <v>1.1115984440396469</v>
      </c>
      <c r="G60" s="58">
        <f t="shared" si="45"/>
        <v>3.7979318151607641E-2</v>
      </c>
      <c r="H60" s="4">
        <f>SUMIF('R4'!$L$7:$Q$7,B60,'R4'!$L$44:$Q$44)</f>
        <v>1</v>
      </c>
      <c r="I60" s="5">
        <f>SUMIF('R4'!$L$7:$Q$7,B60,'R4'!$L$45:$Q$45)</f>
        <v>1</v>
      </c>
      <c r="J60" s="5">
        <f t="shared" si="44"/>
        <v>1</v>
      </c>
      <c r="K60" s="58">
        <f t="shared" si="46"/>
        <v>-2.9554466451492109E-2</v>
      </c>
      <c r="L60" s="27">
        <f>SUMIF('R4'!$L$7:$Q$7,B60,'R4'!$L$36:$Q$36)</f>
        <v>2.2679130507146561</v>
      </c>
      <c r="M60" s="24">
        <f>SUMIF('R4'!$L$7:$Q$7,B60,'R4'!$L$37:$Q$37)</f>
        <v>40.179525846611263</v>
      </c>
      <c r="N60" s="24">
        <f t="shared" si="0"/>
        <v>42.447438897325917</v>
      </c>
      <c r="O60" s="58"/>
      <c r="P60" s="40">
        <f t="shared" si="1"/>
        <v>17.716519526156457</v>
      </c>
      <c r="Q60" s="58">
        <f t="shared" si="47"/>
        <v>-1.817311644771362E-3</v>
      </c>
      <c r="R60" s="27">
        <f>SUMIF('R4'!$L$7:$Q$7,B60,'R4'!$L$40:$Q$40)</f>
        <v>445166.47408144362</v>
      </c>
      <c r="S60" s="58">
        <f t="shared" si="48"/>
        <v>-6.8940626573460559E-4</v>
      </c>
      <c r="T60" s="27">
        <f>SUMIF('R4'!$L$7:$Q$7,B60,'R4'!$L$41:$Q$41)</f>
        <v>540583.91044233181</v>
      </c>
      <c r="U60" s="58">
        <f t="shared" si="49"/>
        <v>-3.725384864719803E-2</v>
      </c>
      <c r="V60" s="24">
        <f t="shared" si="2"/>
        <v>1.21434102053119</v>
      </c>
      <c r="W60" s="58">
        <f t="shared" si="50"/>
        <v>-3.6589667527518098E-2</v>
      </c>
      <c r="X60" s="27">
        <f>SUMIF('R4'!$L$7:$Q$7,B60,'R4'!$L$52:$Q$52)</f>
        <v>303336.3074264797</v>
      </c>
      <c r="Y60" s="58">
        <f t="shared" si="51"/>
        <v>-7.0246388825036213E-2</v>
      </c>
      <c r="Z60" s="27">
        <f>SUMIF('R4'!$L$7:$Q$7,B60,'R4'!$L$35:$Q$35)</f>
        <v>12875849.37482596</v>
      </c>
      <c r="AA60" s="58">
        <f t="shared" si="52"/>
        <v>-7.0203437654159817E-2</v>
      </c>
      <c r="AB60" s="5"/>
      <c r="AC60" s="5"/>
      <c r="AD60" s="5"/>
    </row>
    <row r="61" spans="1:30" ht="15.75" thickBot="1" x14ac:dyDescent="0.3">
      <c r="A61" s="105"/>
      <c r="B61" s="32">
        <v>2100</v>
      </c>
      <c r="C61" s="9">
        <f>SUMIF('R4'!$L$7:$Q$7,B61,'R4'!$L$42:$Q$42)</f>
        <v>20.883690000000001</v>
      </c>
      <c r="D61" s="44">
        <f>SUMIF('R4'!$L$7:$Q$7,B61,'R4'!$L$46:$Q$46)</f>
        <v>0.84289864993793617</v>
      </c>
      <c r="E61" s="36">
        <f>SUMIF('R4'!$L$7:$Q$7,B61,'R4'!$L$47:$Q$47)</f>
        <v>0.94223331790392795</v>
      </c>
      <c r="F61" s="51">
        <f t="shared" si="43"/>
        <v>1.117848887257449</v>
      </c>
      <c r="G61" s="59">
        <f t="shared" si="45"/>
        <v>4.3815805980595798E-2</v>
      </c>
      <c r="H61" s="7">
        <f>SUMIF('R4'!$L$7:$Q$7,B61,'R4'!$L$44:$Q$44)</f>
        <v>1</v>
      </c>
      <c r="I61" s="8">
        <f>SUMIF('R4'!$L$7:$Q$7,B61,'R4'!$L$45:$Q$45)</f>
        <v>1</v>
      </c>
      <c r="J61" s="8">
        <f t="shared" si="44"/>
        <v>1</v>
      </c>
      <c r="K61" s="59">
        <f t="shared" si="46"/>
        <v>-2.9554466451492109E-2</v>
      </c>
      <c r="L61" s="28">
        <f>SUMIF('R4'!$L$7:$Q$7,B61,'R4'!$L$36:$Q$36)</f>
        <v>1.978649300208484</v>
      </c>
      <c r="M61" s="25">
        <f>SUMIF('R4'!$L$7:$Q$7,B61,'R4'!$L$37:$Q$37)</f>
        <v>64.961411882801471</v>
      </c>
      <c r="N61" s="25">
        <f t="shared" si="0"/>
        <v>66.940061183009959</v>
      </c>
      <c r="O61" s="59"/>
      <c r="P61" s="41">
        <f t="shared" si="1"/>
        <v>32.831190386268396</v>
      </c>
      <c r="Q61" s="59">
        <f t="shared" si="47"/>
        <v>-3.2155796244587422E-3</v>
      </c>
      <c r="R61" s="33">
        <f>SUMIF('R4'!$L$7:$Q$7,B61,'R4'!$L$40:$Q$40)</f>
        <v>585855.22670967656</v>
      </c>
      <c r="S61" s="59">
        <f t="shared" si="48"/>
        <v>-4.0638237641796841E-4</v>
      </c>
      <c r="T61" s="28">
        <f>SUMIF('R4'!$L$7:$Q$7,B61,'R4'!$L$41:$Q$41)</f>
        <v>707450.08965769864</v>
      </c>
      <c r="U61" s="59">
        <f t="shared" si="49"/>
        <v>-4.2365892625538394E-2</v>
      </c>
      <c r="V61" s="25">
        <f t="shared" si="2"/>
        <v>1.2075510423128459</v>
      </c>
      <c r="W61" s="59">
        <f t="shared" si="50"/>
        <v>-4.1976568786898011E-2</v>
      </c>
      <c r="X61" s="28">
        <f>SUMIF('R4'!$L$7:$Q$7,B61,'R4'!$L$52:$Q$52)</f>
        <v>396885.79426860792</v>
      </c>
      <c r="Y61" s="59">
        <f t="shared" si="51"/>
        <v>-8.1142633942813527E-2</v>
      </c>
      <c r="Z61" s="28">
        <f>SUMIF('R4'!$L$7:$Q$7,B61,'R4'!$L$35:$Q$35)</f>
        <v>26567559.35100811</v>
      </c>
      <c r="AA61" s="59">
        <f t="shared" si="52"/>
        <v>-8.1078046733936593E-2</v>
      </c>
      <c r="AB61" s="5"/>
      <c r="AC61" s="5"/>
      <c r="AD61" s="5"/>
    </row>
    <row r="62" spans="1:30" x14ac:dyDescent="0.25">
      <c r="A62" s="106" t="s">
        <v>6</v>
      </c>
      <c r="B62" s="21">
        <v>2000</v>
      </c>
      <c r="C62" s="3">
        <f>SUMIF('R5'!$L$7:$Q$7,B62,'R5'!$L$17:$Q$17)</f>
        <v>17.39819</v>
      </c>
      <c r="D62" s="42">
        <f>SUMIF('R5'!$L$7:$Q$7,B62,'R5'!$L$21:$Q$21)</f>
        <v>1</v>
      </c>
      <c r="E62" s="34">
        <f>SUMIF('R5'!$L$7:$Q$7,B62,'R5'!$L$22:$Q$22)</f>
        <v>1</v>
      </c>
      <c r="F62" s="45">
        <f>E62/D62</f>
        <v>1</v>
      </c>
      <c r="G62" s="53"/>
      <c r="H62" s="1">
        <f>SUMIF('R5'!$L$7:$Q$7,B62,'R5'!$L$19:$Q$19)</f>
        <v>0.92311634638663587</v>
      </c>
      <c r="I62" s="2">
        <f>SUMIF('R5'!$L$7:$Q$7,B62,'R5'!$L$20:$Q$20)</f>
        <v>1</v>
      </c>
      <c r="J62" s="2">
        <f>I62/H62</f>
        <v>1.0832870676749584</v>
      </c>
      <c r="K62" s="53"/>
      <c r="L62" s="26">
        <f>SUMIF('R5'!$L$7:$Q$7,B62,'R5'!$L$11:$Q$11)</f>
        <v>0.97033136301899992</v>
      </c>
      <c r="M62" s="24">
        <f>SUMIF('R5'!$L$7:$Q$7,B62,'R5'!$L$12:$Q$12)</f>
        <v>1.4521797769697999</v>
      </c>
      <c r="N62" s="23">
        <f t="shared" si="0"/>
        <v>2.4225111399887997</v>
      </c>
      <c r="O62" s="53"/>
      <c r="P62" s="38">
        <f t="shared" si="1"/>
        <v>1.4965813044026746</v>
      </c>
      <c r="Q62" s="53"/>
      <c r="R62" s="26">
        <f>SUMIF('R5'!$L$7:$Q$7,B62,'R5'!$L$15:$Q$15)</f>
        <v>45393.773600747983</v>
      </c>
      <c r="S62" s="53"/>
      <c r="T62" s="26">
        <f>SUMIF('R5'!$L$7:$Q$7,B62,'R5'!$L$16:$Q$16)</f>
        <v>59185.639391343168</v>
      </c>
      <c r="U62" s="53"/>
      <c r="V62" s="23">
        <f t="shared" si="2"/>
        <v>1.3038272585993584</v>
      </c>
      <c r="W62" s="53"/>
      <c r="X62" s="26">
        <f>SUMIF('R5'!$L$7:$Q$7,B62,'R5'!$L$27:$Q$27)</f>
        <v>18427.26254075639</v>
      </c>
      <c r="Y62" s="53"/>
      <c r="Z62" s="26">
        <f>SUMIF('R5'!$L$7:$Q$7,B62,'R5'!$L$10:$Q$10)</f>
        <v>77917.024970400002</v>
      </c>
      <c r="AA62" s="53"/>
      <c r="AB62" s="5"/>
      <c r="AC62" s="5"/>
      <c r="AD62" s="5"/>
    </row>
    <row r="63" spans="1:30" s="10" customFormat="1" x14ac:dyDescent="0.25">
      <c r="A63" s="107"/>
      <c r="B63" s="31">
        <v>2020</v>
      </c>
      <c r="C63" s="14">
        <f>SUMIF('R5'!$L$7:$Q$7,B63,'R5'!$L$17:$Q$17)</f>
        <v>17.39819</v>
      </c>
      <c r="D63" s="43">
        <f>SUMIF('R5'!$L$7:$Q$7,B63,'R5'!$L$21:$Q$21)</f>
        <v>0.96439833420871968</v>
      </c>
      <c r="E63" s="35">
        <f>SUMIF('R5'!$L$7:$Q$7,B63,'R5'!$L$22:$Q$22)</f>
        <v>0.99844694181596516</v>
      </c>
      <c r="F63" s="46">
        <f t="shared" ref="F63:F73" si="53">E63/D63</f>
        <v>1.0353055437773875</v>
      </c>
      <c r="G63" s="54"/>
      <c r="H63" s="4">
        <f>SUMIF('R5'!$L$7:$Q$7,B63,'R5'!$L$19:$Q$19)</f>
        <v>0.92311634638663587</v>
      </c>
      <c r="I63" s="5">
        <f>SUMIF('R5'!$L$7:$Q$7,B63,'R5'!$L$20:$Q$20)</f>
        <v>1</v>
      </c>
      <c r="J63" s="5">
        <f t="shared" ref="J63:J73" si="54">I63/H63</f>
        <v>1.0832870676749584</v>
      </c>
      <c r="K63" s="55"/>
      <c r="L63" s="27">
        <f>SUMIF('R5'!$L$7:$Q$7,B63,'R5'!$L$11:$Q$11)</f>
        <v>1.077592039064595</v>
      </c>
      <c r="M63" s="24">
        <f>SUMIF('R5'!$L$7:$Q$7,B63,'R5'!$L$12:$Q$12)</f>
        <v>2.9927587168420549</v>
      </c>
      <c r="N63" s="24">
        <f t="shared" si="0"/>
        <v>4.0703507559066496</v>
      </c>
      <c r="O63" s="55"/>
      <c r="P63" s="39">
        <f t="shared" si="1"/>
        <v>2.7772650579712175</v>
      </c>
      <c r="Q63" s="55"/>
      <c r="R63" s="27">
        <f>SUMIF('R5'!$L$7:$Q$7,B63,'R5'!$L$15:$Q$15)</f>
        <v>109613.8268010399</v>
      </c>
      <c r="S63" s="55"/>
      <c r="T63" s="27">
        <f>SUMIF('R5'!$L$7:$Q$7,B63,'R5'!$L$16:$Q$16)</f>
        <v>142917.4953025846</v>
      </c>
      <c r="U63" s="55"/>
      <c r="V63" s="24">
        <f t="shared" si="2"/>
        <v>1.3038272585993571</v>
      </c>
      <c r="W63" s="55"/>
      <c r="X63" s="27">
        <f>SUMIF('R5'!$L$7:$Q$7,B63,'R5'!$L$27:$Q$27)</f>
        <v>79742.572044224056</v>
      </c>
      <c r="Y63" s="55"/>
      <c r="Z63" s="27">
        <f>SUMIF('R5'!$L$7:$Q$7,B63,'R5'!$L$10:$Q$10)</f>
        <v>324580.23839814792</v>
      </c>
      <c r="AA63" s="55"/>
      <c r="AB63" s="13"/>
      <c r="AC63" s="13"/>
      <c r="AD63" s="13"/>
    </row>
    <row r="64" spans="1:30" x14ac:dyDescent="0.25">
      <c r="A64" s="107"/>
      <c r="B64" s="31">
        <v>2040</v>
      </c>
      <c r="C64" s="6">
        <f>SUMIF('R5'!$L$7:$Q$7,B64,'R5'!$L$17:$Q$17)</f>
        <v>17.39819</v>
      </c>
      <c r="D64" s="43">
        <f>SUMIF('R5'!$L$7:$Q$7,B64,'R5'!$L$21:$Q$21)</f>
        <v>0.96439833420871968</v>
      </c>
      <c r="E64" s="35">
        <f>SUMIF('R5'!$L$7:$Q$7,B64,'R5'!$L$22:$Q$22)</f>
        <v>0.99844694181596516</v>
      </c>
      <c r="F64" s="47">
        <f t="shared" si="53"/>
        <v>1.0353055437773875</v>
      </c>
      <c r="G64" s="55"/>
      <c r="H64" s="4">
        <f>SUMIF('R5'!$L$7:$Q$7,B64,'R5'!$L$19:$Q$19)</f>
        <v>0.92311634638663587</v>
      </c>
      <c r="I64" s="5">
        <f>SUMIF('R5'!$L$7:$Q$7,B64,'R5'!$L$20:$Q$20)</f>
        <v>1</v>
      </c>
      <c r="J64" s="5">
        <f t="shared" si="54"/>
        <v>1.0832870676749584</v>
      </c>
      <c r="K64" s="55"/>
      <c r="L64" s="27">
        <f>SUMIF('R5'!$L$7:$Q$7,B64,'R5'!$L$11:$Q$11)</f>
        <v>1.0805998628864859</v>
      </c>
      <c r="M64" s="24">
        <f>SUMIF('R5'!$L$7:$Q$7,B64,'R5'!$L$12:$Q$12)</f>
        <v>5.5692825622126696</v>
      </c>
      <c r="N64" s="24">
        <f t="shared" si="0"/>
        <v>6.6498824250991557</v>
      </c>
      <c r="O64" s="55"/>
      <c r="P64" s="40">
        <f t="shared" si="1"/>
        <v>5.1538805005361246</v>
      </c>
      <c r="Q64" s="55"/>
      <c r="R64" s="27">
        <f>SUMIF('R5'!$L$7:$Q$7,B64,'R5'!$L$15:$Q$15)</f>
        <v>200497.62255490071</v>
      </c>
      <c r="S64" s="55"/>
      <c r="T64" s="27">
        <f>SUMIF('R5'!$L$7:$Q$7,B64,'R5'!$L$16:$Q$16)</f>
        <v>261414.26557144479</v>
      </c>
      <c r="U64" s="55"/>
      <c r="V64" s="24">
        <f t="shared" si="2"/>
        <v>1.3038272585993569</v>
      </c>
      <c r="W64" s="55"/>
      <c r="X64" s="27">
        <f>SUMIF('R5'!$L$7:$Q$7,B64,'R5'!$L$27:$Q$27)</f>
        <v>150009.25288880811</v>
      </c>
      <c r="Y64" s="55"/>
      <c r="Z64" s="27">
        <f>SUMIF('R5'!$L$7:$Q$7,B64,'R5'!$L$10:$Q$10)</f>
        <v>997543.89438753994</v>
      </c>
      <c r="AA64" s="55"/>
      <c r="AB64" s="5"/>
      <c r="AC64" s="5"/>
      <c r="AD64" s="5"/>
    </row>
    <row r="65" spans="1:30" x14ac:dyDescent="0.25">
      <c r="A65" s="107"/>
      <c r="B65" s="31">
        <v>2060</v>
      </c>
      <c r="C65" s="6">
        <f>SUMIF('R5'!$L$7:$Q$7,B65,'R5'!$L$17:$Q$17)</f>
        <v>17.39819</v>
      </c>
      <c r="D65" s="43">
        <f>SUMIF('R5'!$L$7:$Q$7,B65,'R5'!$L$21:$Q$21)</f>
        <v>0.96439833420871968</v>
      </c>
      <c r="E65" s="35">
        <f>SUMIF('R5'!$L$7:$Q$7,B65,'R5'!$L$22:$Q$22)</f>
        <v>0.99844694181596516</v>
      </c>
      <c r="F65" s="47">
        <f t="shared" si="53"/>
        <v>1.0353055437773875</v>
      </c>
      <c r="G65" s="55"/>
      <c r="H65" s="4">
        <f>SUMIF('R5'!$L$7:$Q$7,B65,'R5'!$L$19:$Q$19)</f>
        <v>0.92311634638663587</v>
      </c>
      <c r="I65" s="5">
        <f>SUMIF('R5'!$L$7:$Q$7,B65,'R5'!$L$20:$Q$20)</f>
        <v>1</v>
      </c>
      <c r="J65" s="5">
        <f t="shared" si="54"/>
        <v>1.0832870676749584</v>
      </c>
      <c r="K65" s="55"/>
      <c r="L65" s="27">
        <f>SUMIF('R5'!$L$7:$Q$7,B65,'R5'!$L$11:$Q$11)</f>
        <v>1.009851139453539</v>
      </c>
      <c r="M65" s="24">
        <f>SUMIF('R5'!$L$7:$Q$7,B65,'R5'!$L$12:$Q$12)</f>
        <v>9.6584785355792118</v>
      </c>
      <c r="N65" s="24">
        <f t="shared" si="0"/>
        <v>10.668329675032751</v>
      </c>
      <c r="O65" s="55"/>
      <c r="P65" s="40">
        <f t="shared" si="1"/>
        <v>9.5642596797045822</v>
      </c>
      <c r="Q65" s="55"/>
      <c r="R65" s="27">
        <f>SUMIF('R5'!$L$7:$Q$7,B65,'R5'!$L$15:$Q$15)</f>
        <v>309898.1891654678</v>
      </c>
      <c r="S65" s="55"/>
      <c r="T65" s="27">
        <f>SUMIF('R5'!$L$7:$Q$7,B65,'R5'!$L$16:$Q$16)</f>
        <v>404053.70642451692</v>
      </c>
      <c r="U65" s="55"/>
      <c r="V65" s="24">
        <f t="shared" si="2"/>
        <v>1.3038272585993573</v>
      </c>
      <c r="W65" s="55"/>
      <c r="X65" s="27">
        <f>SUMIF('R5'!$L$7:$Q$7,B65,'R5'!$L$27:$Q$27)</f>
        <v>236117.14833106019</v>
      </c>
      <c r="Y65" s="55"/>
      <c r="Z65" s="27">
        <f>SUMIF('R5'!$L$7:$Q$7,B65,'R5'!$L$10:$Q$10)</f>
        <v>2518975.5803243588</v>
      </c>
      <c r="AA65" s="55"/>
      <c r="AB65" s="5"/>
      <c r="AC65" s="5"/>
      <c r="AD65" s="5"/>
    </row>
    <row r="66" spans="1:30" x14ac:dyDescent="0.25">
      <c r="A66" s="107"/>
      <c r="B66" s="31">
        <v>2080</v>
      </c>
      <c r="C66" s="6">
        <f>SUMIF('R5'!$L$7:$Q$7,B66,'R5'!$L$17:$Q$17)</f>
        <v>17.39819</v>
      </c>
      <c r="D66" s="43">
        <f>SUMIF('R5'!$L$7:$Q$7,B66,'R5'!$L$21:$Q$21)</f>
        <v>0.96439833420871968</v>
      </c>
      <c r="E66" s="35">
        <f>SUMIF('R5'!$L$7:$Q$7,B66,'R5'!$L$22:$Q$22)</f>
        <v>0.99844694181596516</v>
      </c>
      <c r="F66" s="47">
        <f t="shared" si="53"/>
        <v>1.0353055437773875</v>
      </c>
      <c r="G66" s="55"/>
      <c r="H66" s="4">
        <f>SUMIF('R5'!$L$7:$Q$7,B66,'R5'!$L$19:$Q$19)</f>
        <v>0.92311634638663587</v>
      </c>
      <c r="I66" s="5">
        <f>SUMIF('R5'!$L$7:$Q$7,B66,'R5'!$L$20:$Q$20)</f>
        <v>1</v>
      </c>
      <c r="J66" s="5">
        <f t="shared" si="54"/>
        <v>1.0832870676749584</v>
      </c>
      <c r="K66" s="55"/>
      <c r="L66" s="27">
        <f>SUMIF('R5'!$L$7:$Q$7,B66,'R5'!$L$11:$Q$11)</f>
        <v>0.90295008955022826</v>
      </c>
      <c r="M66" s="24">
        <f>SUMIF('R5'!$L$7:$Q$7,B66,'R5'!$L$12:$Q$12)</f>
        <v>16.026257597214869</v>
      </c>
      <c r="N66" s="24">
        <f t="shared" ref="N66:N129" si="55">M66+L66</f>
        <v>16.929207686765096</v>
      </c>
      <c r="O66" s="55"/>
      <c r="P66" s="40">
        <f t="shared" ref="P66:P129" si="56">M66/L66</f>
        <v>17.748774580882721</v>
      </c>
      <c r="Q66" s="55"/>
      <c r="R66" s="27">
        <f>SUMIF('R5'!$L$7:$Q$7,B66,'R5'!$L$15:$Q$15)</f>
        <v>432120.26022089558</v>
      </c>
      <c r="S66" s="55"/>
      <c r="T66" s="27">
        <f>SUMIF('R5'!$L$7:$Q$7,B66,'R5'!$L$16:$Q$16)</f>
        <v>563410.17426905094</v>
      </c>
      <c r="U66" s="55"/>
      <c r="V66" s="24">
        <f t="shared" ref="V66:V129" si="57">T66/R66</f>
        <v>1.3038272585993567</v>
      </c>
      <c r="W66" s="55"/>
      <c r="X66" s="27">
        <f>SUMIF('R5'!$L$7:$Q$7,B66,'R5'!$L$27:$Q$27)</f>
        <v>332855.22294734378</v>
      </c>
      <c r="Y66" s="55"/>
      <c r="Z66" s="27">
        <f>SUMIF('R5'!$L$7:$Q$7,B66,'R5'!$L$10:$Q$10)</f>
        <v>5634975.1989000821</v>
      </c>
      <c r="AA66" s="55"/>
      <c r="AB66" s="5"/>
      <c r="AC66" s="5"/>
      <c r="AD66" s="5"/>
    </row>
    <row r="67" spans="1:30" ht="15.75" thickBot="1" x14ac:dyDescent="0.3">
      <c r="A67" s="108"/>
      <c r="B67" s="32">
        <v>2100</v>
      </c>
      <c r="C67" s="9">
        <f>SUMIF('R5'!$L$7:$Q$7,B67,'R5'!$L$17:$Q$17)</f>
        <v>17.39819</v>
      </c>
      <c r="D67" s="44">
        <f>SUMIF('R5'!$L$7:$Q$7,B67,'R5'!$L$21:$Q$21)</f>
        <v>0.96439833420871968</v>
      </c>
      <c r="E67" s="36">
        <f>SUMIF('R5'!$L$7:$Q$7,B67,'R5'!$L$22:$Q$22)</f>
        <v>0.99844694181596516</v>
      </c>
      <c r="F67" s="48">
        <f t="shared" si="53"/>
        <v>1.0353055437773875</v>
      </c>
      <c r="G67" s="56"/>
      <c r="H67" s="7">
        <f>SUMIF('R5'!$L$7:$Q$7,B67,'R5'!$L$19:$Q$19)</f>
        <v>0.92311634638663587</v>
      </c>
      <c r="I67" s="8">
        <f>SUMIF('R5'!$L$7:$Q$7,B67,'R5'!$L$20:$Q$20)</f>
        <v>1</v>
      </c>
      <c r="J67" s="8">
        <f t="shared" si="54"/>
        <v>1.0832870676749584</v>
      </c>
      <c r="K67" s="56"/>
      <c r="L67" s="28">
        <f>SUMIF('R5'!$L$7:$Q$7,B67,'R5'!$L$11:$Q$11)</f>
        <v>0.78665811203172464</v>
      </c>
      <c r="M67" s="25">
        <f>SUMIF('R5'!$L$7:$Q$7,B67,'R5'!$L$12:$Q$12)</f>
        <v>25.91023868058215</v>
      </c>
      <c r="N67" s="25">
        <f t="shared" si="55"/>
        <v>26.696896792613874</v>
      </c>
      <c r="O67" s="56"/>
      <c r="P67" s="41">
        <f t="shared" si="56"/>
        <v>32.937102261188187</v>
      </c>
      <c r="Q67" s="56"/>
      <c r="R67" s="28">
        <f>SUMIF('R5'!$L$7:$Q$7,B67,'R5'!$L$15:$Q$15)</f>
        <v>567655.96896973415</v>
      </c>
      <c r="S67" s="56"/>
      <c r="T67" s="28">
        <f>SUMIF('R5'!$L$7:$Q$7,B67,'R5'!$L$16:$Q$16)</f>
        <v>740125.32584936998</v>
      </c>
      <c r="U67" s="56"/>
      <c r="V67" s="25">
        <f t="shared" si="57"/>
        <v>1.3038272585993567</v>
      </c>
      <c r="W67" s="56"/>
      <c r="X67" s="28">
        <f>SUMIF('R5'!$L$7:$Q$7,B67,'R5'!$L$27:$Q$27)</f>
        <v>439999.32611759641</v>
      </c>
      <c r="Y67" s="56"/>
      <c r="Z67" s="28">
        <f>SUMIF('R5'!$L$7:$Q$7,B67,'R5'!$L$10:$Q$10)</f>
        <v>11746616.598181119</v>
      </c>
      <c r="AA67" s="56"/>
      <c r="AB67" s="5"/>
      <c r="AC67" s="5"/>
      <c r="AD67" s="5"/>
    </row>
    <row r="68" spans="1:30" x14ac:dyDescent="0.25">
      <c r="A68" s="106" t="str">
        <f>'R5'!B1</f>
        <v>North West</v>
      </c>
      <c r="B68" s="21">
        <v>2000</v>
      </c>
      <c r="C68" s="3">
        <f>SUMIF('R5'!$L$7:$Q$7,B68,'R5'!$L$42:$Q$42)</f>
        <v>17.39819</v>
      </c>
      <c r="D68" s="42">
        <f>SUMIF('R5'!$L$7:$Q$7,B68,'R5'!$L$46:$Q$46)</f>
        <v>1</v>
      </c>
      <c r="E68" s="34">
        <f>SUMIF('R5'!$L$7:$Q$7,B68,'R5'!$L$47:$Q$47)</f>
        <v>1</v>
      </c>
      <c r="F68" s="49">
        <f t="shared" si="53"/>
        <v>1</v>
      </c>
      <c r="G68" s="57">
        <f t="shared" ref="G68:G73" si="58">(F68-$F62)/$F62</f>
        <v>0</v>
      </c>
      <c r="H68" s="1">
        <f>SUMIF('R5'!$L$7:$Q$7,B68,'R5'!$L$44:$Q$44)</f>
        <v>0.92311634638663587</v>
      </c>
      <c r="I68" s="2">
        <f>SUMIF('R5'!$L$7:$Q$7,B68,'R5'!$L$45:$Q$45)</f>
        <v>1</v>
      </c>
      <c r="J68" s="2">
        <f t="shared" si="54"/>
        <v>1.0832870676749584</v>
      </c>
      <c r="K68" s="57">
        <f t="shared" ref="K68:K73" si="59">(J68-$J62)/$J62</f>
        <v>0</v>
      </c>
      <c r="L68" s="26">
        <f>SUMIF('R5'!$L$7:$Q$7,B68,'R5'!$L$36:$Q$36)</f>
        <v>0.97033136301899992</v>
      </c>
      <c r="M68" s="23">
        <f>SUMIF('R5'!$L$7:$Q$7,B68,'R5'!$L$37:$Q$37)</f>
        <v>1.4521797769697999</v>
      </c>
      <c r="N68" s="23">
        <f t="shared" si="55"/>
        <v>2.4225111399887997</v>
      </c>
      <c r="O68" s="57"/>
      <c r="P68" s="38">
        <f t="shared" si="56"/>
        <v>1.4965813044026746</v>
      </c>
      <c r="Q68" s="57">
        <f t="shared" ref="Q68:Q73" si="60">(P68-$P62)/$P62</f>
        <v>0</v>
      </c>
      <c r="R68" s="26">
        <f>SUMIF('R5'!$L$7:$Q$7,B68,'R5'!$L$40:$Q$40)</f>
        <v>45393.773600747983</v>
      </c>
      <c r="S68" s="57">
        <f t="shared" ref="S68:S73" si="61">(R68-$R62)/$R62</f>
        <v>0</v>
      </c>
      <c r="T68" s="26">
        <f>SUMIF('R5'!$L$7:$Q$7,B68,'R5'!$L$41:$Q$41)</f>
        <v>59185.639391343168</v>
      </c>
      <c r="U68" s="57">
        <f t="shared" ref="U68:U73" si="62">(T68-$T62)/$T62</f>
        <v>0</v>
      </c>
      <c r="V68" s="23">
        <f t="shared" si="57"/>
        <v>1.3038272585993584</v>
      </c>
      <c r="W68" s="57">
        <f t="shared" ref="W68:W73" si="63">(V68-$V62)/$V62</f>
        <v>0</v>
      </c>
      <c r="X68" s="26">
        <f>SUMIF('R5'!$L$7:$Q$7,B68,'R5'!$L$52:$Q$52)</f>
        <v>18427.26254075639</v>
      </c>
      <c r="Y68" s="57">
        <f t="shared" ref="Y68:Y73" si="64">(X68-$X62)/$X62</f>
        <v>0</v>
      </c>
      <c r="Z68" s="26">
        <f>SUMIF('R5'!$L$7:$Q$7,B68,'R5'!$L$35:$Q$35)</f>
        <v>77917.024970400002</v>
      </c>
      <c r="AA68" s="57">
        <f t="shared" ref="AA68:AA73" si="65">(Z68-$Z62)/$Z62</f>
        <v>0</v>
      </c>
      <c r="AB68" s="5"/>
      <c r="AC68" s="5"/>
      <c r="AD68" s="5"/>
    </row>
    <row r="69" spans="1:30" x14ac:dyDescent="0.25">
      <c r="A69" s="107"/>
      <c r="B69" s="31">
        <v>2020</v>
      </c>
      <c r="C69" s="14">
        <f>SUMIF('R5'!$L$7:$Q$7,B69,'R5'!$L$42:$Q$42)</f>
        <v>18.115749999999998</v>
      </c>
      <c r="D69" s="43">
        <f>SUMIF('R5'!$L$7:$Q$7,B69,'R5'!$L$46:$Q$46)</f>
        <v>0.94627095271536965</v>
      </c>
      <c r="E69" s="35">
        <f>SUMIF('R5'!$L$7:$Q$7,B69,'R5'!$L$47:$Q$47)</f>
        <v>0.99356517912022047</v>
      </c>
      <c r="F69" s="50">
        <f t="shared" si="53"/>
        <v>1.0499795817140301</v>
      </c>
      <c r="G69" s="58">
        <f t="shared" si="58"/>
        <v>1.4173630214615944E-2</v>
      </c>
      <c r="H69" s="4">
        <f>SUMIF('R5'!$L$7:$Q$7,B69,'R5'!$L$44:$Q$44)</f>
        <v>0.95122942450071424</v>
      </c>
      <c r="I69" s="5">
        <f>SUMIF('R5'!$L$7:$Q$7,B69,'R5'!$L$45:$Q$45)</f>
        <v>1</v>
      </c>
      <c r="J69" s="13">
        <f t="shared" si="54"/>
        <v>1.0512710963760239</v>
      </c>
      <c r="K69" s="58">
        <f t="shared" si="59"/>
        <v>-2.9554466451491831E-2</v>
      </c>
      <c r="L69" s="27">
        <f>SUMIF('R5'!$L$7:$Q$7,B69,'R5'!$L$36:$Q$36)</f>
        <v>1.0742089903204051</v>
      </c>
      <c r="M69" s="24">
        <f>SUMIF('R5'!$L$7:$Q$7,B69,'R5'!$L$37:$Q$37)</f>
        <v>2.995264939542452</v>
      </c>
      <c r="N69" s="24">
        <f t="shared" si="55"/>
        <v>4.0694739298628573</v>
      </c>
      <c r="O69" s="58"/>
      <c r="P69" s="39">
        <f t="shared" si="56"/>
        <v>2.7883446950570132</v>
      </c>
      <c r="Q69" s="58">
        <f t="shared" si="60"/>
        <v>3.9894057119234314E-3</v>
      </c>
      <c r="R69" s="27">
        <f>SUMIF('R5'!$L$7:$Q$7,B69,'R5'!$L$40:$Q$40)</f>
        <v>109970.4914349871</v>
      </c>
      <c r="S69" s="58">
        <f t="shared" si="61"/>
        <v>3.2538288677264582E-3</v>
      </c>
      <c r="T69" s="27">
        <f>SUMIF('R5'!$L$7:$Q$7,B69,'R5'!$L$41:$Q$41)</f>
        <v>141378.67531042109</v>
      </c>
      <c r="U69" s="58">
        <f t="shared" si="62"/>
        <v>-1.0767191160924863E-2</v>
      </c>
      <c r="V69" s="24">
        <f t="shared" si="57"/>
        <v>1.2856055607790209</v>
      </c>
      <c r="W69" s="58">
        <f t="shared" si="63"/>
        <v>-1.3975545993654845E-2</v>
      </c>
      <c r="X69" s="27">
        <f>SUMIF('R5'!$L$7:$Q$7,B69,'R5'!$L$52:$Q$52)</f>
        <v>78515.190280982439</v>
      </c>
      <c r="Y69" s="58">
        <f t="shared" si="64"/>
        <v>-1.53918005373708E-2</v>
      </c>
      <c r="Z69" s="27">
        <f>SUMIF('R5'!$L$7:$Q$7,B69,'R5'!$L$35:$Q$35)</f>
        <v>319515.51994667959</v>
      </c>
      <c r="AA69" s="58">
        <f t="shared" si="65"/>
        <v>-1.560390267892918E-2</v>
      </c>
      <c r="AB69" s="5"/>
      <c r="AC69" s="5"/>
      <c r="AD69" s="5"/>
    </row>
    <row r="70" spans="1:30" x14ac:dyDescent="0.25">
      <c r="A70" s="107"/>
      <c r="B70" s="31">
        <v>2040</v>
      </c>
      <c r="C70" s="6">
        <f>SUMIF('R5'!$L$7:$Q$7,B70,'R5'!$L$42:$Q$42)</f>
        <v>18.783930000000002</v>
      </c>
      <c r="D70" s="43">
        <f>SUMIF('R5'!$L$7:$Q$7,B70,'R5'!$L$46:$Q$46)</f>
        <v>0.92479939883583451</v>
      </c>
      <c r="E70" s="35">
        <f>SUMIF('R5'!$L$7:$Q$7,B70,'R5'!$L$47:$Q$47)</f>
        <v>0.98540782953795247</v>
      </c>
      <c r="F70" s="50">
        <f t="shared" si="53"/>
        <v>1.0655368405066155</v>
      </c>
      <c r="G70" s="58">
        <f t="shared" si="58"/>
        <v>2.9200362067923341E-2</v>
      </c>
      <c r="H70" s="4">
        <f>SUMIF('R5'!$L$7:$Q$7,B70,'R5'!$L$44:$Q$44)</f>
        <v>0.97044553354850793</v>
      </c>
      <c r="I70" s="5">
        <f>SUMIF('R5'!$L$7:$Q$7,B70,'R5'!$L$45:$Q$45)</f>
        <v>1</v>
      </c>
      <c r="J70" s="5">
        <f t="shared" si="54"/>
        <v>1.0304545339535172</v>
      </c>
      <c r="K70" s="58">
        <f t="shared" si="59"/>
        <v>-4.8770575499285589E-2</v>
      </c>
      <c r="L70" s="27">
        <f>SUMIF('R5'!$L$7:$Q$7,B70,'R5'!$L$36:$Q$36)</f>
        <v>1.075366473049741</v>
      </c>
      <c r="M70" s="24">
        <f>SUMIF('R5'!$L$7:$Q$7,B70,'R5'!$L$37:$Q$37)</f>
        <v>5.5717873799623332</v>
      </c>
      <c r="N70" s="24">
        <f t="shared" si="55"/>
        <v>6.6471538530120746</v>
      </c>
      <c r="O70" s="58"/>
      <c r="P70" s="40">
        <f t="shared" si="56"/>
        <v>5.1812916987831468</v>
      </c>
      <c r="Q70" s="58">
        <f t="shared" si="60"/>
        <v>5.3185552602880099E-3</v>
      </c>
      <c r="R70" s="27">
        <f>SUMIF('R5'!$L$7:$Q$7,B70,'R5'!$L$40:$Q$40)</f>
        <v>202180.47743507181</v>
      </c>
      <c r="S70" s="58">
        <f t="shared" si="61"/>
        <v>8.3933906982378171E-3</v>
      </c>
      <c r="T70" s="27">
        <f>SUMIF('R5'!$L$7:$Q$7,B70,'R5'!$L$41:$Q$41)</f>
        <v>256129.34794039809</v>
      </c>
      <c r="U70" s="58">
        <f t="shared" si="62"/>
        <v>-2.0216638214039347E-2</v>
      </c>
      <c r="V70" s="24">
        <f t="shared" si="57"/>
        <v>1.2668352117362638</v>
      </c>
      <c r="W70" s="58">
        <f t="shared" si="63"/>
        <v>-2.8371892533395868E-2</v>
      </c>
      <c r="X70" s="27">
        <f>SUMIF('R5'!$L$7:$Q$7,B70,'R5'!$L$52:$Q$52)</f>
        <v>145085.42850926501</v>
      </c>
      <c r="Y70" s="58">
        <f t="shared" si="64"/>
        <v>-3.2823471117430392E-2</v>
      </c>
      <c r="Z70" s="27">
        <f>SUMIF('R5'!$L$7:$Q$7,B70,'R5'!$L$35:$Q$35)</f>
        <v>964405.16513126821</v>
      </c>
      <c r="AA70" s="58">
        <f t="shared" si="65"/>
        <v>-3.3220321875277334E-2</v>
      </c>
      <c r="AB70" s="5"/>
      <c r="AC70" s="5"/>
      <c r="AD70" s="5"/>
    </row>
    <row r="71" spans="1:30" x14ac:dyDescent="0.25">
      <c r="A71" s="107"/>
      <c r="B71" s="31">
        <v>2060</v>
      </c>
      <c r="C71" s="6">
        <f>SUMIF('R5'!$L$7:$Q$7,B71,'R5'!$L$42:$Q$42)</f>
        <v>19.455220000000001</v>
      </c>
      <c r="D71" s="43">
        <f>SUMIF('R5'!$L$7:$Q$7,B71,'R5'!$L$46:$Q$46)</f>
        <v>0.90022563327805616</v>
      </c>
      <c r="E71" s="35">
        <f>SUMIF('R5'!$L$7:$Q$7,B71,'R5'!$L$47:$Q$47)</f>
        <v>0.97405330480158026</v>
      </c>
      <c r="F71" s="50">
        <f t="shared" si="53"/>
        <v>1.0820101858849431</v>
      </c>
      <c r="G71" s="58">
        <f t="shared" si="58"/>
        <v>4.5111940516758341E-2</v>
      </c>
      <c r="H71" s="4">
        <f>SUMIF('R5'!$L$7:$Q$7,B71,'R5'!$L$44:$Q$44)</f>
        <v>0.98019867330675492</v>
      </c>
      <c r="I71" s="5">
        <f>SUMIF('R5'!$L$7:$Q$7,B71,'R5'!$L$45:$Q$45)</f>
        <v>1</v>
      </c>
      <c r="J71" s="5">
        <f t="shared" si="54"/>
        <v>1.0202013400267562</v>
      </c>
      <c r="K71" s="58">
        <f t="shared" si="59"/>
        <v>-5.8235466415750788E-2</v>
      </c>
      <c r="L71" s="27">
        <f>SUMIF('R5'!$L$7:$Q$7,B71,'R5'!$L$36:$Q$36)</f>
        <v>1.0057246547813961</v>
      </c>
      <c r="M71" s="24">
        <f>SUMIF('R5'!$L$7:$Q$7,B71,'R5'!$L$37:$Q$37)</f>
        <v>9.6572654871013501</v>
      </c>
      <c r="N71" s="24">
        <f t="shared" si="55"/>
        <v>10.662990141882746</v>
      </c>
      <c r="O71" s="58"/>
      <c r="P71" s="40">
        <f t="shared" si="56"/>
        <v>9.6022956593427153</v>
      </c>
      <c r="Q71" s="58">
        <f t="shared" si="60"/>
        <v>3.9768869637496025E-3</v>
      </c>
      <c r="R71" s="27">
        <f>SUMIF('R5'!$L$7:$Q$7,B71,'R5'!$L$40:$Q$40)</f>
        <v>313938.70483061328</v>
      </c>
      <c r="S71" s="58">
        <f t="shared" si="61"/>
        <v>1.3038203533961509E-2</v>
      </c>
      <c r="T71" s="27">
        <f>SUMIF('R5'!$L$7:$Q$7,B71,'R5'!$L$41:$Q$41)</f>
        <v>391653.58754311159</v>
      </c>
      <c r="U71" s="58">
        <f t="shared" si="62"/>
        <v>-3.0689283835889904E-2</v>
      </c>
      <c r="V71" s="24">
        <f t="shared" si="57"/>
        <v>1.2475479497006579</v>
      </c>
      <c r="W71" s="58">
        <f t="shared" si="63"/>
        <v>-4.3164697261474497E-2</v>
      </c>
      <c r="X71" s="27">
        <f>SUMIF('R5'!$L$7:$Q$7,B71,'R5'!$L$52:$Q$52)</f>
        <v>223299.35109896341</v>
      </c>
      <c r="Y71" s="58">
        <f t="shared" si="64"/>
        <v>-5.4285753164039274E-2</v>
      </c>
      <c r="Z71" s="27">
        <f>SUMIF('R5'!$L$7:$Q$7,B71,'R5'!$L$35:$Q$35)</f>
        <v>2381038.7794570611</v>
      </c>
      <c r="AA71" s="58">
        <f t="shared" si="65"/>
        <v>-5.4759086171663522E-2</v>
      </c>
      <c r="AB71" s="5"/>
      <c r="AC71" s="5"/>
      <c r="AD71" s="5"/>
    </row>
    <row r="72" spans="1:30" x14ac:dyDescent="0.25">
      <c r="A72" s="107"/>
      <c r="B72" s="31">
        <v>2080</v>
      </c>
      <c r="C72" s="6">
        <f>SUMIF('R5'!$L$7:$Q$7,B72,'R5'!$L$42:$Q$42)</f>
        <v>19.808800000000002</v>
      </c>
      <c r="D72" s="43">
        <f>SUMIF('R5'!$L$7:$Q$7,B72,'R5'!$L$46:$Q$46)</f>
        <v>0.89139111669784621</v>
      </c>
      <c r="E72" s="35">
        <f>SUMIF('R5'!$L$7:$Q$7,B72,'R5'!$L$47:$Q$47)</f>
        <v>0.96957624782154495</v>
      </c>
      <c r="F72" s="50">
        <f t="shared" si="53"/>
        <v>1.0877113644719001</v>
      </c>
      <c r="G72" s="58">
        <f t="shared" si="58"/>
        <v>5.0618699966877567E-2</v>
      </c>
      <c r="H72" s="4">
        <f>SUMIF('R5'!$L$7:$Q$7,B72,'R5'!$L$44:$Q$44)</f>
        <v>0.99004983374916744</v>
      </c>
      <c r="I72" s="5">
        <f>SUMIF('R5'!$L$7:$Q$7,B72,'R5'!$L$45:$Q$45)</f>
        <v>1</v>
      </c>
      <c r="J72" s="5">
        <f t="shared" si="54"/>
        <v>1.0100501670841686</v>
      </c>
      <c r="K72" s="58">
        <f t="shared" si="59"/>
        <v>-6.760618009405113E-2</v>
      </c>
      <c r="L72" s="27">
        <f>SUMIF('R5'!$L$7:$Q$7,B72,'R5'!$L$36:$Q$36)</f>
        <v>0.89804259493054095</v>
      </c>
      <c r="M72" s="24">
        <f>SUMIF('R5'!$L$7:$Q$7,B72,'R5'!$L$37:$Q$37)</f>
        <v>16.021537165969988</v>
      </c>
      <c r="N72" s="24">
        <f t="shared" si="55"/>
        <v>16.919579760900529</v>
      </c>
      <c r="O72" s="58"/>
      <c r="P72" s="40">
        <f t="shared" si="56"/>
        <v>17.840509187884539</v>
      </c>
      <c r="Q72" s="58">
        <f t="shared" si="60"/>
        <v>5.1685036949326111E-3</v>
      </c>
      <c r="R72" s="27">
        <f>SUMIF('R5'!$L$7:$Q$7,B72,'R5'!$L$40:$Q$40)</f>
        <v>439097.53031888121</v>
      </c>
      <c r="S72" s="58">
        <f t="shared" si="61"/>
        <v>1.6146593298862959E-2</v>
      </c>
      <c r="T72" s="27">
        <f>SUMIF('R5'!$L$7:$Q$7,B72,'R5'!$L$41:$Q$41)</f>
        <v>544923.98548727902</v>
      </c>
      <c r="U72" s="58">
        <f t="shared" si="62"/>
        <v>-3.2811244145094245E-2</v>
      </c>
      <c r="V72" s="24">
        <f t="shared" si="57"/>
        <v>1.2410089965469506</v>
      </c>
      <c r="W72" s="58">
        <f t="shared" si="63"/>
        <v>-4.8179896253963038E-2</v>
      </c>
      <c r="X72" s="27">
        <f>SUMIF('R5'!$L$7:$Q$7,B72,'R5'!$L$52:$Q$52)</f>
        <v>312646.2560455252</v>
      </c>
      <c r="Y72" s="58">
        <f t="shared" si="64"/>
        <v>-6.0713984665385738E-2</v>
      </c>
      <c r="Z72" s="27">
        <f>SUMIF('R5'!$L$7:$Q$7,B72,'R5'!$L$35:$Q$35)</f>
        <v>5289843.2661091937</v>
      </c>
      <c r="AA72" s="58">
        <f t="shared" si="65"/>
        <v>-6.1248172460147902E-2</v>
      </c>
      <c r="AB72" s="5"/>
      <c r="AC72" s="5"/>
      <c r="AD72" s="5"/>
    </row>
    <row r="73" spans="1:30" ht="15.75" thickBot="1" x14ac:dyDescent="0.3">
      <c r="A73" s="108"/>
      <c r="B73" s="32">
        <v>2100</v>
      </c>
      <c r="C73" s="9">
        <f>SUMIF('R5'!$L$7:$Q$7,B73,'R5'!$L$42:$Q$42)</f>
        <v>19.994959999999999</v>
      </c>
      <c r="D73" s="44">
        <f>SUMIF('R5'!$L$7:$Q$7,B73,'R5'!$L$46:$Q$46)</f>
        <v>0.88225365744265238</v>
      </c>
      <c r="E73" s="36">
        <f>SUMIF('R5'!$L$7:$Q$7,B73,'R5'!$L$47:$Q$47)</f>
        <v>0.96476277921532627</v>
      </c>
      <c r="F73" s="51">
        <f t="shared" si="53"/>
        <v>1.0935208611226834</v>
      </c>
      <c r="G73" s="59">
        <f t="shared" si="58"/>
        <v>5.623008366486007E-2</v>
      </c>
      <c r="H73" s="7">
        <f>SUMIF('R5'!$L$7:$Q$7,B73,'R5'!$L$44:$Q$44)</f>
        <v>0.99004983374916744</v>
      </c>
      <c r="I73" s="8">
        <f>SUMIF('R5'!$L$7:$Q$7,B73,'R5'!$L$45:$Q$45)</f>
        <v>1</v>
      </c>
      <c r="J73" s="8">
        <f t="shared" si="54"/>
        <v>1.0100501670841686</v>
      </c>
      <c r="K73" s="59">
        <f t="shared" si="59"/>
        <v>-6.760618009405113E-2</v>
      </c>
      <c r="L73" s="28">
        <f>SUMIF('R5'!$L$7:$Q$7,B73,'R5'!$L$36:$Q$36)</f>
        <v>0.78327615000753092</v>
      </c>
      <c r="M73" s="25">
        <f>SUMIF('R5'!$L$7:$Q$7,B73,'R5'!$L$37:$Q$37)</f>
        <v>25.897677077285429</v>
      </c>
      <c r="N73" s="25">
        <f t="shared" si="55"/>
        <v>26.68095322729296</v>
      </c>
      <c r="O73" s="59"/>
      <c r="P73" s="41">
        <f t="shared" si="56"/>
        <v>33.063277972955554</v>
      </c>
      <c r="Q73" s="59">
        <f t="shared" si="60"/>
        <v>3.8308079067431305E-3</v>
      </c>
      <c r="R73" s="33">
        <f>SUMIF('R5'!$L$7:$Q$7,B73,'R5'!$L$40:$Q$40)</f>
        <v>577928.00321657246</v>
      </c>
      <c r="S73" s="59">
        <f t="shared" si="61"/>
        <v>1.8095527587742109E-2</v>
      </c>
      <c r="T73" s="28">
        <f>SUMIF('R5'!$L$7:$Q$7,B73,'R5'!$L$41:$Q$41)</f>
        <v>713403.54318174708</v>
      </c>
      <c r="U73" s="59">
        <f t="shared" si="62"/>
        <v>-3.6104402503666394E-2</v>
      </c>
      <c r="V73" s="25">
        <f t="shared" si="57"/>
        <v>1.2344159466424169</v>
      </c>
      <c r="W73" s="59">
        <f t="shared" si="63"/>
        <v>-5.3236585981110099E-2</v>
      </c>
      <c r="X73" s="28">
        <f>SUMIF('R5'!$L$7:$Q$7,B73,'R5'!$L$52:$Q$52)</f>
        <v>409816.96907516592</v>
      </c>
      <c r="Y73" s="59">
        <f t="shared" si="64"/>
        <v>-6.8596371064358869E-2</v>
      </c>
      <c r="Z73" s="28">
        <f>SUMIF('R5'!$L$7:$Q$7,B73,'R5'!$L$35:$Q$35)</f>
        <v>10934307.383645469</v>
      </c>
      <c r="AA73" s="59">
        <f t="shared" si="65"/>
        <v>-6.9152611541048362E-2</v>
      </c>
      <c r="AB73" s="5"/>
      <c r="AC73" s="5"/>
      <c r="AD73" s="5"/>
    </row>
    <row r="74" spans="1:30" x14ac:dyDescent="0.25">
      <c r="A74" s="94" t="s">
        <v>6</v>
      </c>
      <c r="B74" s="21">
        <v>2000</v>
      </c>
      <c r="C74" s="3">
        <f>SUMIF('R6'!$L$7:$Q$7,B74,'R6'!$L$17:$Q$17)</f>
        <v>16.019739999999999</v>
      </c>
      <c r="D74" s="42">
        <f>SUMIF('R6'!$L$7:$Q$7,B74,'R6'!$L$21:$Q$21)</f>
        <v>1</v>
      </c>
      <c r="E74" s="34">
        <f>SUMIF('R6'!$L$7:$Q$7,B74,'R6'!$L$22:$Q$22)</f>
        <v>1</v>
      </c>
      <c r="F74" s="45">
        <f>E74/D74</f>
        <v>1</v>
      </c>
      <c r="G74" s="53"/>
      <c r="H74" s="1">
        <f>SUMIF('R6'!$L$7:$Q$7,B74,'R6'!$L$19:$Q$19)</f>
        <v>0.86070797642505747</v>
      </c>
      <c r="I74" s="2">
        <f>SUMIF('R6'!$L$7:$Q$7,B74,'R6'!$L$20:$Q$20)</f>
        <v>1</v>
      </c>
      <c r="J74" s="2">
        <f>I74/H74</f>
        <v>1.1618342427282835</v>
      </c>
      <c r="K74" s="53"/>
      <c r="L74" s="26">
        <f>SUMIF('R6'!$L$7:$Q$7,B74,'R6'!$L$11:$Q$11)</f>
        <v>2.1370411467945001</v>
      </c>
      <c r="M74" s="24">
        <f>SUMIF('R6'!$L$7:$Q$7,B74,'R6'!$L$12:$Q$12)</f>
        <v>3.1982558270318999</v>
      </c>
      <c r="N74" s="23">
        <f t="shared" si="55"/>
        <v>5.3352969738264004</v>
      </c>
      <c r="O74" s="53"/>
      <c r="P74" s="38">
        <f t="shared" si="56"/>
        <v>1.4965813044026743</v>
      </c>
      <c r="Q74" s="53"/>
      <c r="R74" s="26">
        <f>SUMIF('R6'!$L$7:$Q$7,B74,'R6'!$L$15:$Q$15)</f>
        <v>44533.81267978299</v>
      </c>
      <c r="S74" s="53"/>
      <c r="T74" s="26">
        <f>SUMIF('R6'!$L$7:$Q$7,B74,'R6'!$L$16:$Q$16)</f>
        <v>59855.314921334641</v>
      </c>
      <c r="U74" s="53"/>
      <c r="V74" s="23">
        <f t="shared" si="57"/>
        <v>1.344042005828689</v>
      </c>
      <c r="W74" s="53"/>
      <c r="X74" s="26">
        <f>SUMIF('R6'!$L$7:$Q$7,B74,'R6'!$L$27:$Q$27)</f>
        <v>18427.262540756401</v>
      </c>
      <c r="Y74" s="53"/>
      <c r="Z74" s="26">
        <f>SUMIF('R6'!$L$7:$Q$7,B74,'R6'!$L$10:$Q$10)</f>
        <v>171603.1190412</v>
      </c>
      <c r="AA74" s="53"/>
      <c r="AB74" s="5"/>
      <c r="AC74" s="5"/>
      <c r="AD74" s="5"/>
    </row>
    <row r="75" spans="1:30" s="10" customFormat="1" x14ac:dyDescent="0.25">
      <c r="A75" s="95"/>
      <c r="B75" s="31">
        <v>2020</v>
      </c>
      <c r="C75" s="14">
        <f>SUMIF('R6'!$L$7:$Q$7,B75,'R6'!$L$17:$Q$17)</f>
        <v>16.019739999999999</v>
      </c>
      <c r="D75" s="43">
        <f>SUMIF('R6'!$L$7:$Q$7,B75,'R6'!$L$21:$Q$21)</f>
        <v>0.99257987162312367</v>
      </c>
      <c r="E75" s="35">
        <f>SUMIF('R6'!$L$7:$Q$7,B75,'R6'!$L$22:$Q$22)</f>
        <v>0.99687617775686799</v>
      </c>
      <c r="F75" s="46">
        <f t="shared" ref="F75:F85" si="66">E75/D75</f>
        <v>1.0043284235924699</v>
      </c>
      <c r="G75" s="54"/>
      <c r="H75" s="4">
        <f>SUMIF('R6'!$L$7:$Q$7,B75,'R6'!$L$19:$Q$19)</f>
        <v>0.86070797642505747</v>
      </c>
      <c r="I75" s="5">
        <f>SUMIF('R6'!$L$7:$Q$7,B75,'R6'!$L$20:$Q$20)</f>
        <v>1</v>
      </c>
      <c r="J75" s="5">
        <f t="shared" ref="J75:J85" si="67">I75/H75</f>
        <v>1.1618342427282835</v>
      </c>
      <c r="K75" s="55"/>
      <c r="L75" s="27">
        <f>SUMIF('R6'!$L$7:$Q$7,B75,'R6'!$L$11:$Q$11)</f>
        <v>2.3732702195405939</v>
      </c>
      <c r="M75" s="24">
        <f>SUMIF('R6'!$L$7:$Q$7,B75,'R6'!$L$12:$Q$12)</f>
        <v>6.5912004538537703</v>
      </c>
      <c r="N75" s="24">
        <f t="shared" si="55"/>
        <v>8.9644706733943647</v>
      </c>
      <c r="O75" s="55"/>
      <c r="P75" s="39">
        <f t="shared" si="56"/>
        <v>2.777265057971217</v>
      </c>
      <c r="Q75" s="55"/>
      <c r="R75" s="27">
        <f>SUMIF('R6'!$L$7:$Q$7,B75,'R6'!$L$15:$Q$15)</f>
        <v>108568.4832299315</v>
      </c>
      <c r="S75" s="55"/>
      <c r="T75" s="27">
        <f>SUMIF('R6'!$L$7:$Q$7,B75,'R6'!$L$16:$Q$16)</f>
        <v>145920.60197013541</v>
      </c>
      <c r="U75" s="55"/>
      <c r="V75" s="24">
        <f t="shared" si="57"/>
        <v>1.3440420058286879</v>
      </c>
      <c r="W75" s="55"/>
      <c r="X75" s="27">
        <f>SUMIF('R6'!$L$7:$Q$7,B75,'R6'!$L$27:$Q$27)</f>
        <v>81290.104600453633</v>
      </c>
      <c r="Y75" s="55"/>
      <c r="Z75" s="27">
        <f>SUMIF('R6'!$L$7:$Q$7,B75,'R6'!$L$10:$Q$10)</f>
        <v>728722.75872792688</v>
      </c>
      <c r="AA75" s="55"/>
      <c r="AB75" s="13"/>
      <c r="AC75" s="13"/>
      <c r="AD75" s="13"/>
    </row>
    <row r="76" spans="1:30" x14ac:dyDescent="0.25">
      <c r="A76" s="95"/>
      <c r="B76" s="31">
        <v>2040</v>
      </c>
      <c r="C76" s="6">
        <f>SUMIF('R6'!$L$7:$Q$7,B76,'R6'!$L$17:$Q$17)</f>
        <v>16.019739999999999</v>
      </c>
      <c r="D76" s="43">
        <f>SUMIF('R6'!$L$7:$Q$7,B76,'R6'!$L$21:$Q$21)</f>
        <v>0.99257987162312367</v>
      </c>
      <c r="E76" s="35">
        <f>SUMIF('R6'!$L$7:$Q$7,B76,'R6'!$L$22:$Q$22)</f>
        <v>0.99687617775686799</v>
      </c>
      <c r="F76" s="47">
        <f t="shared" si="66"/>
        <v>1.0043284235924699</v>
      </c>
      <c r="G76" s="55"/>
      <c r="H76" s="4">
        <f>SUMIF('R6'!$L$7:$Q$7,B76,'R6'!$L$19:$Q$19)</f>
        <v>0.86070797642505747</v>
      </c>
      <c r="I76" s="5">
        <f>SUMIF('R6'!$L$7:$Q$7,B76,'R6'!$L$20:$Q$20)</f>
        <v>1</v>
      </c>
      <c r="J76" s="5">
        <f t="shared" si="67"/>
        <v>1.1618342427282835</v>
      </c>
      <c r="K76" s="55"/>
      <c r="L76" s="27">
        <f>SUMIF('R6'!$L$7:$Q$7,B76,'R6'!$L$11:$Q$11)</f>
        <v>2.379894599123348</v>
      </c>
      <c r="M76" s="24">
        <f>SUMIF('R6'!$L$7:$Q$7,B76,'R6'!$L$12:$Q$12)</f>
        <v>12.26569236775306</v>
      </c>
      <c r="N76" s="24">
        <f t="shared" si="55"/>
        <v>14.645586966876408</v>
      </c>
      <c r="O76" s="55"/>
      <c r="P76" s="40">
        <f t="shared" si="56"/>
        <v>5.1538805005361246</v>
      </c>
      <c r="Q76" s="55"/>
      <c r="R76" s="27">
        <f>SUMIF('R6'!$L$7:$Q$7,B76,'R6'!$L$15:$Q$15)</f>
        <v>196923.44014454001</v>
      </c>
      <c r="S76" s="55"/>
      <c r="T76" s="27">
        <f>SUMIF('R6'!$L$7:$Q$7,B76,'R6'!$L$16:$Q$16)</f>
        <v>264673.3754865533</v>
      </c>
      <c r="U76" s="55"/>
      <c r="V76" s="24">
        <f t="shared" si="57"/>
        <v>1.3440420058286888</v>
      </c>
      <c r="W76" s="55"/>
      <c r="X76" s="27">
        <f>SUMIF('R6'!$L$7:$Q$7,B76,'R6'!$L$27:$Q$27)</f>
        <v>151640.51381148171</v>
      </c>
      <c r="Y76" s="55"/>
      <c r="Z76" s="27">
        <f>SUMIF('R6'!$L$7:$Q$7,B76,'R6'!$L$10:$Q$10)</f>
        <v>2220864.332727877</v>
      </c>
      <c r="AA76" s="55"/>
      <c r="AB76" s="5"/>
      <c r="AC76" s="5"/>
      <c r="AD76" s="5"/>
    </row>
    <row r="77" spans="1:30" x14ac:dyDescent="0.25">
      <c r="A77" s="95"/>
      <c r="B77" s="31">
        <v>2060</v>
      </c>
      <c r="C77" s="6">
        <f>SUMIF('R6'!$L$7:$Q$7,B77,'R6'!$L$17:$Q$17)</f>
        <v>16.019739999999999</v>
      </c>
      <c r="D77" s="43">
        <f>SUMIF('R6'!$L$7:$Q$7,B77,'R6'!$L$21:$Q$21)</f>
        <v>0.99257987162312367</v>
      </c>
      <c r="E77" s="35">
        <f>SUMIF('R6'!$L$7:$Q$7,B77,'R6'!$L$22:$Q$22)</f>
        <v>0.99687617775686799</v>
      </c>
      <c r="F77" s="47">
        <f t="shared" si="66"/>
        <v>1.0043284235924699</v>
      </c>
      <c r="G77" s="55"/>
      <c r="H77" s="4">
        <f>SUMIF('R6'!$L$7:$Q$7,B77,'R6'!$L$19:$Q$19)</f>
        <v>0.86070797642505747</v>
      </c>
      <c r="I77" s="5">
        <f>SUMIF('R6'!$L$7:$Q$7,B77,'R6'!$L$20:$Q$20)</f>
        <v>1</v>
      </c>
      <c r="J77" s="5">
        <f t="shared" si="67"/>
        <v>1.1618342427282835</v>
      </c>
      <c r="K77" s="55"/>
      <c r="L77" s="27">
        <f>SUMIF('R6'!$L$7:$Q$7,B77,'R6'!$L$11:$Q$11)</f>
        <v>2.2240788244080152</v>
      </c>
      <c r="M77" s="24">
        <f>SUMIF('R6'!$L$7:$Q$7,B77,'R6'!$L$12:$Q$12)</f>
        <v>21.271667424770332</v>
      </c>
      <c r="N77" s="24">
        <f t="shared" si="55"/>
        <v>23.495746249178346</v>
      </c>
      <c r="O77" s="55"/>
      <c r="P77" s="40">
        <f t="shared" si="56"/>
        <v>9.5642596797045751</v>
      </c>
      <c r="Q77" s="55"/>
      <c r="R77" s="27">
        <f>SUMIF('R6'!$L$7:$Q$7,B77,'R6'!$L$15:$Q$15)</f>
        <v>302761.75679711433</v>
      </c>
      <c r="S77" s="55"/>
      <c r="T77" s="27">
        <f>SUMIF('R6'!$L$7:$Q$7,B77,'R6'!$L$16:$Q$16)</f>
        <v>406924.51889381098</v>
      </c>
      <c r="U77" s="55"/>
      <c r="V77" s="24">
        <f t="shared" si="57"/>
        <v>1.3440420058286882</v>
      </c>
      <c r="W77" s="55"/>
      <c r="X77" s="27">
        <f>SUMIF('R6'!$L$7:$Q$7,B77,'R6'!$L$27:$Q$27)</f>
        <v>237420.66655761871</v>
      </c>
      <c r="Y77" s="55"/>
      <c r="Z77" s="27">
        <f>SUMIF('R6'!$L$7:$Q$7,B77,'R6'!$L$10:$Q$10)</f>
        <v>5578375.7357485928</v>
      </c>
      <c r="AA77" s="55"/>
      <c r="AB77" s="5"/>
      <c r="AC77" s="5"/>
      <c r="AD77" s="5"/>
    </row>
    <row r="78" spans="1:30" x14ac:dyDescent="0.25">
      <c r="A78" s="95"/>
      <c r="B78" s="31">
        <v>2080</v>
      </c>
      <c r="C78" s="6">
        <f>SUMIF('R6'!$L$7:$Q$7,B78,'R6'!$L$17:$Q$17)</f>
        <v>16.019739999999999</v>
      </c>
      <c r="D78" s="43">
        <f>SUMIF('R6'!$L$7:$Q$7,B78,'R6'!$L$21:$Q$21)</f>
        <v>0.99257987162312367</v>
      </c>
      <c r="E78" s="35">
        <f>SUMIF('R6'!$L$7:$Q$7,B78,'R6'!$L$22:$Q$22)</f>
        <v>0.99687617775686799</v>
      </c>
      <c r="F78" s="47">
        <f t="shared" si="66"/>
        <v>1.0043284235924699</v>
      </c>
      <c r="G78" s="55"/>
      <c r="H78" s="4">
        <f>SUMIF('R6'!$L$7:$Q$7,B78,'R6'!$L$19:$Q$19)</f>
        <v>0.86070797642505747</v>
      </c>
      <c r="I78" s="5">
        <f>SUMIF('R6'!$L$7:$Q$7,B78,'R6'!$L$20:$Q$20)</f>
        <v>1</v>
      </c>
      <c r="J78" s="5">
        <f t="shared" si="67"/>
        <v>1.1618342427282835</v>
      </c>
      <c r="K78" s="55"/>
      <c r="L78" s="27">
        <f>SUMIF('R6'!$L$7:$Q$7,B78,'R6'!$L$11:$Q$11)</f>
        <v>1.988641786107898</v>
      </c>
      <c r="M78" s="24">
        <f>SUMIF('R6'!$L$7:$Q$7,B78,'R6'!$L$12:$Q$12)</f>
        <v>35.295954783753068</v>
      </c>
      <c r="N78" s="24">
        <f t="shared" si="55"/>
        <v>37.284596569860966</v>
      </c>
      <c r="O78" s="55"/>
      <c r="P78" s="40">
        <f t="shared" si="56"/>
        <v>17.748774580882717</v>
      </c>
      <c r="Q78" s="55"/>
      <c r="R78" s="27">
        <f>SUMIF('R6'!$L$7:$Q$7,B78,'R6'!$L$15:$Q$15)</f>
        <v>420847.23599471513</v>
      </c>
      <c r="S78" s="55"/>
      <c r="T78" s="27">
        <f>SUMIF('R6'!$L$7:$Q$7,B78,'R6'!$L$16:$Q$16)</f>
        <v>565636.36321379628</v>
      </c>
      <c r="U78" s="55"/>
      <c r="V78" s="24">
        <f t="shared" si="57"/>
        <v>1.3440420058286884</v>
      </c>
      <c r="W78" s="55"/>
      <c r="X78" s="27">
        <f>SUMIF('R6'!$L$7:$Q$7,B78,'R6'!$L$27:$Q$27)</f>
        <v>333644.70634259499</v>
      </c>
      <c r="Y78" s="55"/>
      <c r="Z78" s="27">
        <f>SUMIF('R6'!$L$7:$Q$7,B78,'R6'!$L$10:$Q$10)</f>
        <v>12439808.27365339</v>
      </c>
      <c r="AA78" s="55"/>
      <c r="AB78" s="5"/>
      <c r="AC78" s="5"/>
      <c r="AD78" s="5"/>
    </row>
    <row r="79" spans="1:30" ht="15.75" thickBot="1" x14ac:dyDescent="0.3">
      <c r="A79" s="96"/>
      <c r="B79" s="32">
        <v>2100</v>
      </c>
      <c r="C79" s="9">
        <f>SUMIF('R6'!$L$7:$Q$7,B79,'R6'!$L$17:$Q$17)</f>
        <v>16.019739999999999</v>
      </c>
      <c r="D79" s="44">
        <f>SUMIF('R6'!$L$7:$Q$7,B79,'R6'!$L$21:$Q$21)</f>
        <v>0.99257987162312367</v>
      </c>
      <c r="E79" s="36">
        <f>SUMIF('R6'!$L$7:$Q$7,B79,'R6'!$L$22:$Q$22)</f>
        <v>0.99687617775686799</v>
      </c>
      <c r="F79" s="48">
        <f t="shared" si="66"/>
        <v>1.0043284235924699</v>
      </c>
      <c r="G79" s="56"/>
      <c r="H79" s="7">
        <f>SUMIF('R6'!$L$7:$Q$7,B79,'R6'!$L$19:$Q$19)</f>
        <v>0.86070797642505747</v>
      </c>
      <c r="I79" s="8">
        <f>SUMIF('R6'!$L$7:$Q$7,B79,'R6'!$L$20:$Q$20)</f>
        <v>1</v>
      </c>
      <c r="J79" s="8">
        <f t="shared" si="67"/>
        <v>1.1618342427282835</v>
      </c>
      <c r="K79" s="56"/>
      <c r="L79" s="28">
        <f>SUMIF('R6'!$L$7:$Q$7,B79,'R6'!$L$11:$Q$11)</f>
        <v>1.7325223299399359</v>
      </c>
      <c r="M79" s="25">
        <f>SUMIF('R6'!$L$7:$Q$7,B79,'R6'!$L$12:$Q$12)</f>
        <v>57.064265151023697</v>
      </c>
      <c r="N79" s="25">
        <f t="shared" si="55"/>
        <v>58.79678748096363</v>
      </c>
      <c r="O79" s="56"/>
      <c r="P79" s="41">
        <f t="shared" si="56"/>
        <v>32.937102261188194</v>
      </c>
      <c r="Q79" s="56"/>
      <c r="R79" s="28">
        <f>SUMIF('R6'!$L$7:$Q$7,B79,'R6'!$L$15:$Q$15)</f>
        <v>551864.36227689253</v>
      </c>
      <c r="S79" s="56"/>
      <c r="T79" s="28">
        <f>SUMIF('R6'!$L$7:$Q$7,B79,'R6'!$L$16:$Q$16)</f>
        <v>741728.88442000479</v>
      </c>
      <c r="U79" s="56"/>
      <c r="V79" s="25">
        <f t="shared" si="57"/>
        <v>1.3440420058286888</v>
      </c>
      <c r="W79" s="56"/>
      <c r="X79" s="28">
        <f>SUMIF('R6'!$L$7:$Q$7,B79,'R6'!$L$27:$Q$27)</f>
        <v>440258.92054905329</v>
      </c>
      <c r="Y79" s="56"/>
      <c r="Z79" s="28">
        <f>SUMIF('R6'!$L$7:$Q$7,B79,'R6'!$L$10:$Q$10)</f>
        <v>25885810.18812114</v>
      </c>
      <c r="AA79" s="56"/>
      <c r="AB79" s="5"/>
      <c r="AC79" s="5"/>
      <c r="AD79" s="5"/>
    </row>
    <row r="80" spans="1:30" x14ac:dyDescent="0.25">
      <c r="A80" s="94" t="str">
        <f>'R6'!B1</f>
        <v>Gauteng</v>
      </c>
      <c r="B80" s="21">
        <v>2000</v>
      </c>
      <c r="C80" s="3">
        <f>SUMIF('R6'!$L$7:$Q$7,B80,'R6'!$L$42:$Q$42)</f>
        <v>16.019739999999999</v>
      </c>
      <c r="D80" s="42">
        <f>SUMIF('R6'!$L$7:$Q$7,B80,'R6'!$L$46:$Q$46)</f>
        <v>1</v>
      </c>
      <c r="E80" s="34">
        <f>SUMIF('R6'!$L$7:$Q$7,B80,'R6'!$L$47:$Q$47)</f>
        <v>1</v>
      </c>
      <c r="F80" s="49">
        <f t="shared" si="66"/>
        <v>1</v>
      </c>
      <c r="G80" s="57">
        <f t="shared" ref="G80:G85" si="68">(F80-$F74)/$F74</f>
        <v>0</v>
      </c>
      <c r="H80" s="1">
        <f>SUMIF('R6'!$L$7:$Q$7,B80,'R6'!$L$44:$Q$44)</f>
        <v>0.86070797642505747</v>
      </c>
      <c r="I80" s="2">
        <f>SUMIF('R6'!$L$7:$Q$7,B80,'R6'!$L$45:$Q$45)</f>
        <v>1</v>
      </c>
      <c r="J80" s="2">
        <f t="shared" si="67"/>
        <v>1.1618342427282835</v>
      </c>
      <c r="K80" s="57">
        <f t="shared" ref="K80:K85" si="69">(J80-$J74)/$J74</f>
        <v>0</v>
      </c>
      <c r="L80" s="26">
        <f>SUMIF('R6'!$L$7:$Q$7,B80,'R6'!$L$36:$Q$36)</f>
        <v>2.1370411467945001</v>
      </c>
      <c r="M80" s="23">
        <f>SUMIF('R6'!$L$7:$Q$7,B80,'R6'!$L$37:$Q$37)</f>
        <v>3.1982558270318999</v>
      </c>
      <c r="N80" s="23">
        <f t="shared" si="55"/>
        <v>5.3352969738264004</v>
      </c>
      <c r="O80" s="57"/>
      <c r="P80" s="38">
        <f t="shared" si="56"/>
        <v>1.4965813044026743</v>
      </c>
      <c r="Q80" s="57">
        <f t="shared" ref="Q80:Q85" si="70">(P80-$P74)/$P74</f>
        <v>0</v>
      </c>
      <c r="R80" s="26">
        <f>SUMIF('R6'!$L$7:$Q$7,B80,'R6'!$L$40:$Q$40)</f>
        <v>44533.81267978299</v>
      </c>
      <c r="S80" s="57">
        <f t="shared" ref="S80:S85" si="71">(R80-$R74)/$R74</f>
        <v>0</v>
      </c>
      <c r="T80" s="26">
        <f>SUMIF('R6'!$L$7:$Q$7,B80,'R6'!$L$41:$Q$41)</f>
        <v>59855.314921334641</v>
      </c>
      <c r="U80" s="57">
        <f t="shared" ref="U80:U85" si="72">(T80-$T74)/$T74</f>
        <v>0</v>
      </c>
      <c r="V80" s="23">
        <f t="shared" si="57"/>
        <v>1.344042005828689</v>
      </c>
      <c r="W80" s="57">
        <f t="shared" ref="W80:W85" si="73">(V80-$V74)/$V74</f>
        <v>0</v>
      </c>
      <c r="X80" s="26">
        <f>SUMIF('R6'!$L$7:$Q$7,B80,'R6'!$L$52:$Q$52)</f>
        <v>18427.262540756401</v>
      </c>
      <c r="Y80" s="57">
        <f t="shared" ref="Y80:Y85" si="74">(X80-$X74)/$X74</f>
        <v>0</v>
      </c>
      <c r="Z80" s="26">
        <f>SUMIF('R6'!$L$7:$Q$7,B80,'R6'!$L$35:$Q$35)</f>
        <v>171603.1190412</v>
      </c>
      <c r="AA80" s="57">
        <f t="shared" ref="AA80:AA85" si="75">(Z80-$Z74)/$Z74</f>
        <v>0</v>
      </c>
      <c r="AB80" s="5"/>
      <c r="AC80" s="5"/>
      <c r="AD80" s="5"/>
    </row>
    <row r="81" spans="1:30" x14ac:dyDescent="0.25">
      <c r="A81" s="95"/>
      <c r="B81" s="31">
        <v>2020</v>
      </c>
      <c r="C81" s="14">
        <f>SUMIF('R6'!$L$7:$Q$7,B81,'R6'!$L$42:$Q$42)</f>
        <v>16.610320000000002</v>
      </c>
      <c r="D81" s="43">
        <f>SUMIF('R6'!$L$7:$Q$7,B81,'R6'!$L$46:$Q$46)</f>
        <v>0.98300570279749855</v>
      </c>
      <c r="E81" s="35">
        <f>SUMIF('R6'!$L$7:$Q$7,B81,'R6'!$L$47:$Q$47)</f>
        <v>0.99977488244563673</v>
      </c>
      <c r="F81" s="50">
        <f t="shared" si="66"/>
        <v>1.0170590868398988</v>
      </c>
      <c r="G81" s="58">
        <f t="shared" si="68"/>
        <v>1.2675797028517292E-2</v>
      </c>
      <c r="H81" s="4">
        <f>SUMIF('R6'!$L$7:$Q$7,B81,'R6'!$L$44:$Q$44)</f>
        <v>0.88692043671715748</v>
      </c>
      <c r="I81" s="5">
        <f>SUMIF('R6'!$L$7:$Q$7,B81,'R6'!$L$45:$Q$45)</f>
        <v>1</v>
      </c>
      <c r="J81" s="13">
        <f t="shared" si="67"/>
        <v>1.1274968515793757</v>
      </c>
      <c r="K81" s="58">
        <f t="shared" si="69"/>
        <v>-2.9554466451492088E-2</v>
      </c>
      <c r="L81" s="27">
        <f>SUMIF('R6'!$L$7:$Q$7,B81,'R6'!$L$36:$Q$36)</f>
        <v>2.3651288584642529</v>
      </c>
      <c r="M81" s="24">
        <f>SUMIF('R6'!$L$7:$Q$7,B81,'R6'!$L$37:$Q$37)</f>
        <v>6.5972317189890139</v>
      </c>
      <c r="N81" s="24">
        <f t="shared" si="55"/>
        <v>8.9623605774532678</v>
      </c>
      <c r="O81" s="58"/>
      <c r="P81" s="39">
        <f t="shared" si="56"/>
        <v>2.7893751731027412</v>
      </c>
      <c r="Q81" s="58">
        <f t="shared" si="70"/>
        <v>4.3604462947337682E-3</v>
      </c>
      <c r="R81" s="27">
        <f>SUMIF('R6'!$L$7:$Q$7,B81,'R6'!$L$40:$Q$40)</f>
        <v>109694.09059044671</v>
      </c>
      <c r="S81" s="58">
        <f t="shared" si="71"/>
        <v>1.0367717472218345E-2</v>
      </c>
      <c r="T81" s="27">
        <f>SUMIF('R6'!$L$7:$Q$7,B81,'R6'!$L$41:$Q$41)</f>
        <v>145588.021336493</v>
      </c>
      <c r="U81" s="58">
        <f t="shared" si="72"/>
        <v>-2.279189018905507E-3</v>
      </c>
      <c r="V81" s="24">
        <f t="shared" si="57"/>
        <v>1.3272184540921141</v>
      </c>
      <c r="W81" s="58">
        <f t="shared" si="73"/>
        <v>-1.2517132398850137E-2</v>
      </c>
      <c r="X81" s="27">
        <f>SUMIF('R6'!$L$7:$Q$7,B81,'R6'!$L$52:$Q$52)</f>
        <v>81359.815569567771</v>
      </c>
      <c r="Y81" s="58">
        <f t="shared" si="74"/>
        <v>8.5755787197927514E-4</v>
      </c>
      <c r="Z81" s="27">
        <f>SUMIF('R6'!$L$7:$Q$7,B81,'R6'!$L$35:$Q$35)</f>
        <v>729176.00364956271</v>
      </c>
      <c r="AA81" s="58">
        <f t="shared" si="75"/>
        <v>6.2197168430286136E-4</v>
      </c>
      <c r="AB81" s="5"/>
      <c r="AC81" s="5"/>
      <c r="AD81" s="5"/>
    </row>
    <row r="82" spans="1:30" x14ac:dyDescent="0.25">
      <c r="A82" s="95"/>
      <c r="B82" s="31">
        <v>2040</v>
      </c>
      <c r="C82" s="6">
        <f>SUMIF('R6'!$L$7:$Q$7,B82,'R6'!$L$42:$Q$42)</f>
        <v>17.204160000000002</v>
      </c>
      <c r="D82" s="43">
        <f>SUMIF('R6'!$L$7:$Q$7,B82,'R6'!$L$46:$Q$46)</f>
        <v>0.96966048781639314</v>
      </c>
      <c r="E82" s="35">
        <f>SUMIF('R6'!$L$7:$Q$7,B82,'R6'!$L$47:$Q$47)</f>
        <v>0.99933476497980267</v>
      </c>
      <c r="F82" s="50">
        <f t="shared" si="66"/>
        <v>1.0306027496595576</v>
      </c>
      <c r="G82" s="58">
        <f t="shared" si="68"/>
        <v>2.6161089788840942E-2</v>
      </c>
      <c r="H82" s="4">
        <f>SUMIF('R6'!$L$7:$Q$7,B82,'R6'!$L$44:$Q$44)</f>
        <v>0.91393118527122841</v>
      </c>
      <c r="I82" s="5">
        <f>SUMIF('R6'!$L$7:$Q$7,B82,'R6'!$L$45:$Q$45)</f>
        <v>1</v>
      </c>
      <c r="J82" s="5">
        <f t="shared" si="67"/>
        <v>1.0941742837052102</v>
      </c>
      <c r="K82" s="58">
        <f t="shared" si="69"/>
        <v>-5.8235466415751745E-2</v>
      </c>
      <c r="L82" s="27">
        <f>SUMIF('R6'!$L$7:$Q$7,B82,'R6'!$L$36:$Q$36)</f>
        <v>2.361617388305508</v>
      </c>
      <c r="M82" s="24">
        <f>SUMIF('R6'!$L$7:$Q$7,B82,'R6'!$L$37:$Q$37)</f>
        <v>12.275930300262919</v>
      </c>
      <c r="N82" s="24">
        <f t="shared" si="55"/>
        <v>14.637547688568427</v>
      </c>
      <c r="O82" s="58"/>
      <c r="P82" s="40">
        <f t="shared" si="56"/>
        <v>5.1981029446395901</v>
      </c>
      <c r="Q82" s="58">
        <f t="shared" si="70"/>
        <v>8.5804170467020657E-3</v>
      </c>
      <c r="R82" s="27">
        <f>SUMIF('R6'!$L$7:$Q$7,B82,'R6'!$L$40:$Q$40)</f>
        <v>201291.00295234181</v>
      </c>
      <c r="S82" s="58">
        <f t="shared" si="71"/>
        <v>2.2178988974578342E-2</v>
      </c>
      <c r="T82" s="27">
        <f>SUMIF('R6'!$L$7:$Q$7,B82,'R6'!$L$41:$Q$41)</f>
        <v>263646.28912114102</v>
      </c>
      <c r="U82" s="58">
        <f t="shared" si="72"/>
        <v>-3.8805805968362746E-3</v>
      </c>
      <c r="V82" s="24">
        <f t="shared" si="57"/>
        <v>1.3097768169179553</v>
      </c>
      <c r="W82" s="58">
        <f t="shared" si="73"/>
        <v>-2.5494135422952636E-2</v>
      </c>
      <c r="X82" s="27">
        <f>SUMIF('R6'!$L$7:$Q$7,B82,'R6'!$L$52:$Q$52)</f>
        <v>151472.1023089916</v>
      </c>
      <c r="Y82" s="58">
        <f t="shared" si="74"/>
        <v>-1.1105970182841705E-3</v>
      </c>
      <c r="Z82" s="27">
        <f>SUMIF('R6'!$L$7:$Q$7,B82,'R6'!$L$35:$Q$35)</f>
        <v>2217180.121035581</v>
      </c>
      <c r="AA82" s="58">
        <f t="shared" si="75"/>
        <v>-1.6589089382919077E-3</v>
      </c>
      <c r="AB82" s="5"/>
      <c r="AC82" s="5"/>
      <c r="AD82" s="5"/>
    </row>
    <row r="83" spans="1:30" x14ac:dyDescent="0.25">
      <c r="A83" s="95"/>
      <c r="B83" s="31">
        <v>2060</v>
      </c>
      <c r="C83" s="6">
        <f>SUMIF('R6'!$L$7:$Q$7,B83,'R6'!$L$42:$Q$42)</f>
        <v>17.840479999999999</v>
      </c>
      <c r="D83" s="43">
        <f>SUMIF('R6'!$L$7:$Q$7,B83,'R6'!$L$46:$Q$46)</f>
        <v>0.9587427485556127</v>
      </c>
      <c r="E83" s="35">
        <f>SUMIF('R6'!$L$7:$Q$7,B83,'R6'!$L$47:$Q$47)</f>
        <v>0.99718729527581951</v>
      </c>
      <c r="F83" s="50">
        <f t="shared" si="66"/>
        <v>1.0400989178568758</v>
      </c>
      <c r="G83" s="58">
        <f t="shared" si="68"/>
        <v>3.5616331694024284E-2</v>
      </c>
      <c r="H83" s="4">
        <f>SUMIF('R6'!$L$7:$Q$7,B83,'R6'!$L$44:$Q$44)</f>
        <v>0.94176453358424828</v>
      </c>
      <c r="I83" s="5">
        <f>SUMIF('R6'!$L$7:$Q$7,B83,'R6'!$L$45:$Q$45)</f>
        <v>1</v>
      </c>
      <c r="J83" s="5">
        <f t="shared" si="67"/>
        <v>1.0618365465453601</v>
      </c>
      <c r="K83" s="58">
        <f t="shared" si="69"/>
        <v>-8.6068814728771717E-2</v>
      </c>
      <c r="L83" s="27">
        <f>SUMIF('R6'!$L$7:$Q$7,B83,'R6'!$L$36:$Q$36)</f>
        <v>2.194655693505239</v>
      </c>
      <c r="M83" s="24">
        <f>SUMIF('R6'!$L$7:$Q$7,B83,'R6'!$L$37:$Q$37)</f>
        <v>21.280883703420709</v>
      </c>
      <c r="N83" s="24">
        <f t="shared" si="55"/>
        <v>23.475539396925949</v>
      </c>
      <c r="O83" s="58"/>
      <c r="P83" s="40">
        <f t="shared" si="56"/>
        <v>9.6966844350110843</v>
      </c>
      <c r="Q83" s="58">
        <f t="shared" si="70"/>
        <v>1.3845792538184158E-2</v>
      </c>
      <c r="R83" s="27">
        <f>SUMIF('R6'!$L$7:$Q$7,B83,'R6'!$L$40:$Q$40)</f>
        <v>312103.75297874463</v>
      </c>
      <c r="S83" s="58">
        <f t="shared" si="71"/>
        <v>3.0855932005608367E-2</v>
      </c>
      <c r="T83" s="27">
        <f>SUMIF('R6'!$L$7:$Q$7,B83,'R6'!$L$41:$Q$41)</f>
        <v>405054.01599262317</v>
      </c>
      <c r="U83" s="58">
        <f t="shared" si="72"/>
        <v>-4.5966827122450298E-3</v>
      </c>
      <c r="V83" s="24">
        <f t="shared" si="57"/>
        <v>1.2978184726289042</v>
      </c>
      <c r="W83" s="58">
        <f t="shared" si="73"/>
        <v>-3.4391434939776477E-2</v>
      </c>
      <c r="X83" s="27">
        <f>SUMIF('R6'!$L$7:$Q$7,B83,'R6'!$L$52:$Q$52)</f>
        <v>236476.68402118879</v>
      </c>
      <c r="Y83" s="58">
        <f t="shared" si="74"/>
        <v>-3.9759914337567839E-3</v>
      </c>
      <c r="Z83" s="27">
        <f>SUMIF('R6'!$L$7:$Q$7,B83,'R6'!$L$35:$Q$35)</f>
        <v>5551417.7121938271</v>
      </c>
      <c r="AA83" s="58">
        <f t="shared" si="75"/>
        <v>-4.8325937211448839E-3</v>
      </c>
      <c r="AB83" s="5"/>
      <c r="AC83" s="5"/>
      <c r="AD83" s="5"/>
    </row>
    <row r="84" spans="1:30" x14ac:dyDescent="0.25">
      <c r="A84" s="95"/>
      <c r="B84" s="31">
        <v>2080</v>
      </c>
      <c r="C84" s="6">
        <f>SUMIF('R6'!$L$7:$Q$7,B84,'R6'!$L$42:$Q$42)</f>
        <v>18.162960000000002</v>
      </c>
      <c r="D84" s="43">
        <f>SUMIF('R6'!$L$7:$Q$7,B84,'R6'!$L$46:$Q$46)</f>
        <v>0.94627095271536965</v>
      </c>
      <c r="E84" s="35">
        <f>SUMIF('R6'!$L$7:$Q$7,B84,'R6'!$L$47:$Q$47)</f>
        <v>0.99356517912022047</v>
      </c>
      <c r="F84" s="50">
        <f t="shared" si="66"/>
        <v>1.0499795817140301</v>
      </c>
      <c r="G84" s="58">
        <f t="shared" si="68"/>
        <v>4.5454412171535057E-2</v>
      </c>
      <c r="H84" s="4">
        <f>SUMIF('R6'!$L$7:$Q$7,B84,'R6'!$L$44:$Q$44)</f>
        <v>0.95122942450071424</v>
      </c>
      <c r="I84" s="5">
        <f>SUMIF('R6'!$L$7:$Q$7,B84,'R6'!$L$45:$Q$45)</f>
        <v>1</v>
      </c>
      <c r="J84" s="5">
        <f t="shared" si="67"/>
        <v>1.0512710963760239</v>
      </c>
      <c r="K84" s="58">
        <f t="shared" si="69"/>
        <v>-9.5162581964040857E-2</v>
      </c>
      <c r="L84" s="27">
        <f>SUMIF('R6'!$L$7:$Q$7,B84,'R6'!$L$36:$Q$36)</f>
        <v>1.9606128850435049</v>
      </c>
      <c r="M84" s="24">
        <f>SUMIF('R6'!$L$7:$Q$7,B84,'R6'!$L$37:$Q$37)</f>
        <v>35.285096802125153</v>
      </c>
      <c r="N84" s="24">
        <f t="shared" si="55"/>
        <v>37.245709687168656</v>
      </c>
      <c r="O84" s="58"/>
      <c r="P84" s="40">
        <f t="shared" si="56"/>
        <v>17.996972819722235</v>
      </c>
      <c r="Q84" s="58">
        <f t="shared" si="70"/>
        <v>1.3983964791961064E-2</v>
      </c>
      <c r="R84" s="27">
        <f>SUMIF('R6'!$L$7:$Q$7,B84,'R6'!$L$40:$Q$40)</f>
        <v>436984.60608204338</v>
      </c>
      <c r="S84" s="58">
        <f t="shared" si="71"/>
        <v>3.8344959184978225E-2</v>
      </c>
      <c r="T84" s="27">
        <f>SUMIF('R6'!$L$7:$Q$7,B84,'R6'!$L$41:$Q$41)</f>
        <v>561789.83955390519</v>
      </c>
      <c r="U84" s="58">
        <f t="shared" si="72"/>
        <v>-6.8003472019305287E-3</v>
      </c>
      <c r="V84" s="24">
        <f t="shared" si="57"/>
        <v>1.2856055607790216</v>
      </c>
      <c r="W84" s="58">
        <f t="shared" si="73"/>
        <v>-4.3478138924413302E-2</v>
      </c>
      <c r="X84" s="27">
        <f>SUMIF('R6'!$L$7:$Q$7,B84,'R6'!$L$52:$Q$52)</f>
        <v>330335.6713445583</v>
      </c>
      <c r="Y84" s="58">
        <f t="shared" si="74"/>
        <v>-9.917840550537271E-3</v>
      </c>
      <c r="Z84" s="27">
        <f>SUMIF('R6'!$L$7:$Q$7,B84,'R6'!$L$35:$Q$35)</f>
        <v>12303586.51421538</v>
      </c>
      <c r="AA84" s="58">
        <f t="shared" si="75"/>
        <v>-1.0950470975225375E-2</v>
      </c>
      <c r="AB84" s="5"/>
      <c r="AC84" s="5"/>
      <c r="AD84" s="5"/>
    </row>
    <row r="85" spans="1:30" ht="15.75" thickBot="1" x14ac:dyDescent="0.3">
      <c r="A85" s="96"/>
      <c r="B85" s="32">
        <v>2100</v>
      </c>
      <c r="C85" s="9">
        <f>SUMIF('R6'!$L$7:$Q$7,B85,'R6'!$L$42:$Q$42)</f>
        <v>18.315390000000001</v>
      </c>
      <c r="D85" s="44">
        <f>SUMIF('R6'!$L$7:$Q$7,B85,'R6'!$L$46:$Q$46)</f>
        <v>0.93947441413050536</v>
      </c>
      <c r="E85" s="36">
        <f>SUMIF('R6'!$L$7:$Q$7,B85,'R6'!$L$47:$Q$47)</f>
        <v>0.99120776832621305</v>
      </c>
      <c r="F85" s="51">
        <f t="shared" si="66"/>
        <v>1.0550662726068889</v>
      </c>
      <c r="G85" s="59">
        <f t="shared" si="68"/>
        <v>5.0519180601232401E-2</v>
      </c>
      <c r="H85" s="7">
        <f>SUMIF('R6'!$L$7:$Q$7,B85,'R6'!$L$44:$Q$44)</f>
        <v>0.96078943915232329</v>
      </c>
      <c r="I85" s="8">
        <f>SUMIF('R6'!$L$7:$Q$7,B85,'R6'!$L$45:$Q$45)</f>
        <v>1</v>
      </c>
      <c r="J85" s="8">
        <f t="shared" si="67"/>
        <v>1.0408107741923882</v>
      </c>
      <c r="K85" s="59">
        <f t="shared" si="69"/>
        <v>-0.10416586470347206</v>
      </c>
      <c r="L85" s="28">
        <f>SUMIF('R6'!$L$7:$Q$7,B85,'R6'!$L$36:$Q$36)</f>
        <v>1.705208468943723</v>
      </c>
      <c r="M85" s="25">
        <f>SUMIF('R6'!$L$7:$Q$7,B85,'R6'!$L$37:$Q$37)</f>
        <v>57.0236445325868</v>
      </c>
      <c r="N85" s="25">
        <f t="shared" si="55"/>
        <v>58.728853001530524</v>
      </c>
      <c r="O85" s="59"/>
      <c r="P85" s="41">
        <f t="shared" si="56"/>
        <v>33.440864018174629</v>
      </c>
      <c r="Q85" s="59">
        <f t="shared" si="70"/>
        <v>1.5294659287014709E-2</v>
      </c>
      <c r="R85" s="33">
        <f>SUMIF('R6'!$L$7:$Q$7,B85,'R6'!$L$40:$Q$40)</f>
        <v>575220.6404486713</v>
      </c>
      <c r="S85" s="59">
        <f t="shared" si="71"/>
        <v>4.2322497643107436E-2</v>
      </c>
      <c r="T85" s="28">
        <f>SUMIF('R6'!$L$7:$Q$7,B85,'R6'!$L$41:$Q$41)</f>
        <v>735941.53982055164</v>
      </c>
      <c r="U85" s="59">
        <f t="shared" si="72"/>
        <v>-7.802506712379911E-3</v>
      </c>
      <c r="V85" s="25">
        <f t="shared" si="57"/>
        <v>1.2794073926945986</v>
      </c>
      <c r="W85" s="59">
        <f t="shared" si="73"/>
        <v>-4.8089726997958541E-2</v>
      </c>
      <c r="X85" s="28">
        <f>SUMIF('R6'!$L$7:$Q$7,B85,'R6'!$L$52:$Q$52)</f>
        <v>434388.83445448207</v>
      </c>
      <c r="Y85" s="59">
        <f t="shared" si="74"/>
        <v>-1.3333258727047596E-2</v>
      </c>
      <c r="Z85" s="28">
        <f>SUMIF('R6'!$L$7:$Q$7,B85,'R6'!$L$35:$Q$35)</f>
        <v>25511158.00418346</v>
      </c>
      <c r="AA85" s="59">
        <f t="shared" si="75"/>
        <v>-1.447326474292104E-2</v>
      </c>
      <c r="AB85" s="5"/>
      <c r="AC85" s="5"/>
      <c r="AD85" s="5"/>
    </row>
    <row r="86" spans="1:30" x14ac:dyDescent="0.25">
      <c r="A86" s="103" t="s">
        <v>6</v>
      </c>
      <c r="B86" s="21">
        <v>2000</v>
      </c>
      <c r="C86" s="3">
        <f>SUMIF('R7'!$L$7:$Q$7,B86,'R7'!$L$17:$Q$17)</f>
        <v>18.701260000000001</v>
      </c>
      <c r="D86" s="42">
        <f>SUMIF('R7'!$L$7:$Q$7,B86,'R7'!$L$21:$Q$21)</f>
        <v>1</v>
      </c>
      <c r="E86" s="34">
        <f>SUMIF('R7'!$L$7:$Q$7,B86,'R7'!$L$22:$Q$22)</f>
        <v>1</v>
      </c>
      <c r="F86" s="45">
        <f>E86/D86</f>
        <v>1</v>
      </c>
      <c r="G86" s="53"/>
      <c r="H86" s="1">
        <f>SUMIF('R7'!$L$7:$Q$7,B86,'R7'!$L$19:$Q$19)</f>
        <v>0.97044553354850793</v>
      </c>
      <c r="I86" s="2">
        <f>SUMIF('R7'!$L$7:$Q$7,B86,'R7'!$L$20:$Q$20)</f>
        <v>1</v>
      </c>
      <c r="J86" s="2">
        <f>I86/H86</f>
        <v>1.0304545339535172</v>
      </c>
      <c r="K86" s="53"/>
      <c r="L86" s="26">
        <f>SUMIF('R7'!$L$7:$Q$7,B86,'R7'!$L$11:$Q$11)</f>
        <v>0.82533526478849994</v>
      </c>
      <c r="M86" s="24">
        <f>SUMIF('R7'!$L$7:$Q$7,B86,'R7'!$L$12:$Q$12)</f>
        <v>1.2351813271467</v>
      </c>
      <c r="N86" s="23">
        <f t="shared" si="55"/>
        <v>2.0605165919352002</v>
      </c>
      <c r="O86" s="53"/>
      <c r="P86" s="38">
        <f t="shared" si="56"/>
        <v>1.4965813044026746</v>
      </c>
      <c r="Q86" s="53"/>
      <c r="R86" s="26">
        <f>SUMIF('R7'!$L$7:$Q$7,B86,'R7'!$L$15:$Q$15)</f>
        <v>46414.168855270647</v>
      </c>
      <c r="S86" s="53"/>
      <c r="T86" s="26">
        <f>SUMIF('R7'!$L$7:$Q$7,B86,'R7'!$L$16:$Q$16)</f>
        <v>59092.133318389097</v>
      </c>
      <c r="U86" s="53"/>
      <c r="V86" s="23">
        <f t="shared" si="57"/>
        <v>1.2731485831977529</v>
      </c>
      <c r="W86" s="53"/>
      <c r="X86" s="26">
        <f>SUMIF('R7'!$L$7:$Q$7,B86,'R7'!$L$27:$Q$27)</f>
        <v>18427.262540756401</v>
      </c>
      <c r="Y86" s="53"/>
      <c r="Z86" s="26">
        <f>SUMIF('R7'!$L$7:$Q$7,B86,'R7'!$L$10:$Q$10)</f>
        <v>66273.9254716</v>
      </c>
      <c r="AA86" s="53"/>
      <c r="AB86" s="5"/>
      <c r="AC86" s="5"/>
      <c r="AD86" s="5"/>
    </row>
    <row r="87" spans="1:30" s="10" customFormat="1" x14ac:dyDescent="0.25">
      <c r="A87" s="104"/>
      <c r="B87" s="31">
        <v>2020</v>
      </c>
      <c r="C87" s="14">
        <f>SUMIF('R7'!$L$7:$Q$7,B87,'R7'!$L$17:$Q$17)</f>
        <v>18.701260000000001</v>
      </c>
      <c r="D87" s="43">
        <f>SUMIF('R7'!$L$7:$Q$7,B87,'R7'!$L$21:$Q$21)</f>
        <v>0.93231395090361513</v>
      </c>
      <c r="E87" s="35">
        <f>SUMIF('R7'!$L$7:$Q$7,B87,'R7'!$L$22:$Q$22)</f>
        <v>0.98848865179879042</v>
      </c>
      <c r="F87" s="46">
        <f t="shared" ref="F87:F97" si="76">E87/D87</f>
        <v>1.0602529875700453</v>
      </c>
      <c r="G87" s="54"/>
      <c r="H87" s="4">
        <f>SUMIF('R7'!$L$7:$Q$7,B87,'R7'!$L$19:$Q$19)</f>
        <v>0.97044553354850793</v>
      </c>
      <c r="I87" s="5">
        <f>SUMIF('R7'!$L$7:$Q$7,B87,'R7'!$L$20:$Q$20)</f>
        <v>1</v>
      </c>
      <c r="J87" s="5">
        <f t="shared" ref="J87:J97" si="77">I87/H87</f>
        <v>1.0304545339535172</v>
      </c>
      <c r="K87" s="55"/>
      <c r="L87" s="27">
        <f>SUMIF('R7'!$L$7:$Q$7,B87,'R7'!$L$11:$Q$11)</f>
        <v>0.91656803520009766</v>
      </c>
      <c r="M87" s="24">
        <f>SUMIF('R7'!$L$7:$Q$7,B87,'R7'!$L$12:$Q$12)</f>
        <v>2.545552377414563</v>
      </c>
      <c r="N87" s="24">
        <f t="shared" si="55"/>
        <v>3.4621204126146607</v>
      </c>
      <c r="O87" s="55"/>
      <c r="P87" s="39">
        <f t="shared" si="56"/>
        <v>2.7772650579712161</v>
      </c>
      <c r="Q87" s="55"/>
      <c r="R87" s="27">
        <f>SUMIF('R7'!$L$7:$Q$7,B87,'R7'!$L$15:$Q$15)</f>
        <v>110519.97821770579</v>
      </c>
      <c r="S87" s="55"/>
      <c r="T87" s="27">
        <f>SUMIF('R7'!$L$7:$Q$7,B87,'R7'!$L$16:$Q$16)</f>
        <v>140708.35368291859</v>
      </c>
      <c r="U87" s="55"/>
      <c r="V87" s="24">
        <f t="shared" si="57"/>
        <v>1.2731485831977525</v>
      </c>
      <c r="W87" s="55"/>
      <c r="X87" s="27">
        <f>SUMIF('R7'!$L$7:$Q$7,B87,'R7'!$L$27:$Q$27)</f>
        <v>77726.913338533879</v>
      </c>
      <c r="Y87" s="55"/>
      <c r="Z87" s="27">
        <f>SUMIF('R7'!$L$7:$Q$7,B87,'R7'!$L$10:$Q$10)</f>
        <v>269099.93327886891</v>
      </c>
      <c r="AA87" s="55"/>
      <c r="AB87" s="13"/>
      <c r="AC87" s="13"/>
      <c r="AD87" s="13"/>
    </row>
    <row r="88" spans="1:30" x14ac:dyDescent="0.25">
      <c r="A88" s="104"/>
      <c r="B88" s="31">
        <v>2040</v>
      </c>
      <c r="C88" s="6">
        <f>SUMIF('R7'!$L$7:$Q$7,B88,'R7'!$L$17:$Q$17)</f>
        <v>18.701260000000001</v>
      </c>
      <c r="D88" s="43">
        <f>SUMIF('R7'!$L$7:$Q$7,B88,'R7'!$L$21:$Q$21)</f>
        <v>0.93231395090361513</v>
      </c>
      <c r="E88" s="35">
        <f>SUMIF('R7'!$L$7:$Q$7,B88,'R7'!$L$22:$Q$22)</f>
        <v>0.98848865179879042</v>
      </c>
      <c r="F88" s="47">
        <f t="shared" si="76"/>
        <v>1.0602529875700453</v>
      </c>
      <c r="G88" s="55"/>
      <c r="H88" s="4">
        <f>SUMIF('R7'!$L$7:$Q$7,B88,'R7'!$L$19:$Q$19)</f>
        <v>0.97044553354850793</v>
      </c>
      <c r="I88" s="5">
        <f>SUMIF('R7'!$L$7:$Q$7,B88,'R7'!$L$20:$Q$20)</f>
        <v>1</v>
      </c>
      <c r="J88" s="5">
        <f t="shared" si="77"/>
        <v>1.0304545339535172</v>
      </c>
      <c r="K88" s="55"/>
      <c r="L88" s="27">
        <f>SUMIF('R7'!$L$7:$Q$7,B88,'R7'!$L$11:$Q$11)</f>
        <v>0.91912640151194525</v>
      </c>
      <c r="M88" s="24">
        <f>SUMIF('R7'!$L$7:$Q$7,B88,'R7'!$L$12:$Q$12)</f>
        <v>4.7370676382803527</v>
      </c>
      <c r="N88" s="24">
        <f t="shared" si="55"/>
        <v>5.6561940397922976</v>
      </c>
      <c r="O88" s="55"/>
      <c r="P88" s="40">
        <f t="shared" si="56"/>
        <v>5.1538805005361263</v>
      </c>
      <c r="Q88" s="55"/>
      <c r="R88" s="27">
        <f>SUMIF('R7'!$L$7:$Q$7,B88,'R7'!$L$15:$Q$15)</f>
        <v>203428.17633565419</v>
      </c>
      <c r="S88" s="55"/>
      <c r="T88" s="27">
        <f>SUMIF('R7'!$L$7:$Q$7,B88,'R7'!$L$16:$Q$16)</f>
        <v>258994.2944842407</v>
      </c>
      <c r="U88" s="55"/>
      <c r="V88" s="24">
        <f t="shared" si="57"/>
        <v>1.2731485831977525</v>
      </c>
      <c r="W88" s="55"/>
      <c r="X88" s="27">
        <f>SUMIF('R7'!$L$7:$Q$7,B88,'R7'!$L$27:$Q$27)</f>
        <v>147138.2742633879</v>
      </c>
      <c r="Y88" s="55"/>
      <c r="Z88" s="27">
        <f>SUMIF('R7'!$L$7:$Q$7,B88,'R7'!$L$10:$Q$10)</f>
        <v>832242.62991389912</v>
      </c>
      <c r="AA88" s="55"/>
      <c r="AB88" s="5"/>
      <c r="AC88" s="5"/>
      <c r="AD88" s="5"/>
    </row>
    <row r="89" spans="1:30" x14ac:dyDescent="0.25">
      <c r="A89" s="104"/>
      <c r="B89" s="31">
        <v>2060</v>
      </c>
      <c r="C89" s="6">
        <f>SUMIF('R7'!$L$7:$Q$7,B89,'R7'!$L$17:$Q$17)</f>
        <v>18.701260000000001</v>
      </c>
      <c r="D89" s="43">
        <f>SUMIF('R7'!$L$7:$Q$7,B89,'R7'!$L$21:$Q$21)</f>
        <v>0.93231395090361513</v>
      </c>
      <c r="E89" s="35">
        <f>SUMIF('R7'!$L$7:$Q$7,B89,'R7'!$L$22:$Q$22)</f>
        <v>0.98848865179879042</v>
      </c>
      <c r="F89" s="47">
        <f t="shared" si="76"/>
        <v>1.0602529875700453</v>
      </c>
      <c r="G89" s="55"/>
      <c r="H89" s="4">
        <f>SUMIF('R7'!$L$7:$Q$7,B89,'R7'!$L$19:$Q$19)</f>
        <v>0.97044553354850793</v>
      </c>
      <c r="I89" s="5">
        <f>SUMIF('R7'!$L$7:$Q$7,B89,'R7'!$L$20:$Q$20)</f>
        <v>1</v>
      </c>
      <c r="J89" s="5">
        <f t="shared" si="77"/>
        <v>1.0304545339535172</v>
      </c>
      <c r="K89" s="55"/>
      <c r="L89" s="27">
        <f>SUMIF('R7'!$L$7:$Q$7,B89,'R7'!$L$11:$Q$11)</f>
        <v>0.85894962210093528</v>
      </c>
      <c r="M89" s="24">
        <f>SUMIF('R7'!$L$7:$Q$7,B89,'R7'!$L$12:$Q$12)</f>
        <v>8.215217237557459</v>
      </c>
      <c r="N89" s="24">
        <f t="shared" si="55"/>
        <v>9.0741668596583942</v>
      </c>
      <c r="O89" s="55"/>
      <c r="P89" s="40">
        <f t="shared" si="56"/>
        <v>9.5642596797045769</v>
      </c>
      <c r="Q89" s="55"/>
      <c r="R89" s="27">
        <f>SUMIF('R7'!$L$7:$Q$7,B89,'R7'!$L$15:$Q$15)</f>
        <v>315681.46857163479</v>
      </c>
      <c r="S89" s="55"/>
      <c r="T89" s="27">
        <f>SUMIF('R7'!$L$7:$Q$7,B89,'R7'!$L$16:$Q$16)</f>
        <v>401909.41445376311</v>
      </c>
      <c r="U89" s="55"/>
      <c r="V89" s="24">
        <f t="shared" si="57"/>
        <v>1.2731485831977538</v>
      </c>
      <c r="W89" s="55"/>
      <c r="X89" s="27">
        <f>SUMIF('R7'!$L$7:$Q$7,B89,'R7'!$L$27:$Q$27)</f>
        <v>232521.60422127001</v>
      </c>
      <c r="Y89" s="55"/>
      <c r="Z89" s="27">
        <f>SUMIF('R7'!$L$7:$Q$7,B89,'R7'!$L$10:$Q$10)</f>
        <v>2109939.835179253</v>
      </c>
      <c r="AA89" s="55"/>
      <c r="AB89" s="5"/>
      <c r="AC89" s="5"/>
      <c r="AD89" s="5"/>
    </row>
    <row r="90" spans="1:30" x14ac:dyDescent="0.25">
      <c r="A90" s="104"/>
      <c r="B90" s="31">
        <v>2080</v>
      </c>
      <c r="C90" s="6">
        <f>SUMIF('R7'!$L$7:$Q$7,B90,'R7'!$L$17:$Q$17)</f>
        <v>18.701260000000001</v>
      </c>
      <c r="D90" s="43">
        <f>SUMIF('R7'!$L$7:$Q$7,B90,'R7'!$L$21:$Q$21)</f>
        <v>0.93231395090361513</v>
      </c>
      <c r="E90" s="35">
        <f>SUMIF('R7'!$L$7:$Q$7,B90,'R7'!$L$22:$Q$22)</f>
        <v>0.98848865179879042</v>
      </c>
      <c r="F90" s="47">
        <f t="shared" si="76"/>
        <v>1.0602529875700453</v>
      </c>
      <c r="G90" s="55"/>
      <c r="H90" s="4">
        <f>SUMIF('R7'!$L$7:$Q$7,B90,'R7'!$L$19:$Q$19)</f>
        <v>0.97044553354850793</v>
      </c>
      <c r="I90" s="5">
        <f>SUMIF('R7'!$L$7:$Q$7,B90,'R7'!$L$20:$Q$20)</f>
        <v>1</v>
      </c>
      <c r="J90" s="5">
        <f t="shared" si="77"/>
        <v>1.0304545339535172</v>
      </c>
      <c r="K90" s="55"/>
      <c r="L90" s="27">
        <f>SUMIF('R7'!$L$7:$Q$7,B90,'R7'!$L$11:$Q$11)</f>
        <v>0.76802273908891994</v>
      </c>
      <c r="M90" s="24">
        <f>SUMIF('R7'!$L$7:$Q$7,B90,'R7'!$L$12:$Q$12)</f>
        <v>13.63146246908134</v>
      </c>
      <c r="N90" s="24">
        <f t="shared" si="55"/>
        <v>14.39948520817026</v>
      </c>
      <c r="O90" s="55"/>
      <c r="P90" s="40">
        <f t="shared" si="56"/>
        <v>17.748774580882714</v>
      </c>
      <c r="Q90" s="55"/>
      <c r="R90" s="27">
        <f>SUMIF('R7'!$L$7:$Q$7,B90,'R7'!$L$15:$Q$15)</f>
        <v>441222.3009654975</v>
      </c>
      <c r="S90" s="55"/>
      <c r="T90" s="27">
        <f>SUMIF('R7'!$L$7:$Q$7,B90,'R7'!$L$16:$Q$16)</f>
        <v>561741.54734947579</v>
      </c>
      <c r="U90" s="55"/>
      <c r="V90" s="24">
        <f t="shared" si="57"/>
        <v>1.2731485831977531</v>
      </c>
      <c r="W90" s="55"/>
      <c r="X90" s="27">
        <f>SUMIF('R7'!$L$7:$Q$7,B90,'R7'!$L$27:$Q$27)</f>
        <v>328559.42785221792</v>
      </c>
      <c r="Y90" s="55"/>
      <c r="Z90" s="27">
        <f>SUMIF('R7'!$L$7:$Q$7,B90,'R7'!$L$10:$Q$10)</f>
        <v>4731086.6213628966</v>
      </c>
      <c r="AA90" s="55"/>
      <c r="AB90" s="5"/>
      <c r="AC90" s="5"/>
      <c r="AD90" s="5"/>
    </row>
    <row r="91" spans="1:30" ht="15.75" thickBot="1" x14ac:dyDescent="0.3">
      <c r="A91" s="105"/>
      <c r="B91" s="32">
        <v>2100</v>
      </c>
      <c r="C91" s="9">
        <f>SUMIF('R7'!$L$7:$Q$7,B91,'R7'!$L$17:$Q$17)</f>
        <v>18.701260000000001</v>
      </c>
      <c r="D91" s="44">
        <f>SUMIF('R7'!$L$7:$Q$7,B91,'R7'!$L$21:$Q$21)</f>
        <v>0.93231395090361513</v>
      </c>
      <c r="E91" s="36">
        <f>SUMIF('R7'!$L$7:$Q$7,B91,'R7'!$L$22:$Q$22)</f>
        <v>0.98848865179879042</v>
      </c>
      <c r="F91" s="48">
        <f t="shared" si="76"/>
        <v>1.0602529875700453</v>
      </c>
      <c r="G91" s="56"/>
      <c r="H91" s="7">
        <f>SUMIF('R7'!$L$7:$Q$7,B91,'R7'!$L$19:$Q$19)</f>
        <v>0.97044553354850793</v>
      </c>
      <c r="I91" s="8">
        <f>SUMIF('R7'!$L$7:$Q$7,B91,'R7'!$L$20:$Q$20)</f>
        <v>1</v>
      </c>
      <c r="J91" s="8">
        <f t="shared" si="77"/>
        <v>1.0304545339535172</v>
      </c>
      <c r="K91" s="56"/>
      <c r="L91" s="28">
        <f>SUMIF('R7'!$L$7:$Q$7,B91,'R7'!$L$11:$Q$11)</f>
        <v>0.66910820976834895</v>
      </c>
      <c r="M91" s="25">
        <f>SUMIF('R7'!$L$7:$Q$7,B91,'R7'!$L$12:$Q$12)</f>
        <v>22.038485528940669</v>
      </c>
      <c r="N91" s="25">
        <f t="shared" si="55"/>
        <v>22.707593738709019</v>
      </c>
      <c r="O91" s="56"/>
      <c r="P91" s="41">
        <f t="shared" si="56"/>
        <v>32.937102261188194</v>
      </c>
      <c r="Q91" s="56"/>
      <c r="R91" s="28">
        <f>SUMIF('R7'!$L$7:$Q$7,B91,'R7'!$L$15:$Q$15)</f>
        <v>580388.66046277736</v>
      </c>
      <c r="S91" s="56"/>
      <c r="T91" s="28">
        <f>SUMIF('R7'!$L$7:$Q$7,B91,'R7'!$L$16:$Q$16)</f>
        <v>738921.00077222695</v>
      </c>
      <c r="U91" s="56"/>
      <c r="V91" s="25">
        <f t="shared" si="57"/>
        <v>1.2731485831977534</v>
      </c>
      <c r="W91" s="56"/>
      <c r="X91" s="28">
        <f>SUMIF('R7'!$L$7:$Q$7,B91,'R7'!$L$27:$Q$27)</f>
        <v>434902.04771889932</v>
      </c>
      <c r="Y91" s="56"/>
      <c r="Z91" s="28">
        <f>SUMIF('R7'!$L$7:$Q$7,B91,'R7'!$L$10:$Q$10)</f>
        <v>9875579.0157334059</v>
      </c>
      <c r="AA91" s="56"/>
      <c r="AB91" s="5"/>
      <c r="AC91" s="5"/>
      <c r="AD91" s="5"/>
    </row>
    <row r="92" spans="1:30" x14ac:dyDescent="0.25">
      <c r="A92" s="103" t="str">
        <f>'R7'!B1</f>
        <v>Mpumalanga</v>
      </c>
      <c r="B92" s="21">
        <v>2000</v>
      </c>
      <c r="C92" s="3">
        <f>SUMIF('R7'!$L$7:$Q$7,B92,'R7'!$L$42:$Q$42)</f>
        <v>18.701260000000001</v>
      </c>
      <c r="D92" s="42">
        <f>SUMIF('R7'!$L$7:$Q$7,B92,'R7'!$L$46:$Q$46)</f>
        <v>1</v>
      </c>
      <c r="E92" s="34">
        <f>SUMIF('R7'!$L$7:$Q$7,B92,'R7'!$L$47:$Q$47)</f>
        <v>1</v>
      </c>
      <c r="F92" s="49">
        <f t="shared" si="76"/>
        <v>1</v>
      </c>
      <c r="G92" s="57">
        <f t="shared" ref="G92:G97" si="78">(F92-$F86)/$F86</f>
        <v>0</v>
      </c>
      <c r="H92" s="1">
        <f>SUMIF('R7'!$L$7:$Q$7,B92,'R7'!$L$44:$Q$44)</f>
        <v>0.97044553354850793</v>
      </c>
      <c r="I92" s="2">
        <f>SUMIF('R7'!$L$7:$Q$7,B92,'R7'!$L$45:$Q$45)</f>
        <v>1</v>
      </c>
      <c r="J92" s="2">
        <f t="shared" si="77"/>
        <v>1.0304545339535172</v>
      </c>
      <c r="K92" s="57">
        <f t="shared" ref="K92:K97" si="79">(J92-$J86)/$J86</f>
        <v>0</v>
      </c>
      <c r="L92" s="26">
        <f>SUMIF('R7'!$L$7:$Q$7,B92,'R7'!$L$36:$Q$36)</f>
        <v>0.82533526478849994</v>
      </c>
      <c r="M92" s="23">
        <f>SUMIF('R7'!$L$7:$Q$7,B92,'R7'!$L$37:$Q$37)</f>
        <v>1.2351813271467</v>
      </c>
      <c r="N92" s="23">
        <f t="shared" si="55"/>
        <v>2.0605165919352002</v>
      </c>
      <c r="O92" s="57"/>
      <c r="P92" s="38">
        <f t="shared" si="56"/>
        <v>1.4965813044026746</v>
      </c>
      <c r="Q92" s="57">
        <f t="shared" ref="Q92:Q97" si="80">(P92-$P86)/$P86</f>
        <v>0</v>
      </c>
      <c r="R92" s="26">
        <f>SUMIF('R7'!$L$7:$Q$7,B92,'R7'!$L$40:$Q$40)</f>
        <v>46414.168855270647</v>
      </c>
      <c r="S92" s="57">
        <f t="shared" ref="S92:S97" si="81">(R92-$R86)/$R86</f>
        <v>0</v>
      </c>
      <c r="T92" s="26">
        <f>SUMIF('R7'!$L$7:$Q$7,B92,'R7'!$L$41:$Q$41)</f>
        <v>59092.133318389097</v>
      </c>
      <c r="U92" s="57">
        <f t="shared" ref="U92:U97" si="82">(T92-$T86)/$T86</f>
        <v>0</v>
      </c>
      <c r="V92" s="23">
        <f t="shared" si="57"/>
        <v>1.2731485831977529</v>
      </c>
      <c r="W92" s="57">
        <f t="shared" ref="W92:W97" si="83">(V92-$V86)/$V86</f>
        <v>0</v>
      </c>
      <c r="X92" s="26">
        <f>SUMIF('R7'!$L$7:$Q$7,B92,'R7'!$L$52:$Q$52)</f>
        <v>18427.262540756401</v>
      </c>
      <c r="Y92" s="57">
        <f t="shared" ref="Y92:Y97" si="84">(X92-$X86)/$X86</f>
        <v>0</v>
      </c>
      <c r="Z92" s="26">
        <f>SUMIF('R7'!$L$7:$Q$7,B92,'R7'!$L$35:$Q$35)</f>
        <v>66273.9254716</v>
      </c>
      <c r="AA92" s="57">
        <f t="shared" ref="AA92:AA97" si="85">(Z92-$Z86)/$Z86</f>
        <v>0</v>
      </c>
      <c r="AB92" s="5"/>
      <c r="AC92" s="5"/>
      <c r="AD92" s="5"/>
    </row>
    <row r="93" spans="1:30" x14ac:dyDescent="0.25">
      <c r="A93" s="104"/>
      <c r="B93" s="31">
        <v>2020</v>
      </c>
      <c r="C93" s="14">
        <f>SUMIF('R7'!$L$7:$Q$7,B93,'R7'!$L$42:$Q$42)</f>
        <v>19.175070000000002</v>
      </c>
      <c r="D93" s="43">
        <f>SUMIF('R7'!$L$7:$Q$7,B93,'R7'!$L$46:$Q$46)</f>
        <v>0.91693862656807257</v>
      </c>
      <c r="E93" s="35">
        <f>SUMIF('R7'!$L$7:$Q$7,B93,'R7'!$L$47:$Q$47)</f>
        <v>0.98197288977586894</v>
      </c>
      <c r="F93" s="50">
        <f t="shared" si="76"/>
        <v>1.0709254265481294</v>
      </c>
      <c r="G93" s="58">
        <f t="shared" si="78"/>
        <v>1.0065936246540451E-2</v>
      </c>
      <c r="H93" s="4">
        <f>SUMIF('R7'!$L$7:$Q$7,B93,'R7'!$L$44:$Q$44)</f>
        <v>0.98019867330675492</v>
      </c>
      <c r="I93" s="5">
        <f>SUMIF('R7'!$L$7:$Q$7,B93,'R7'!$L$45:$Q$45)</f>
        <v>1</v>
      </c>
      <c r="J93" s="13">
        <f t="shared" si="77"/>
        <v>1.0202013400267562</v>
      </c>
      <c r="K93" s="58">
        <f t="shared" si="79"/>
        <v>-9.9501662508318413E-3</v>
      </c>
      <c r="L93" s="27">
        <f>SUMIF('R7'!$L$7:$Q$7,B93,'R7'!$L$36:$Q$36)</f>
        <v>0.91657085929160098</v>
      </c>
      <c r="M93" s="24">
        <f>SUMIF('R7'!$L$7:$Q$7,B93,'R7'!$L$37:$Q$37)</f>
        <v>2.545550285277332</v>
      </c>
      <c r="N93" s="24">
        <f t="shared" si="55"/>
        <v>3.4621211445689331</v>
      </c>
      <c r="O93" s="58"/>
      <c r="P93" s="39">
        <f t="shared" si="56"/>
        <v>2.7772542182333138</v>
      </c>
      <c r="Q93" s="58">
        <f t="shared" si="80"/>
        <v>-3.9030260620169123E-6</v>
      </c>
      <c r="R93" s="27">
        <f>SUMIF('R7'!$L$7:$Q$7,B93,'R7'!$L$40:$Q$40)</f>
        <v>110419.47073157159</v>
      </c>
      <c r="S93" s="58">
        <f t="shared" si="81"/>
        <v>-9.0940559123362419E-4</v>
      </c>
      <c r="T93" s="27">
        <f>SUMIF('R7'!$L$7:$Q$7,B93,'R7'!$L$41:$Q$41)</f>
        <v>139179.42153534101</v>
      </c>
      <c r="U93" s="58">
        <f t="shared" si="82"/>
        <v>-1.0865965719583183E-2</v>
      </c>
      <c r="V93" s="24">
        <f t="shared" si="57"/>
        <v>1.2604608644944921</v>
      </c>
      <c r="W93" s="58">
        <f t="shared" si="83"/>
        <v>-9.9656229215546524E-3</v>
      </c>
      <c r="X93" s="27">
        <f>SUMIF('R7'!$L$7:$Q$7,B93,'R7'!$L$52:$Q$52)</f>
        <v>76375.538485111785</v>
      </c>
      <c r="Y93" s="58">
        <f t="shared" si="84"/>
        <v>-1.7386189614095181E-2</v>
      </c>
      <c r="Z93" s="27">
        <f>SUMIF('R7'!$L$7:$Q$7,B93,'R7'!$L$35:$Q$35)</f>
        <v>264421.36671714392</v>
      </c>
      <c r="AA93" s="58">
        <f t="shared" si="85"/>
        <v>-1.7385981871933728E-2</v>
      </c>
      <c r="AB93" s="5"/>
      <c r="AC93" s="5"/>
      <c r="AD93" s="5"/>
    </row>
    <row r="94" spans="1:30" x14ac:dyDescent="0.25">
      <c r="A94" s="104"/>
      <c r="B94" s="31">
        <v>2040</v>
      </c>
      <c r="C94" s="6">
        <f>SUMIF('R7'!$L$7:$Q$7,B94,'R7'!$L$42:$Q$42)</f>
        <v>19.72289</v>
      </c>
      <c r="D94" s="43">
        <f>SUMIF('R7'!$L$7:$Q$7,B94,'R7'!$L$46:$Q$46)</f>
        <v>0.89139111669784621</v>
      </c>
      <c r="E94" s="35">
        <f>SUMIF('R7'!$L$7:$Q$7,B94,'R7'!$L$47:$Q$47)</f>
        <v>0.96957624782154495</v>
      </c>
      <c r="F94" s="50">
        <f t="shared" si="76"/>
        <v>1.0877113644719001</v>
      </c>
      <c r="G94" s="58">
        <f t="shared" si="78"/>
        <v>2.5897948153662514E-2</v>
      </c>
      <c r="H94" s="4">
        <f>SUMIF('R7'!$L$7:$Q$7,B94,'R7'!$L$44:$Q$44)</f>
        <v>0.99004983374916744</v>
      </c>
      <c r="I94" s="5">
        <f>SUMIF('R7'!$L$7:$Q$7,B94,'R7'!$L$45:$Q$45)</f>
        <v>1</v>
      </c>
      <c r="J94" s="5">
        <f t="shared" si="77"/>
        <v>1.0100501670841686</v>
      </c>
      <c r="K94" s="58">
        <f t="shared" si="79"/>
        <v>-1.9801326693244446E-2</v>
      </c>
      <c r="L94" s="27">
        <f>SUMIF('R7'!$L$7:$Q$7,B94,'R7'!$L$36:$Q$36)</f>
        <v>0.92024586658810215</v>
      </c>
      <c r="M94" s="24">
        <f>SUMIF('R7'!$L$7:$Q$7,B94,'R7'!$L$37:$Q$37)</f>
        <v>4.7362394640910876</v>
      </c>
      <c r="N94" s="24">
        <f t="shared" si="55"/>
        <v>5.6564853306791898</v>
      </c>
      <c r="O94" s="58"/>
      <c r="P94" s="40">
        <f t="shared" si="56"/>
        <v>5.1467109346017921</v>
      </c>
      <c r="Q94" s="58">
        <f t="shared" si="80"/>
        <v>-1.3911005374665671E-3</v>
      </c>
      <c r="R94" s="27">
        <f>SUMIF('R7'!$L$7:$Q$7,B94,'R7'!$L$40:$Q$40)</f>
        <v>203350.952525448</v>
      </c>
      <c r="S94" s="58">
        <f t="shared" si="81"/>
        <v>-3.7961216384685122E-4</v>
      </c>
      <c r="T94" s="27">
        <f>SUMIF('R7'!$L$7:$Q$7,B94,'R7'!$L$41:$Q$41)</f>
        <v>252360.36154047301</v>
      </c>
      <c r="U94" s="58">
        <f t="shared" si="82"/>
        <v>-2.5614204965319631E-2</v>
      </c>
      <c r="V94" s="24">
        <f t="shared" si="57"/>
        <v>1.2410089965469515</v>
      </c>
      <c r="W94" s="58">
        <f t="shared" si="83"/>
        <v>-2.5244175797671894E-2</v>
      </c>
      <c r="X94" s="27">
        <f>SUMIF('R7'!$L$7:$Q$7,B94,'R7'!$L$52:$Q$52)</f>
        <v>140619.19536534659</v>
      </c>
      <c r="Y94" s="58">
        <f t="shared" si="84"/>
        <v>-4.4305799634238564E-2</v>
      </c>
      <c r="Z94" s="27">
        <f>SUMIF('R7'!$L$7:$Q$7,B94,'R7'!$L$35:$Q$35)</f>
        <v>795410.41579599422</v>
      </c>
      <c r="AA94" s="58">
        <f t="shared" si="85"/>
        <v>-4.4256581907748976E-2</v>
      </c>
      <c r="AB94" s="5"/>
      <c r="AC94" s="5"/>
      <c r="AD94" s="5"/>
    </row>
    <row r="95" spans="1:30" x14ac:dyDescent="0.25">
      <c r="A95" s="104"/>
      <c r="B95" s="31">
        <v>2060</v>
      </c>
      <c r="C95" s="6">
        <f>SUMIF('R7'!$L$7:$Q$7,B95,'R7'!$L$42:$Q$42)</f>
        <v>20.29449</v>
      </c>
      <c r="D95" s="43">
        <f>SUMIF('R7'!$L$7:$Q$7,B95,'R7'!$L$46:$Q$46)</f>
        <v>0.87282505847383773</v>
      </c>
      <c r="E95" s="35">
        <f>SUMIF('R7'!$L$7:$Q$7,B95,'R7'!$L$47:$Q$47)</f>
        <v>0.95961542839364711</v>
      </c>
      <c r="F95" s="50">
        <f t="shared" si="76"/>
        <v>1.0994361574260541</v>
      </c>
      <c r="G95" s="58">
        <f t="shared" si="78"/>
        <v>3.6956434280662809E-2</v>
      </c>
      <c r="H95" s="4">
        <f>SUMIF('R7'!$L$7:$Q$7,B95,'R7'!$L$44:$Q$44)</f>
        <v>0.99004983374916744</v>
      </c>
      <c r="I95" s="5">
        <f>SUMIF('R7'!$L$7:$Q$7,B95,'R7'!$L$45:$Q$45)</f>
        <v>1</v>
      </c>
      <c r="J95" s="5">
        <f t="shared" si="77"/>
        <v>1.0100501670841686</v>
      </c>
      <c r="K95" s="58">
        <f t="shared" si="79"/>
        <v>-1.9801326693244446E-2</v>
      </c>
      <c r="L95" s="27">
        <f>SUMIF('R7'!$L$7:$Q$7,B95,'R7'!$L$36:$Q$36)</f>
        <v>0.86224627496062423</v>
      </c>
      <c r="M95" s="24">
        <f>SUMIF('R7'!$L$7:$Q$7,B95,'R7'!$L$37:$Q$37)</f>
        <v>8.2132308680381225</v>
      </c>
      <c r="N95" s="24">
        <f t="shared" si="55"/>
        <v>9.0754771429987464</v>
      </c>
      <c r="O95" s="58"/>
      <c r="P95" s="40">
        <f t="shared" si="56"/>
        <v>9.5253886349502555</v>
      </c>
      <c r="Q95" s="58">
        <f t="shared" si="80"/>
        <v>-4.0641979678579911E-3</v>
      </c>
      <c r="R95" s="27">
        <f>SUMIF('R7'!$L$7:$Q$7,B95,'R7'!$L$40:$Q$40)</f>
        <v>316066.29115568829</v>
      </c>
      <c r="S95" s="58">
        <f t="shared" si="81"/>
        <v>1.2190217746854441E-3</v>
      </c>
      <c r="T95" s="27">
        <f>SUMIF('R7'!$L$7:$Q$7,B95,'R7'!$L$41:$Q$41)</f>
        <v>388058.10685824772</v>
      </c>
      <c r="U95" s="58">
        <f t="shared" si="82"/>
        <v>-3.4463755008925991E-2</v>
      </c>
      <c r="V95" s="24">
        <f t="shared" si="57"/>
        <v>1.2277744185858075</v>
      </c>
      <c r="W95" s="58">
        <f t="shared" si="83"/>
        <v>-3.5639331662279755E-2</v>
      </c>
      <c r="X95" s="27">
        <f>SUMIF('R7'!$L$7:$Q$7,B95,'R7'!$L$52:$Q$52)</f>
        <v>217930.03312601041</v>
      </c>
      <c r="Y95" s="58">
        <f t="shared" si="84"/>
        <v>-6.2753614418443904E-2</v>
      </c>
      <c r="Z95" s="27">
        <f>SUMIF('R7'!$L$7:$Q$7,B95,'R7'!$L$35:$Q$35)</f>
        <v>1977819.0344080669</v>
      </c>
      <c r="AA95" s="58">
        <f t="shared" si="85"/>
        <v>-6.2618278762418655E-2</v>
      </c>
      <c r="AB95" s="5"/>
      <c r="AC95" s="5"/>
      <c r="AD95" s="5"/>
    </row>
    <row r="96" spans="1:30" x14ac:dyDescent="0.25">
      <c r="A96" s="104"/>
      <c r="B96" s="31">
        <v>2080</v>
      </c>
      <c r="C96" s="6">
        <f>SUMIF('R7'!$L$7:$Q$7,B96,'R7'!$L$42:$Q$42)</f>
        <v>20.581810000000001</v>
      </c>
      <c r="D96" s="43">
        <f>SUMIF('R7'!$L$7:$Q$7,B96,'R7'!$L$46:$Q$46)</f>
        <v>0.85313575176011658</v>
      </c>
      <c r="E96" s="35">
        <f>SUMIF('R7'!$L$7:$Q$7,B96,'R7'!$L$47:$Q$47)</f>
        <v>0.94834437421114004</v>
      </c>
      <c r="F96" s="50">
        <f t="shared" si="76"/>
        <v>1.1115984440396469</v>
      </c>
      <c r="G96" s="58">
        <f t="shared" si="78"/>
        <v>4.8427551793349254E-2</v>
      </c>
      <c r="H96" s="4">
        <f>SUMIF('R7'!$L$7:$Q$7,B96,'R7'!$L$44:$Q$44)</f>
        <v>1</v>
      </c>
      <c r="I96" s="5">
        <f>SUMIF('R7'!$L$7:$Q$7,B96,'R7'!$L$45:$Q$45)</f>
        <v>1</v>
      </c>
      <c r="J96" s="5">
        <f t="shared" si="77"/>
        <v>1</v>
      </c>
      <c r="K96" s="58">
        <f t="shared" si="79"/>
        <v>-2.9554466451492109E-2</v>
      </c>
      <c r="L96" s="27">
        <f>SUMIF('R7'!$L$7:$Q$7,B96,'R7'!$L$36:$Q$36)</f>
        <v>0.77132748154299224</v>
      </c>
      <c r="M96" s="24">
        <f>SUMIF('R7'!$L$7:$Q$7,B96,'R7'!$L$37:$Q$37)</f>
        <v>13.631064757544941</v>
      </c>
      <c r="N96" s="24">
        <f t="shared" si="55"/>
        <v>14.402392239087932</v>
      </c>
      <c r="O96" s="58"/>
      <c r="P96" s="40">
        <f t="shared" si="56"/>
        <v>17.672214569973381</v>
      </c>
      <c r="Q96" s="58">
        <f t="shared" si="80"/>
        <v>-4.3135378479478726E-3</v>
      </c>
      <c r="R96" s="27">
        <f>SUMIF('R7'!$L$7:$Q$7,B96,'R7'!$L$40:$Q$40)</f>
        <v>442049.40084144397</v>
      </c>
      <c r="S96" s="58">
        <f t="shared" si="81"/>
        <v>1.8745649848989573E-3</v>
      </c>
      <c r="T96" s="27">
        <f>SUMIF('R7'!$L$7:$Q$7,B96,'R7'!$L$41:$Q$41)</f>
        <v>536798.72054300015</v>
      </c>
      <c r="U96" s="58">
        <f t="shared" si="82"/>
        <v>-4.4402674012926413E-2</v>
      </c>
      <c r="V96" s="24">
        <f t="shared" si="57"/>
        <v>1.21434102053119</v>
      </c>
      <c r="W96" s="58">
        <f t="shared" si="83"/>
        <v>-4.6190651619669461E-2</v>
      </c>
      <c r="X96" s="27">
        <f>SUMIF('R7'!$L$7:$Q$7,B96,'R7'!$L$52:$Q$52)</f>
        <v>301202.29850806802</v>
      </c>
      <c r="Y96" s="58">
        <f t="shared" si="84"/>
        <v>-8.3263869562296686E-2</v>
      </c>
      <c r="Z96" s="27">
        <f>SUMIF('R7'!$L$7:$Q$7,B96,'R7'!$L$35:$Q$35)</f>
        <v>4338033.6464280449</v>
      </c>
      <c r="AA96" s="58">
        <f t="shared" si="85"/>
        <v>-8.3078794871361702E-2</v>
      </c>
      <c r="AB96" s="5"/>
      <c r="AC96" s="5"/>
      <c r="AD96" s="5"/>
    </row>
    <row r="97" spans="1:30" ht="15.75" thickBot="1" x14ac:dyDescent="0.3">
      <c r="A97" s="105"/>
      <c r="B97" s="32">
        <v>2100</v>
      </c>
      <c r="C97" s="9">
        <f>SUMIF('R7'!$L$7:$Q$7,B97,'R7'!$L$42:$Q$42)</f>
        <v>20.699369999999998</v>
      </c>
      <c r="D97" s="44">
        <f>SUMIF('R7'!$L$7:$Q$7,B97,'R7'!$L$46:$Q$46)</f>
        <v>0.85313575176011658</v>
      </c>
      <c r="E97" s="36">
        <f>SUMIF('R7'!$L$7:$Q$7,B97,'R7'!$L$47:$Q$47)</f>
        <v>0.94834437421114004</v>
      </c>
      <c r="F97" s="51">
        <f t="shared" si="76"/>
        <v>1.1115984440396469</v>
      </c>
      <c r="G97" s="59">
        <f t="shared" si="78"/>
        <v>4.8427551793349254E-2</v>
      </c>
      <c r="H97" s="7">
        <f>SUMIF('R7'!$L$7:$Q$7,B97,'R7'!$L$44:$Q$44)</f>
        <v>1</v>
      </c>
      <c r="I97" s="8">
        <f>SUMIF('R7'!$L$7:$Q$7,B97,'R7'!$L$45:$Q$45)</f>
        <v>1</v>
      </c>
      <c r="J97" s="8">
        <f t="shared" si="77"/>
        <v>1</v>
      </c>
      <c r="K97" s="59">
        <f t="shared" si="79"/>
        <v>-2.9554466451492109E-2</v>
      </c>
      <c r="L97" s="28">
        <f>SUMIF('R7'!$L$7:$Q$7,B97,'R7'!$L$36:$Q$36)</f>
        <v>0.67207855805483907</v>
      </c>
      <c r="M97" s="25">
        <f>SUMIF('R7'!$L$7:$Q$7,B97,'R7'!$L$37:$Q$37)</f>
        <v>22.040834339232131</v>
      </c>
      <c r="N97" s="25">
        <f t="shared" si="55"/>
        <v>22.712912897286969</v>
      </c>
      <c r="O97" s="59"/>
      <c r="P97" s="41">
        <f t="shared" si="56"/>
        <v>32.795026823982802</v>
      </c>
      <c r="Q97" s="59">
        <f t="shared" si="80"/>
        <v>-4.3135378479487027E-3</v>
      </c>
      <c r="R97" s="33">
        <f>SUMIF('R7'!$L$7:$Q$7,B97,'R7'!$L$40:$Q$40)</f>
        <v>582514.70574565884</v>
      </c>
      <c r="S97" s="59">
        <f t="shared" si="81"/>
        <v>3.6631406292229342E-3</v>
      </c>
      <c r="T97" s="28">
        <f>SUMIF('R7'!$L$7:$Q$7,B97,'R7'!$L$41:$Q$41)</f>
        <v>707371.5022496091</v>
      </c>
      <c r="U97" s="59">
        <f t="shared" si="82"/>
        <v>-4.269671384308512E-2</v>
      </c>
      <c r="V97" s="25">
        <f t="shared" si="57"/>
        <v>1.2143410205311898</v>
      </c>
      <c r="W97" s="59">
        <f t="shared" si="83"/>
        <v>-4.6190651619669801E-2</v>
      </c>
      <c r="X97" s="28">
        <f>SUMIF('R7'!$L$7:$Q$7,B97,'R7'!$L$52:$Q$52)</f>
        <v>399412.20837156952</v>
      </c>
      <c r="Y97" s="59">
        <f t="shared" si="84"/>
        <v>-8.1604213025616296E-2</v>
      </c>
      <c r="Z97" s="28">
        <f>SUMIF('R7'!$L$7:$Q$7,B97,'R7'!$L$35:$Q$35)</f>
        <v>9071814.6988564935</v>
      </c>
      <c r="AA97" s="59">
        <f t="shared" si="85"/>
        <v>-8.1389082665065518E-2</v>
      </c>
      <c r="AB97" s="5"/>
      <c r="AC97" s="5"/>
      <c r="AD97" s="5"/>
    </row>
    <row r="98" spans="1:30" x14ac:dyDescent="0.25">
      <c r="A98" s="106" t="s">
        <v>6</v>
      </c>
      <c r="B98" s="21">
        <v>2000</v>
      </c>
      <c r="C98" s="3">
        <f>SUMIF('R8'!$L$7:$Q$7,B98,'R8'!$L$17:$Q$17)</f>
        <v>19.567530000000001</v>
      </c>
      <c r="D98" s="42">
        <f>SUMIF('R8'!$L$7:$Q$7,B98,'R8'!$L$21:$Q$21)</f>
        <v>1</v>
      </c>
      <c r="E98" s="34">
        <f>SUMIF('R8'!$L$7:$Q$7,B98,'R8'!$L$22:$Q$22)</f>
        <v>1</v>
      </c>
      <c r="F98" s="45">
        <f>E98/D98</f>
        <v>1</v>
      </c>
      <c r="G98" s="53"/>
      <c r="H98" s="1">
        <f>SUMIF('R8'!$L$7:$Q$7,B98,'R8'!$L$19:$Q$19)</f>
        <v>0.99004983374916744</v>
      </c>
      <c r="I98" s="2">
        <f>SUMIF('R8'!$L$7:$Q$7,B98,'R8'!$L$20:$Q$20)</f>
        <v>1</v>
      </c>
      <c r="J98" s="2">
        <f>I98/H98</f>
        <v>1.0100501670841686</v>
      </c>
      <c r="K98" s="53"/>
      <c r="L98" s="26">
        <f>SUMIF('R8'!$L$7:$Q$7,B98,'R8'!$L$11:$Q$11)</f>
        <v>1.5094523999114999</v>
      </c>
      <c r="M98" s="24">
        <f>SUMIF('R8'!$L$7:$Q$7,B98,'R8'!$L$12:$Q$12)</f>
        <v>2.2590182415933011</v>
      </c>
      <c r="N98" s="23">
        <f t="shared" si="55"/>
        <v>3.768470641504801</v>
      </c>
      <c r="O98" s="53"/>
      <c r="P98" s="38">
        <f t="shared" si="56"/>
        <v>1.4965813044026752</v>
      </c>
      <c r="Q98" s="53"/>
      <c r="R98" s="26">
        <f>SUMIF('R8'!$L$7:$Q$7,B98,'R8'!$L$15:$Q$15)</f>
        <v>47481.627330410549</v>
      </c>
      <c r="S98" s="53"/>
      <c r="T98" s="26">
        <f>SUMIF('R8'!$L$7:$Q$7,B98,'R8'!$L$16:$Q$16)</f>
        <v>59235.606824504393</v>
      </c>
      <c r="U98" s="53"/>
      <c r="V98" s="23">
        <f t="shared" si="57"/>
        <v>1.2475479497006576</v>
      </c>
      <c r="W98" s="53"/>
      <c r="X98" s="26">
        <f>SUMIF('R8'!$L$7:$Q$7,B98,'R8'!$L$27:$Q$27)</f>
        <v>18427.26254075639</v>
      </c>
      <c r="Y98" s="53"/>
      <c r="Z98" s="26">
        <f>SUMIF('R8'!$L$7:$Q$7,B98,'R8'!$L$10:$Q$10)</f>
        <v>121208.1200484</v>
      </c>
      <c r="AA98" s="53"/>
      <c r="AB98" s="5"/>
      <c r="AC98" s="5"/>
      <c r="AD98" s="5"/>
    </row>
    <row r="99" spans="1:30" s="10" customFormat="1" x14ac:dyDescent="0.25">
      <c r="A99" s="107"/>
      <c r="B99" s="31">
        <v>2020</v>
      </c>
      <c r="C99" s="14">
        <f>SUMIF('R8'!$L$7:$Q$7,B99,'R8'!$L$17:$Q$17)</f>
        <v>19.567530000000001</v>
      </c>
      <c r="D99" s="43">
        <f>SUMIF('R8'!$L$7:$Q$7,B99,'R8'!$L$21:$Q$21)</f>
        <v>0.90022563327805616</v>
      </c>
      <c r="E99" s="35">
        <f>SUMIF('R8'!$L$7:$Q$7,B99,'R8'!$L$22:$Q$22)</f>
        <v>0.97405330480158026</v>
      </c>
      <c r="F99" s="46">
        <f t="shared" ref="F99:F109" si="86">E99/D99</f>
        <v>1.0820101858849431</v>
      </c>
      <c r="G99" s="54"/>
      <c r="H99" s="4">
        <f>SUMIF('R8'!$L$7:$Q$7,B99,'R8'!$L$19:$Q$19)</f>
        <v>0.99004983374916744</v>
      </c>
      <c r="I99" s="5">
        <f>SUMIF('R8'!$L$7:$Q$7,B99,'R8'!$L$20:$Q$20)</f>
        <v>1</v>
      </c>
      <c r="J99" s="5">
        <f t="shared" ref="J99:J109" si="87">I99/H99</f>
        <v>1.0100501670841686</v>
      </c>
      <c r="K99" s="55"/>
      <c r="L99" s="27">
        <f>SUMIF('R8'!$L$7:$Q$7,B99,'R8'!$L$11:$Q$11)</f>
        <v>1.6763076527082541</v>
      </c>
      <c r="M99" s="24">
        <f>SUMIF('R8'!$L$7:$Q$7,B99,'R8'!$L$12:$Q$12)</f>
        <v>4.6555506702763836</v>
      </c>
      <c r="N99" s="24">
        <f t="shared" si="55"/>
        <v>6.3318583229846377</v>
      </c>
      <c r="O99" s="55"/>
      <c r="P99" s="39">
        <f t="shared" si="56"/>
        <v>2.7772650579712166</v>
      </c>
      <c r="Q99" s="55"/>
      <c r="R99" s="27">
        <f>SUMIF('R8'!$L$7:$Q$7,B99,'R8'!$L$15:$Q$15)</f>
        <v>111810.56769758731</v>
      </c>
      <c r="S99" s="55"/>
      <c r="T99" s="27">
        <f>SUMIF('R8'!$L$7:$Q$7,B99,'R8'!$L$16:$Q$16)</f>
        <v>139489.04448599159</v>
      </c>
      <c r="U99" s="55"/>
      <c r="V99" s="24">
        <f t="shared" si="57"/>
        <v>1.2475479497006574</v>
      </c>
      <c r="W99" s="55"/>
      <c r="X99" s="27">
        <f>SUMIF('R8'!$L$7:$Q$7,B99,'R8'!$L$27:$Q$27)</f>
        <v>75928.125015397236</v>
      </c>
      <c r="Y99" s="55"/>
      <c r="Z99" s="27">
        <f>SUMIF('R8'!$L$7:$Q$7,B99,'R8'!$L$10:$Q$10)</f>
        <v>480766.13032736111</v>
      </c>
      <c r="AA99" s="55"/>
      <c r="AB99" s="13"/>
      <c r="AC99" s="13"/>
      <c r="AD99" s="13"/>
    </row>
    <row r="100" spans="1:30" x14ac:dyDescent="0.25">
      <c r="A100" s="107"/>
      <c r="B100" s="31">
        <v>2040</v>
      </c>
      <c r="C100" s="6">
        <f>SUMIF('R8'!$L$7:$Q$7,B100,'R8'!$L$17:$Q$17)</f>
        <v>19.567530000000001</v>
      </c>
      <c r="D100" s="43">
        <f>SUMIF('R8'!$L$7:$Q$7,B100,'R8'!$L$21:$Q$21)</f>
        <v>0.90022563327805616</v>
      </c>
      <c r="E100" s="35">
        <f>SUMIF('R8'!$L$7:$Q$7,B100,'R8'!$L$22:$Q$22)</f>
        <v>0.97405330480158026</v>
      </c>
      <c r="F100" s="47">
        <f t="shared" si="86"/>
        <v>1.0820101858849431</v>
      </c>
      <c r="G100" s="55"/>
      <c r="H100" s="4">
        <f>SUMIF('R8'!$L$7:$Q$7,B100,'R8'!$L$19:$Q$19)</f>
        <v>0.99004983374916744</v>
      </c>
      <c r="I100" s="5">
        <f>SUMIF('R8'!$L$7:$Q$7,B100,'R8'!$L$20:$Q$20)</f>
        <v>1</v>
      </c>
      <c r="J100" s="5">
        <f t="shared" si="87"/>
        <v>1.0100501670841686</v>
      </c>
      <c r="K100" s="55"/>
      <c r="L100" s="27">
        <f>SUMIF('R8'!$L$7:$Q$7,B100,'R8'!$L$11:$Q$11)</f>
        <v>1.6809866387325101</v>
      </c>
      <c r="M100" s="24">
        <f>SUMIF('R8'!$L$7:$Q$7,B100,'R8'!$L$12:$Q$12)</f>
        <v>8.6636042590252504</v>
      </c>
      <c r="N100" s="24">
        <f t="shared" si="55"/>
        <v>10.34459089775776</v>
      </c>
      <c r="O100" s="55"/>
      <c r="P100" s="40">
        <f t="shared" si="56"/>
        <v>5.1538805005361272</v>
      </c>
      <c r="Q100" s="55"/>
      <c r="R100" s="27">
        <f>SUMIF('R8'!$L$7:$Q$7,B100,'R8'!$L$15:$Q$15)</f>
        <v>206524.08446256211</v>
      </c>
      <c r="S100" s="55"/>
      <c r="T100" s="27">
        <f>SUMIF('R8'!$L$7:$Q$7,B100,'R8'!$L$16:$Q$16)</f>
        <v>257648.69813507481</v>
      </c>
      <c r="U100" s="55"/>
      <c r="V100" s="24">
        <f t="shared" si="57"/>
        <v>1.2475479497006576</v>
      </c>
      <c r="W100" s="55"/>
      <c r="X100" s="27">
        <f>SUMIF('R8'!$L$7:$Q$7,B100,'R8'!$L$27:$Q$27)</f>
        <v>144236.2590445028</v>
      </c>
      <c r="Y100" s="55"/>
      <c r="Z100" s="27">
        <f>SUMIF('R8'!$L$7:$Q$7,B100,'R8'!$L$10:$Q$10)</f>
        <v>1492065.092438394</v>
      </c>
      <c r="AA100" s="55"/>
      <c r="AB100" s="5"/>
      <c r="AC100" s="5"/>
      <c r="AD100" s="5"/>
    </row>
    <row r="101" spans="1:30" x14ac:dyDescent="0.25">
      <c r="A101" s="107"/>
      <c r="B101" s="31">
        <v>2060</v>
      </c>
      <c r="C101" s="6">
        <f>SUMIF('R8'!$L$7:$Q$7,B101,'R8'!$L$17:$Q$17)</f>
        <v>19.567530000000001</v>
      </c>
      <c r="D101" s="43">
        <f>SUMIF('R8'!$L$7:$Q$7,B101,'R8'!$L$21:$Q$21)</f>
        <v>0.90022563327805616</v>
      </c>
      <c r="E101" s="35">
        <f>SUMIF('R8'!$L$7:$Q$7,B101,'R8'!$L$22:$Q$22)</f>
        <v>0.97405330480158026</v>
      </c>
      <c r="F101" s="47">
        <f t="shared" si="86"/>
        <v>1.0820101858849431</v>
      </c>
      <c r="G101" s="55"/>
      <c r="H101" s="4">
        <f>SUMIF('R8'!$L$7:$Q$7,B101,'R8'!$L$19:$Q$19)</f>
        <v>0.99004983374916744</v>
      </c>
      <c r="I101" s="5">
        <f>SUMIF('R8'!$L$7:$Q$7,B101,'R8'!$L$20:$Q$20)</f>
        <v>1</v>
      </c>
      <c r="J101" s="5">
        <f t="shared" si="87"/>
        <v>1.0100501670841686</v>
      </c>
      <c r="K101" s="55"/>
      <c r="L101" s="27">
        <f>SUMIF('R8'!$L$7:$Q$7,B101,'R8'!$L$11:$Q$11)</f>
        <v>1.570929564987853</v>
      </c>
      <c r="M101" s="24">
        <f>SUMIF('R8'!$L$7:$Q$7,B101,'R8'!$L$12:$Q$12)</f>
        <v>15.02477829806918</v>
      </c>
      <c r="N101" s="24">
        <f t="shared" si="55"/>
        <v>16.595707863057033</v>
      </c>
      <c r="O101" s="55"/>
      <c r="P101" s="40">
        <f t="shared" si="56"/>
        <v>9.5642596797045805</v>
      </c>
      <c r="Q101" s="55"/>
      <c r="R101" s="27">
        <f>SUMIF('R8'!$L$7:$Q$7,B101,'R8'!$L$15:$Q$15)</f>
        <v>321199.2669600175</v>
      </c>
      <c r="S101" s="55"/>
      <c r="T101" s="27">
        <f>SUMIF('R8'!$L$7:$Q$7,B101,'R8'!$L$16:$Q$16)</f>
        <v>400711.48694132408</v>
      </c>
      <c r="U101" s="55"/>
      <c r="V101" s="24">
        <f t="shared" si="57"/>
        <v>1.2475479497006579</v>
      </c>
      <c r="W101" s="55"/>
      <c r="X101" s="27">
        <f>SUMIF('R8'!$L$7:$Q$7,B101,'R8'!$L$27:$Q$27)</f>
        <v>228443.05522539199</v>
      </c>
      <c r="Y101" s="55"/>
      <c r="Z101" s="27">
        <f>SUMIF('R8'!$L$7:$Q$7,B101,'R8'!$L$10:$Q$10)</f>
        <v>3791174.2078648098</v>
      </c>
      <c r="AA101" s="55"/>
      <c r="AB101" s="5"/>
      <c r="AC101" s="5"/>
      <c r="AD101" s="5"/>
    </row>
    <row r="102" spans="1:30" x14ac:dyDescent="0.25">
      <c r="A102" s="107"/>
      <c r="B102" s="31">
        <v>2080</v>
      </c>
      <c r="C102" s="6">
        <f>SUMIF('R8'!$L$7:$Q$7,B102,'R8'!$L$17:$Q$17)</f>
        <v>19.567530000000001</v>
      </c>
      <c r="D102" s="43">
        <f>SUMIF('R8'!$L$7:$Q$7,B102,'R8'!$L$21:$Q$21)</f>
        <v>0.90022563327805616</v>
      </c>
      <c r="E102" s="35">
        <f>SUMIF('R8'!$L$7:$Q$7,B102,'R8'!$L$22:$Q$22)</f>
        <v>0.97405330480158026</v>
      </c>
      <c r="F102" s="47">
        <f t="shared" si="86"/>
        <v>1.0820101858849431</v>
      </c>
      <c r="G102" s="55"/>
      <c r="H102" s="4">
        <f>SUMIF('R8'!$L$7:$Q$7,B102,'R8'!$L$19:$Q$19)</f>
        <v>0.99004983374916744</v>
      </c>
      <c r="I102" s="5">
        <f>SUMIF('R8'!$L$7:$Q$7,B102,'R8'!$L$20:$Q$20)</f>
        <v>1</v>
      </c>
      <c r="J102" s="5">
        <f t="shared" si="87"/>
        <v>1.0100501670841686</v>
      </c>
      <c r="K102" s="55"/>
      <c r="L102" s="27">
        <f>SUMIF('R8'!$L$7:$Q$7,B102,'R8'!$L$11:$Q$11)</f>
        <v>1.4046337484457949</v>
      </c>
      <c r="M102" s="24">
        <f>SUMIF('R8'!$L$7:$Q$7,B102,'R8'!$L$12:$Q$12)</f>
        <v>24.930527769864749</v>
      </c>
      <c r="N102" s="24">
        <f t="shared" si="55"/>
        <v>26.335161518310546</v>
      </c>
      <c r="O102" s="55"/>
      <c r="P102" s="40">
        <f t="shared" si="56"/>
        <v>17.748774580882728</v>
      </c>
      <c r="Q102" s="55"/>
      <c r="R102" s="27">
        <f>SUMIF('R8'!$L$7:$Q$7,B102,'R8'!$L$15:$Q$15)</f>
        <v>449527.21310879482</v>
      </c>
      <c r="S102" s="55"/>
      <c r="T102" s="27">
        <f>SUMIF('R8'!$L$7:$Q$7,B102,'R8'!$L$16:$Q$16)</f>
        <v>560806.75304852705</v>
      </c>
      <c r="U102" s="55"/>
      <c r="V102" s="24">
        <f t="shared" si="57"/>
        <v>1.2475479497006565</v>
      </c>
      <c r="W102" s="55"/>
      <c r="X102" s="27">
        <f>SUMIF('R8'!$L$7:$Q$7,B102,'R8'!$L$27:$Q$27)</f>
        <v>323222.55454639468</v>
      </c>
      <c r="Y102" s="55"/>
      <c r="Z102" s="27">
        <f>SUMIF('R8'!$L$7:$Q$7,B102,'R8'!$L$10:$Q$10)</f>
        <v>8512118.1803402435</v>
      </c>
      <c r="AA102" s="55"/>
      <c r="AB102" s="5"/>
      <c r="AC102" s="5"/>
      <c r="AD102" s="5"/>
    </row>
    <row r="103" spans="1:30" ht="15.75" thickBot="1" x14ac:dyDescent="0.3">
      <c r="A103" s="108"/>
      <c r="B103" s="32">
        <v>2100</v>
      </c>
      <c r="C103" s="9">
        <f>SUMIF('R8'!$L$7:$Q$7,B103,'R8'!$L$17:$Q$17)</f>
        <v>19.567530000000001</v>
      </c>
      <c r="D103" s="44">
        <f>SUMIF('R8'!$L$7:$Q$7,B103,'R8'!$L$21:$Q$21)</f>
        <v>0.90022563327805616</v>
      </c>
      <c r="E103" s="36">
        <f>SUMIF('R8'!$L$7:$Q$7,B103,'R8'!$L$22:$Q$22)</f>
        <v>0.97405330480158026</v>
      </c>
      <c r="F103" s="48">
        <f t="shared" si="86"/>
        <v>1.0820101858849431</v>
      </c>
      <c r="G103" s="56"/>
      <c r="H103" s="7">
        <f>SUMIF('R8'!$L$7:$Q$7,B103,'R8'!$L$19:$Q$19)</f>
        <v>0.99004983374916744</v>
      </c>
      <c r="I103" s="8">
        <f>SUMIF('R8'!$L$7:$Q$7,B103,'R8'!$L$20:$Q$20)</f>
        <v>1</v>
      </c>
      <c r="J103" s="8">
        <f t="shared" si="87"/>
        <v>1.0100501670841686</v>
      </c>
      <c r="K103" s="56"/>
      <c r="L103" s="28">
        <f>SUMIF('R8'!$L$7:$Q$7,B103,'R8'!$L$11:$Q$11)</f>
        <v>1.223729357177219</v>
      </c>
      <c r="M103" s="25">
        <f>SUMIF('R8'!$L$7:$Q$7,B103,'R8'!$L$12:$Q$12)</f>
        <v>40.306098977364179</v>
      </c>
      <c r="N103" s="25">
        <f t="shared" si="55"/>
        <v>41.529828334541399</v>
      </c>
      <c r="O103" s="56"/>
      <c r="P103" s="41">
        <f t="shared" si="56"/>
        <v>32.937102261188215</v>
      </c>
      <c r="Q103" s="56"/>
      <c r="R103" s="28">
        <f>SUMIF('R8'!$L$7:$Q$7,B103,'R8'!$L$15:$Q$15)</f>
        <v>591757.01203304692</v>
      </c>
      <c r="S103" s="56"/>
      <c r="T103" s="28">
        <f>SUMIF('R8'!$L$7:$Q$7,B103,'R8'!$L$16:$Q$16)</f>
        <v>738245.24708281481</v>
      </c>
      <c r="U103" s="56"/>
      <c r="V103" s="25">
        <f t="shared" si="57"/>
        <v>1.2475479497006572</v>
      </c>
      <c r="W103" s="56"/>
      <c r="X103" s="28">
        <f>SUMIF('R8'!$L$7:$Q$7,B103,'R8'!$L$27:$Q$27)</f>
        <v>428159.06043698522</v>
      </c>
      <c r="Y103" s="56"/>
      <c r="Z103" s="28">
        <f>SUMIF('R8'!$L$7:$Q$7,B103,'R8'!$L$10:$Q$10)</f>
        <v>17781372.279826529</v>
      </c>
      <c r="AA103" s="56"/>
      <c r="AB103" s="5"/>
      <c r="AC103" s="5"/>
      <c r="AD103" s="5"/>
    </row>
    <row r="104" spans="1:30" x14ac:dyDescent="0.25">
      <c r="A104" s="106" t="str">
        <f>'R8'!B1</f>
        <v>Limpopo</v>
      </c>
      <c r="B104" s="21">
        <v>2000</v>
      </c>
      <c r="C104" s="3">
        <f>SUMIF('R8'!$L$7:$Q$7,B104,'R8'!$L$42:$Q$42)</f>
        <v>19.567530000000001</v>
      </c>
      <c r="D104" s="42">
        <f>SUMIF('R8'!$L$7:$Q$7,B104,'R8'!$L$46:$Q$46)</f>
        <v>1</v>
      </c>
      <c r="E104" s="34">
        <f>SUMIF('R8'!$L$7:$Q$7,B104,'R8'!$L$47:$Q$47)</f>
        <v>1</v>
      </c>
      <c r="F104" s="49">
        <f t="shared" si="86"/>
        <v>1</v>
      </c>
      <c r="G104" s="57">
        <f t="shared" ref="G104:G109" si="88">(F104-$F98)/$F98</f>
        <v>0</v>
      </c>
      <c r="H104" s="1">
        <f>SUMIF('R8'!$L$7:$Q$7,B104,'R8'!$L$44:$Q$44)</f>
        <v>0.99004983374916744</v>
      </c>
      <c r="I104" s="2">
        <f>SUMIF('R8'!$L$7:$Q$7,B104,'R8'!$L$45:$Q$45)</f>
        <v>1</v>
      </c>
      <c r="J104" s="2">
        <f t="shared" si="87"/>
        <v>1.0100501670841686</v>
      </c>
      <c r="K104" s="57">
        <f t="shared" ref="K104:K109" si="89">(J104-$J98)/$J98</f>
        <v>0</v>
      </c>
      <c r="L104" s="26">
        <f>SUMIF('R8'!$L$7:$Q$7,B104,'R8'!$L$36:$Q$36)</f>
        <v>1.5094523999114999</v>
      </c>
      <c r="M104" s="23">
        <f>SUMIF('R8'!$L$7:$Q$7,B104,'R8'!$L$37:$Q$37)</f>
        <v>2.2590182415933011</v>
      </c>
      <c r="N104" s="23">
        <f t="shared" si="55"/>
        <v>3.768470641504801</v>
      </c>
      <c r="O104" s="57"/>
      <c r="P104" s="38">
        <f t="shared" si="56"/>
        <v>1.4965813044026752</v>
      </c>
      <c r="Q104" s="57">
        <f t="shared" ref="Q104:Q109" si="90">(P104-$P98)/$P98</f>
        <v>0</v>
      </c>
      <c r="R104" s="26">
        <f>SUMIF('R8'!$L$7:$Q$7,B104,'R8'!$L$40:$Q$40)</f>
        <v>47481.627330410549</v>
      </c>
      <c r="S104" s="57">
        <f t="shared" ref="S104:S109" si="91">(R104-$R98)/$R98</f>
        <v>0</v>
      </c>
      <c r="T104" s="26">
        <f>SUMIF('R8'!$L$7:$Q$7,B104,'R8'!$L$41:$Q$41)</f>
        <v>59235.606824504393</v>
      </c>
      <c r="U104" s="57">
        <f t="shared" ref="U104:U109" si="92">(T104-$T98)/$T98</f>
        <v>0</v>
      </c>
      <c r="V104" s="23">
        <f t="shared" si="57"/>
        <v>1.2475479497006576</v>
      </c>
      <c r="W104" s="57">
        <f t="shared" ref="W104:W109" si="93">(V104-$V98)/$V98</f>
        <v>0</v>
      </c>
      <c r="X104" s="26">
        <f>SUMIF('R8'!$L$7:$Q$7,B104,'R8'!$L$52:$Q$52)</f>
        <v>18427.26254075639</v>
      </c>
      <c r="Y104" s="57">
        <f t="shared" ref="Y104:Y109" si="94">(X104-$X98)/$X98</f>
        <v>0</v>
      </c>
      <c r="Z104" s="26">
        <f>SUMIF('R8'!$L$7:$Q$7,B104,'R8'!$L$35:$Q$35)</f>
        <v>121208.1200484</v>
      </c>
      <c r="AA104" s="57">
        <f t="shared" ref="AA104:AA109" si="95">(Z104-$Z98)/$Z98</f>
        <v>0</v>
      </c>
      <c r="AB104" s="5"/>
      <c r="AC104" s="5"/>
      <c r="AD104" s="5"/>
    </row>
    <row r="105" spans="1:30" x14ac:dyDescent="0.25">
      <c r="A105" s="107"/>
      <c r="B105" s="31">
        <v>2020</v>
      </c>
      <c r="C105" s="14">
        <f>SUMIF('R8'!$L$7:$Q$7,B105,'R8'!$L$42:$Q$42)</f>
        <v>20.402729999999998</v>
      </c>
      <c r="D105" s="43">
        <f>SUMIF('R8'!$L$7:$Q$7,B105,'R8'!$L$46:$Q$46)</f>
        <v>0.86311515559253815</v>
      </c>
      <c r="E105" s="35">
        <f>SUMIF('R8'!$L$7:$Q$7,B105,'R8'!$L$47:$Q$47)</f>
        <v>0.95414178358867729</v>
      </c>
      <c r="F105" s="50">
        <f t="shared" si="86"/>
        <v>1.105462900757024</v>
      </c>
      <c r="G105" s="58">
        <f t="shared" si="88"/>
        <v>2.1675133171597302E-2</v>
      </c>
      <c r="H105" s="4">
        <f>SUMIF('R8'!$L$7:$Q$7,B105,'R8'!$L$44:$Q$44)</f>
        <v>1</v>
      </c>
      <c r="I105" s="5">
        <f>SUMIF('R8'!$L$7:$Q$7,B105,'R8'!$L$45:$Q$45)</f>
        <v>1</v>
      </c>
      <c r="J105" s="13">
        <f t="shared" si="87"/>
        <v>1</v>
      </c>
      <c r="K105" s="58">
        <f t="shared" si="89"/>
        <v>-9.9501662508324935E-3</v>
      </c>
      <c r="L105" s="27">
        <f>SUMIF('R8'!$L$7:$Q$7,B105,'R8'!$L$36:$Q$36)</f>
        <v>1.680096664002581</v>
      </c>
      <c r="M105" s="24">
        <f>SUMIF('R8'!$L$7:$Q$7,B105,'R8'!$L$37:$Q$37)</f>
        <v>4.6527437032960206</v>
      </c>
      <c r="N105" s="24">
        <f t="shared" si="55"/>
        <v>6.3328403672986013</v>
      </c>
      <c r="O105" s="58"/>
      <c r="P105" s="39">
        <f t="shared" si="56"/>
        <v>2.7693309575483291</v>
      </c>
      <c r="Q105" s="58">
        <f t="shared" si="90"/>
        <v>-2.856803458537473E-3</v>
      </c>
      <c r="R105" s="27">
        <f>SUMIF('R8'!$L$7:$Q$7,B105,'R8'!$L$40:$Q$40)</f>
        <v>110851.16204496341</v>
      </c>
      <c r="S105" s="58">
        <f t="shared" si="91"/>
        <v>-8.5806348396226112E-3</v>
      </c>
      <c r="T105" s="27">
        <f>SUMIF('R8'!$L$7:$Q$7,B105,'R8'!$L$41:$Q$41)</f>
        <v>135358.2322218488</v>
      </c>
      <c r="U105" s="58">
        <f t="shared" si="92"/>
        <v>-2.9613883150211372E-2</v>
      </c>
      <c r="V105" s="24">
        <f t="shared" si="57"/>
        <v>1.2210808594586031</v>
      </c>
      <c r="W105" s="58">
        <f t="shared" si="93"/>
        <v>-2.1215288958155821E-2</v>
      </c>
      <c r="X105" s="27">
        <f>SUMIF('R8'!$L$7:$Q$7,B105,'R8'!$L$52:$Q$52)</f>
        <v>72162.253766553156</v>
      </c>
      <c r="Y105" s="58">
        <f t="shared" si="94"/>
        <v>-4.9597843329865055E-2</v>
      </c>
      <c r="Z105" s="27">
        <f>SUMIF('R8'!$L$7:$Q$7,B105,'R8'!$L$35:$Q$35)</f>
        <v>456992.03364807338</v>
      </c>
      <c r="AA105" s="58">
        <f t="shared" si="95"/>
        <v>-4.9450439994804911E-2</v>
      </c>
      <c r="AB105" s="5"/>
      <c r="AC105" s="5"/>
      <c r="AD105" s="5"/>
    </row>
    <row r="106" spans="1:30" x14ac:dyDescent="0.25">
      <c r="A106" s="107"/>
      <c r="B106" s="31">
        <v>2040</v>
      </c>
      <c r="C106" s="6">
        <f>SUMIF('R8'!$L$7:$Q$7,B106,'R8'!$L$42:$Q$42)</f>
        <v>20.956689999999998</v>
      </c>
      <c r="D106" s="43">
        <f>SUMIF('R8'!$L$7:$Q$7,B106,'R8'!$L$46:$Q$46)</f>
        <v>0.84289864993793617</v>
      </c>
      <c r="E106" s="35">
        <f>SUMIF('R8'!$L$7:$Q$7,B106,'R8'!$L$47:$Q$47)</f>
        <v>0.94223331790392795</v>
      </c>
      <c r="F106" s="50">
        <f t="shared" si="86"/>
        <v>1.117848887257449</v>
      </c>
      <c r="G106" s="58">
        <f t="shared" si="88"/>
        <v>3.3122332710014656E-2</v>
      </c>
      <c r="H106" s="4">
        <f>SUMIF('R8'!$L$7:$Q$7,B106,'R8'!$L$44:$Q$44)</f>
        <v>1</v>
      </c>
      <c r="I106" s="5">
        <f>SUMIF('R8'!$L$7:$Q$7,B106,'R8'!$L$45:$Q$45)</f>
        <v>1</v>
      </c>
      <c r="J106" s="5">
        <f t="shared" si="87"/>
        <v>1</v>
      </c>
      <c r="K106" s="58">
        <f t="shared" si="89"/>
        <v>-9.9501662508324935E-3</v>
      </c>
      <c r="L106" s="27">
        <f>SUMIF('R8'!$L$7:$Q$7,B106,'R8'!$L$36:$Q$36)</f>
        <v>1.6895648735509139</v>
      </c>
      <c r="M106" s="24">
        <f>SUMIF('R8'!$L$7:$Q$7,B106,'R8'!$L$37:$Q$37)</f>
        <v>8.6587861797304146</v>
      </c>
      <c r="N106" s="24">
        <f t="shared" si="55"/>
        <v>10.348351053281329</v>
      </c>
      <c r="O106" s="58"/>
      <c r="P106" s="40">
        <f t="shared" si="56"/>
        <v>5.1248616228227286</v>
      </c>
      <c r="Q106" s="58">
        <f t="shared" si="90"/>
        <v>-5.6304909883688531E-3</v>
      </c>
      <c r="R106" s="27">
        <f>SUMIF('R8'!$L$7:$Q$7,B106,'R8'!$L$40:$Q$40)</f>
        <v>204622.89914081569</v>
      </c>
      <c r="S106" s="58">
        <f t="shared" si="91"/>
        <v>-9.2056349103005596E-3</v>
      </c>
      <c r="T106" s="27">
        <f>SUMIF('R8'!$L$7:$Q$7,B106,'R8'!$L$41:$Q$41)</f>
        <v>247092.59513856849</v>
      </c>
      <c r="U106" s="58">
        <f t="shared" si="92"/>
        <v>-4.0970915331278647E-2</v>
      </c>
      <c r="V106" s="24">
        <f t="shared" si="57"/>
        <v>1.2075510423128468</v>
      </c>
      <c r="W106" s="58">
        <f t="shared" si="93"/>
        <v>-3.2060416914161775E-2</v>
      </c>
      <c r="X106" s="27">
        <f>SUMIF('R8'!$L$7:$Q$7,B106,'R8'!$L$52:$Q$52)</f>
        <v>133780.0888491114</v>
      </c>
      <c r="Y106" s="58">
        <f t="shared" si="94"/>
        <v>-7.2493354061306067E-2</v>
      </c>
      <c r="Z106" s="27">
        <f>SUMIF('R8'!$L$7:$Q$7,B106,'R8'!$L$35:$Q$35)</f>
        <v>1384403.3233497711</v>
      </c>
      <c r="AA106" s="58">
        <f t="shared" si="95"/>
        <v>-7.2156214654601702E-2</v>
      </c>
      <c r="AB106" s="5"/>
      <c r="AC106" s="5"/>
      <c r="AD106" s="5"/>
    </row>
    <row r="107" spans="1:30" x14ac:dyDescent="0.25">
      <c r="A107" s="107"/>
      <c r="B107" s="31">
        <v>2060</v>
      </c>
      <c r="C107" s="6">
        <f>SUMIF('R8'!$L$7:$Q$7,B107,'R8'!$L$42:$Q$42)</f>
        <v>21.555199999999999</v>
      </c>
      <c r="D107" s="43">
        <f>SUMIF('R8'!$L$7:$Q$7,B107,'R8'!$L$46:$Q$46)</f>
        <v>0.81076508762715238</v>
      </c>
      <c r="E107" s="35">
        <f>SUMIF('R8'!$L$7:$Q$7,B107,'R8'!$L$47:$Q$47)</f>
        <v>0.92207897326159938</v>
      </c>
      <c r="F107" s="50">
        <f t="shared" si="86"/>
        <v>1.1372948679379211</v>
      </c>
      <c r="G107" s="58">
        <f t="shared" si="88"/>
        <v>5.1094419233920919E-2</v>
      </c>
      <c r="H107" s="4">
        <f>SUMIF('R8'!$L$7:$Q$7,B107,'R8'!$L$44:$Q$44)</f>
        <v>1</v>
      </c>
      <c r="I107" s="5">
        <f>SUMIF('R8'!$L$7:$Q$7,B107,'R8'!$L$45:$Q$45)</f>
        <v>1</v>
      </c>
      <c r="J107" s="5">
        <f t="shared" si="87"/>
        <v>1</v>
      </c>
      <c r="K107" s="58">
        <f t="shared" si="89"/>
        <v>-9.9501662508324935E-3</v>
      </c>
      <c r="L107" s="27">
        <f>SUMIF('R8'!$L$7:$Q$7,B107,'R8'!$L$36:$Q$36)</f>
        <v>1.5860866342199009</v>
      </c>
      <c r="M107" s="24">
        <f>SUMIF('R8'!$L$7:$Q$7,B107,'R8'!$L$37:$Q$37)</f>
        <v>15.01943404814411</v>
      </c>
      <c r="N107" s="24">
        <f t="shared" si="55"/>
        <v>16.605520682364009</v>
      </c>
      <c r="O107" s="58"/>
      <c r="P107" s="40">
        <f t="shared" si="56"/>
        <v>9.4694915927661487</v>
      </c>
      <c r="Q107" s="58">
        <f t="shared" si="90"/>
        <v>-9.908564814434119E-3</v>
      </c>
      <c r="R107" s="27">
        <f>SUMIF('R8'!$L$7:$Q$7,B107,'R8'!$L$40:$Q$40)</f>
        <v>317167.48939837358</v>
      </c>
      <c r="S107" s="58">
        <f t="shared" si="91"/>
        <v>-1.2552262649297355E-2</v>
      </c>
      <c r="T107" s="27">
        <f>SUMIF('R8'!$L$7:$Q$7,B107,'R8'!$L$41:$Q$41)</f>
        <v>376447.29519069678</v>
      </c>
      <c r="U107" s="58">
        <f t="shared" si="92"/>
        <v>-6.0552773108249559E-2</v>
      </c>
      <c r="V107" s="24">
        <f t="shared" si="57"/>
        <v>1.1869037898706751</v>
      </c>
      <c r="W107" s="58">
        <f t="shared" si="93"/>
        <v>-4.8610684538845941E-2</v>
      </c>
      <c r="X107" s="27">
        <f>SUMIF('R8'!$L$7:$Q$7,B107,'R8'!$L$52:$Q$52)</f>
        <v>203112.59719793909</v>
      </c>
      <c r="Y107" s="58">
        <f t="shared" si="94"/>
        <v>-0.11088302948172687</v>
      </c>
      <c r="Z107" s="27">
        <f>SUMIF('R8'!$L$7:$Q$7,B107,'R8'!$L$35:$Q$35)</f>
        <v>3372790.433619047</v>
      </c>
      <c r="AA107" s="58">
        <f t="shared" si="95"/>
        <v>-0.11035730655104783</v>
      </c>
      <c r="AB107" s="5"/>
      <c r="AC107" s="5"/>
      <c r="AD107" s="5"/>
    </row>
    <row r="108" spans="1:30" x14ac:dyDescent="0.25">
      <c r="A108" s="107"/>
      <c r="B108" s="31">
        <v>2080</v>
      </c>
      <c r="C108" s="6">
        <f>SUMIF('R8'!$L$7:$Q$7,B108,'R8'!$L$42:$Q$42)</f>
        <v>21.901420000000002</v>
      </c>
      <c r="D108" s="43">
        <f>SUMIF('R8'!$L$7:$Q$7,B108,'R8'!$L$46:$Q$46)</f>
        <v>0.79962112494024751</v>
      </c>
      <c r="E108" s="35">
        <f>SUMIF('R8'!$L$7:$Q$7,B108,'R8'!$L$47:$Q$47)</f>
        <v>0.91477656450376754</v>
      </c>
      <c r="F108" s="50">
        <f t="shared" si="86"/>
        <v>1.1440125028864454</v>
      </c>
      <c r="G108" s="58">
        <f t="shared" si="88"/>
        <v>5.7302895860257053E-2</v>
      </c>
      <c r="H108" s="4">
        <f>SUMIF('R8'!$L$7:$Q$7,B108,'R8'!$L$44:$Q$44)</f>
        <v>0.99004983374916744</v>
      </c>
      <c r="I108" s="5">
        <f>SUMIF('R8'!$L$7:$Q$7,B108,'R8'!$L$45:$Q$45)</f>
        <v>1</v>
      </c>
      <c r="J108" s="5">
        <f t="shared" si="87"/>
        <v>1.0100501670841686</v>
      </c>
      <c r="K108" s="58">
        <f t="shared" si="89"/>
        <v>0</v>
      </c>
      <c r="L108" s="27">
        <f>SUMIF('R8'!$L$7:$Q$7,B108,'R8'!$L$36:$Q$36)</f>
        <v>1.4243792723419859</v>
      </c>
      <c r="M108" s="24">
        <f>SUMIF('R8'!$L$7:$Q$7,B108,'R8'!$L$37:$Q$37)</f>
        <v>24.931256300508949</v>
      </c>
      <c r="N108" s="24">
        <f t="shared" si="55"/>
        <v>26.355635572850936</v>
      </c>
      <c r="O108" s="58"/>
      <c r="P108" s="40">
        <f t="shared" si="56"/>
        <v>17.503242840312186</v>
      </c>
      <c r="Q108" s="58">
        <f t="shared" si="90"/>
        <v>-1.3833729165449241E-2</v>
      </c>
      <c r="R108" s="27">
        <f>SUMIF('R8'!$L$7:$Q$7,B108,'R8'!$L$40:$Q$40)</f>
        <v>444228.47701043851</v>
      </c>
      <c r="S108" s="58">
        <f t="shared" si="91"/>
        <v>-1.1787353343331206E-2</v>
      </c>
      <c r="T108" s="27">
        <f>SUMIF('R8'!$L$7:$Q$7,B108,'R8'!$L$41:$Q$41)</f>
        <v>524160.41596301988</v>
      </c>
      <c r="U108" s="58">
        <f t="shared" si="92"/>
        <v>-6.5345748577917237E-2</v>
      </c>
      <c r="V108" s="24">
        <f t="shared" si="57"/>
        <v>1.1799342975274931</v>
      </c>
      <c r="W108" s="58">
        <f t="shared" si="93"/>
        <v>-5.4197237219929695E-2</v>
      </c>
      <c r="X108" s="27">
        <f>SUMIF('R8'!$L$7:$Q$7,B108,'R8'!$L$52:$Q$52)</f>
        <v>283663.95841924951</v>
      </c>
      <c r="Y108" s="58">
        <f t="shared" si="94"/>
        <v>-0.12238810556602729</v>
      </c>
      <c r="Z108" s="27">
        <f>SUMIF('R8'!$L$7:$Q$7,B108,'R8'!$L$35:$Q$35)</f>
        <v>7476143.9132500794</v>
      </c>
      <c r="AA108" s="58">
        <f t="shared" si="95"/>
        <v>-0.12170581342289993</v>
      </c>
      <c r="AB108" s="5"/>
      <c r="AC108" s="5"/>
      <c r="AD108" s="5"/>
    </row>
    <row r="109" spans="1:30" ht="15.75" thickBot="1" x14ac:dyDescent="0.3">
      <c r="A109" s="108"/>
      <c r="B109" s="32">
        <v>2100</v>
      </c>
      <c r="C109" s="9">
        <f>SUMIF('R8'!$L$7:$Q$7,B109,'R8'!$L$42:$Q$42)</f>
        <v>22.09066</v>
      </c>
      <c r="D109" s="44">
        <f>SUMIF('R8'!$L$7:$Q$7,B109,'R8'!$L$46:$Q$46)</f>
        <v>0.78828241339085314</v>
      </c>
      <c r="E109" s="36">
        <f>SUMIF('R8'!$L$7:$Q$7,B109,'R8'!$L$47:$Q$47)</f>
        <v>0.90719339115566244</v>
      </c>
      <c r="F109" s="51">
        <f t="shared" si="86"/>
        <v>1.1508481931663364</v>
      </c>
      <c r="G109" s="59">
        <f t="shared" si="88"/>
        <v>6.3620479898803095E-2</v>
      </c>
      <c r="H109" s="7">
        <f>SUMIF('R8'!$L$7:$Q$7,B109,'R8'!$L$44:$Q$44)</f>
        <v>0.99004983374916744</v>
      </c>
      <c r="I109" s="8">
        <f>SUMIF('R8'!$L$7:$Q$7,B109,'R8'!$L$45:$Q$45)</f>
        <v>1</v>
      </c>
      <c r="J109" s="8">
        <f t="shared" si="87"/>
        <v>1.0100501670841686</v>
      </c>
      <c r="K109" s="59">
        <f t="shared" si="89"/>
        <v>0</v>
      </c>
      <c r="L109" s="28">
        <f>SUMIF('R8'!$L$7:$Q$7,B109,'R8'!$L$36:$Q$36)</f>
        <v>1.24328626325682</v>
      </c>
      <c r="M109" s="25">
        <f>SUMIF('R8'!$L$7:$Q$7,B109,'R8'!$L$37:$Q$37)</f>
        <v>40.323651316233637</v>
      </c>
      <c r="N109" s="25">
        <f t="shared" si="55"/>
        <v>41.566937579490457</v>
      </c>
      <c r="O109" s="59"/>
      <c r="P109" s="41">
        <f t="shared" si="56"/>
        <v>32.433118991120196</v>
      </c>
      <c r="Q109" s="59">
        <f t="shared" si="90"/>
        <v>-1.5301384623075764E-2</v>
      </c>
      <c r="R109" s="33">
        <f>SUMIF('R8'!$L$7:$Q$7,B109,'R8'!$L$40:$Q$40)</f>
        <v>584490.21503864834</v>
      </c>
      <c r="S109" s="59">
        <f t="shared" si="91"/>
        <v>-1.2280035295961585E-2</v>
      </c>
      <c r="T109" s="28">
        <f>SUMIF('R8'!$L$7:$Q$7,B109,'R8'!$L$41:$Q$41)</f>
        <v>685563.67912447359</v>
      </c>
      <c r="U109" s="59">
        <f t="shared" si="92"/>
        <v>-7.1360524387407948E-2</v>
      </c>
      <c r="V109" s="25">
        <f t="shared" si="57"/>
        <v>1.1729258445826025</v>
      </c>
      <c r="W109" s="59">
        <f t="shared" si="93"/>
        <v>-5.9815019643902158E-2</v>
      </c>
      <c r="X109" s="28">
        <f>SUMIF('R8'!$L$7:$Q$7,B109,'R8'!$L$52:$Q$52)</f>
        <v>370270.44465620851</v>
      </c>
      <c r="Y109" s="59">
        <f t="shared" si="94"/>
        <v>-0.13520352861783369</v>
      </c>
      <c r="Z109" s="28">
        <f>SUMIF('R8'!$L$7:$Q$7,B109,'R8'!$L$35:$Q$35)</f>
        <v>15391008.460554801</v>
      </c>
      <c r="AA109" s="59">
        <f t="shared" si="95"/>
        <v>-0.13443078417427118</v>
      </c>
      <c r="AB109" s="5"/>
      <c r="AC109" s="5"/>
      <c r="AD109" s="5"/>
    </row>
    <row r="110" spans="1:30" x14ac:dyDescent="0.25">
      <c r="A110" s="91" t="s">
        <v>6</v>
      </c>
      <c r="B110" s="21">
        <v>2000</v>
      </c>
      <c r="C110" s="3">
        <f>SUMIF('R9'!$L$7:$Q$7,B110,'R9'!$L$17:$Q$17)</f>
        <v>17.474866370000001</v>
      </c>
      <c r="D110" s="42">
        <f>SUMIF('R9'!$L$7:$Q$7,B110,'R9'!$L$21:$Q$21)</f>
        <v>0.96439833420871968</v>
      </c>
      <c r="E110" s="34">
        <f>SUMIF('R9'!$L$7:$Q$7,B110,'R9'!$L$22:$Q$22)</f>
        <v>0.99844694181596516</v>
      </c>
      <c r="F110" s="45">
        <f>E110/D110</f>
        <v>1.0353055437773875</v>
      </c>
      <c r="G110" s="53"/>
      <c r="H110" s="1">
        <f>SUMIF('R9'!$L$7:$Q$7,B110,'R9'!$L$19:$Q$19)</f>
        <v>0.91305087301969401</v>
      </c>
      <c r="I110" s="2">
        <f>SUMIF('R9'!$L$7:$Q$7,B110,'R9'!$L$20:$Q$20)</f>
        <v>0.99563611390647888</v>
      </c>
      <c r="J110" s="2">
        <f>I110/H110</f>
        <v>1.0904497693689885</v>
      </c>
      <c r="K110" s="53"/>
      <c r="L110" s="26">
        <f>SUMIF('R9'!$L$7:$Q$7,B110,'R9'!$L$11:$Q$11)</f>
        <v>11.890499999999999</v>
      </c>
      <c r="M110" s="24">
        <f>SUMIF('R9'!$L$7:$Q$7,B110,'R9'!$L$12:$Q$12)</f>
        <v>17.795100000000001</v>
      </c>
      <c r="N110" s="23">
        <f t="shared" si="55"/>
        <v>29.685600000000001</v>
      </c>
      <c r="O110" s="90">
        <f>N110</f>
        <v>29.685600000000001</v>
      </c>
      <c r="P110" s="38">
        <f t="shared" si="56"/>
        <v>1.4965813044026746</v>
      </c>
      <c r="Q110" s="53"/>
      <c r="R110" s="26">
        <f>SUMIF('R9'!$L$7:$Q$7,B110,'R9'!$L$15:$Q$15)</f>
        <v>12693901918.097731</v>
      </c>
      <c r="S110" s="53"/>
      <c r="T110" s="26">
        <f>SUMIF('R9'!$L$7:$Q$7,B110,'R9'!$L$16:$Q$16)</f>
        <v>16550655338.802481</v>
      </c>
      <c r="U110" s="53"/>
      <c r="V110" s="23">
        <f t="shared" si="57"/>
        <v>1.3038272585993567</v>
      </c>
      <c r="W110" s="90">
        <f>V110</f>
        <v>1.3038272585993567</v>
      </c>
      <c r="X110" s="26">
        <f>SUMIF('R9'!$L$7:$Q$7,B110,'R9'!$L$27:$Q$27)</f>
        <v>5152994447.4046478</v>
      </c>
      <c r="Y110" s="87">
        <f>X110/1000000/1000</f>
        <v>5.1529944474046481</v>
      </c>
      <c r="Z110" s="26">
        <f>SUMIF('R9'!$L$7:$Q$7,B110,'R9'!$L$10:$Q$10)</f>
        <v>267000000000</v>
      </c>
      <c r="AA110" s="53"/>
      <c r="AB110" s="5"/>
      <c r="AC110" s="5"/>
      <c r="AD110" s="5"/>
    </row>
    <row r="111" spans="1:30" s="10" customFormat="1" x14ac:dyDescent="0.25">
      <c r="A111" s="92"/>
      <c r="B111" s="31">
        <v>2020</v>
      </c>
      <c r="C111" s="14">
        <f>SUMIF('R9'!$L$7:$Q$7,B111,'R9'!$L$17:$Q$17)</f>
        <v>17.474866370000001</v>
      </c>
      <c r="D111" s="43">
        <f>SUMIF('R9'!$L$7:$Q$7,B111,'R9'!$L$21:$Q$21)</f>
        <v>0.96439833420871968</v>
      </c>
      <c r="E111" s="35">
        <f>SUMIF('R9'!$L$7:$Q$7,B111,'R9'!$L$22:$Q$22)</f>
        <v>0.99844694181596516</v>
      </c>
      <c r="F111" s="46">
        <f t="shared" ref="F111:F133" si="96">E111/D111</f>
        <v>1.0353055437773875</v>
      </c>
      <c r="G111" s="54"/>
      <c r="H111" s="4">
        <f>SUMIF('R9'!$L$7:$Q$7,B111,'R9'!$L$19:$Q$19)</f>
        <v>0.91305087301969401</v>
      </c>
      <c r="I111" s="5">
        <f>SUMIF('R9'!$L$7:$Q$7,B111,'R9'!$L$20:$Q$20)</f>
        <v>0.99563611390647888</v>
      </c>
      <c r="J111" s="5">
        <f t="shared" ref="J111:J133" si="97">I111/H111</f>
        <v>1.0904497693689885</v>
      </c>
      <c r="K111" s="55"/>
      <c r="L111" s="27">
        <f>SUMIF('R9'!$L$7:$Q$7,B111,'R9'!$L$11:$Q$11)</f>
        <v>10.53334762993039</v>
      </c>
      <c r="M111" s="24">
        <f>SUMIF('R9'!$L$7:$Q$7,B111,'R9'!$L$12:$Q$12)</f>
        <v>29.253898316069609</v>
      </c>
      <c r="N111" s="24">
        <f t="shared" si="55"/>
        <v>39.787245945999999</v>
      </c>
      <c r="O111" s="55">
        <f t="shared" ref="O111:O115" si="98">N111</f>
        <v>39.787245945999999</v>
      </c>
      <c r="P111" s="39">
        <f t="shared" si="56"/>
        <v>2.7772650579712175</v>
      </c>
      <c r="Q111" s="55"/>
      <c r="R111" s="27">
        <f>SUMIF('R9'!$L$7:$Q$7,B111,'R9'!$L$15:$Q$15)</f>
        <v>30828552397.620178</v>
      </c>
      <c r="S111" s="55"/>
      <c r="T111" s="27">
        <f>SUMIF('R9'!$L$7:$Q$7,B111,'R9'!$L$16:$Q$16)</f>
        <v>40195106959.175758</v>
      </c>
      <c r="U111" s="55"/>
      <c r="V111" s="24">
        <f t="shared" si="57"/>
        <v>1.3038272585993573</v>
      </c>
      <c r="W111" s="55">
        <f t="shared" ref="W111:W115" si="99">V111</f>
        <v>1.3038272585993573</v>
      </c>
      <c r="X111" s="27">
        <f>SUMIF('R9'!$L$7:$Q$7,B111,'R9'!$L$27:$Q$27)</f>
        <v>25452264741.496521</v>
      </c>
      <c r="Y111" s="88">
        <f t="shared" ref="Y111:Y115" si="100">X111/1000000/1000</f>
        <v>25.452264741496521</v>
      </c>
      <c r="Z111" s="27">
        <f>SUMIF('R9'!$L$7:$Q$7,B111,'R9'!$L$10:$Q$10)</f>
        <v>1012675517152.626</v>
      </c>
      <c r="AA111" s="55"/>
      <c r="AB111" s="13"/>
      <c r="AC111" s="13"/>
      <c r="AD111" s="13"/>
    </row>
    <row r="112" spans="1:30" x14ac:dyDescent="0.25">
      <c r="A112" s="92"/>
      <c r="B112" s="31">
        <v>2040</v>
      </c>
      <c r="C112" s="6">
        <f>SUMIF('R9'!$L$7:$Q$7,B112,'R9'!$L$17:$Q$17)</f>
        <v>17.474866370000001</v>
      </c>
      <c r="D112" s="43">
        <f>SUMIF('R9'!$L$7:$Q$7,B112,'R9'!$L$21:$Q$21)</f>
        <v>0.96439833420871968</v>
      </c>
      <c r="E112" s="35">
        <f>SUMIF('R9'!$L$7:$Q$7,B112,'R9'!$L$22:$Q$22)</f>
        <v>0.99844694181596516</v>
      </c>
      <c r="F112" s="47">
        <f t="shared" si="96"/>
        <v>1.0353055437773875</v>
      </c>
      <c r="G112" s="55"/>
      <c r="H112" s="4">
        <f>SUMIF('R9'!$L$7:$Q$7,B112,'R9'!$L$19:$Q$19)</f>
        <v>0.91305087301969401</v>
      </c>
      <c r="I112" s="5">
        <f>SUMIF('R9'!$L$7:$Q$7,B112,'R9'!$L$20:$Q$20)</f>
        <v>0.99563611390647888</v>
      </c>
      <c r="J112" s="5">
        <f t="shared" si="97"/>
        <v>1.0904497693689885</v>
      </c>
      <c r="K112" s="55"/>
      <c r="L112" s="27">
        <f>SUMIF('R9'!$L$7:$Q$7,B112,'R9'!$L$11:$Q$11)</f>
        <v>7.6693701468347113</v>
      </c>
      <c r="M112" s="24">
        <f>SUMIF('R9'!$L$7:$Q$7,B112,'R9'!$L$12:$Q$12)</f>
        <v>39.527017251165283</v>
      </c>
      <c r="N112" s="24">
        <f t="shared" si="55"/>
        <v>47.196387397999992</v>
      </c>
      <c r="O112" s="55">
        <f t="shared" si="98"/>
        <v>47.196387397999992</v>
      </c>
      <c r="P112" s="40">
        <f t="shared" si="56"/>
        <v>5.1538805005361237</v>
      </c>
      <c r="Q112" s="55"/>
      <c r="R112" s="27">
        <f>SUMIF('R9'!$L$7:$Q$7,B112,'R9'!$L$15:$Q$15)</f>
        <v>49660386078.816383</v>
      </c>
      <c r="S112" s="55"/>
      <c r="T112" s="27">
        <f>SUMIF('R9'!$L$7:$Q$7,B112,'R9'!$L$16:$Q$16)</f>
        <v>64748565042.128838</v>
      </c>
      <c r="U112" s="55"/>
      <c r="V112" s="24">
        <f t="shared" si="57"/>
        <v>1.3038272585993571</v>
      </c>
      <c r="W112" s="55">
        <f t="shared" si="99"/>
        <v>1.3038272585993571</v>
      </c>
      <c r="X112" s="27">
        <f>SUMIF('R9'!$L$7:$Q$7,B112,'R9'!$L$27:$Q$27)</f>
        <v>43940236524.539932</v>
      </c>
      <c r="Y112" s="88">
        <f t="shared" si="100"/>
        <v>43.940236524539934</v>
      </c>
      <c r="Z112" s="27">
        <f>SUMIF('R9'!$L$7:$Q$7,B112,'R9'!$L$10:$Q$10)</f>
        <v>2073820425371.936</v>
      </c>
      <c r="AA112" s="55"/>
      <c r="AB112" s="5"/>
      <c r="AC112" s="5"/>
      <c r="AD112" s="5"/>
    </row>
    <row r="113" spans="1:30" x14ac:dyDescent="0.25">
      <c r="A113" s="92"/>
      <c r="B113" s="31">
        <v>2060</v>
      </c>
      <c r="C113" s="6">
        <f>SUMIF('R9'!$L$7:$Q$7,B113,'R9'!$L$17:$Q$17)</f>
        <v>17.474866370000001</v>
      </c>
      <c r="D113" s="43">
        <f>SUMIF('R9'!$L$7:$Q$7,B113,'R9'!$L$21:$Q$21)</f>
        <v>0.96439833420871968</v>
      </c>
      <c r="E113" s="35">
        <f>SUMIF('R9'!$L$7:$Q$7,B113,'R9'!$L$22:$Q$22)</f>
        <v>0.99844694181596516</v>
      </c>
      <c r="F113" s="47">
        <f t="shared" si="96"/>
        <v>1.0353055437773875</v>
      </c>
      <c r="G113" s="55"/>
      <c r="H113" s="4">
        <f>SUMIF('R9'!$L$7:$Q$7,B113,'R9'!$L$19:$Q$19)</f>
        <v>0.91305087301969401</v>
      </c>
      <c r="I113" s="5">
        <f>SUMIF('R9'!$L$7:$Q$7,B113,'R9'!$L$20:$Q$20)</f>
        <v>0.99563611390647888</v>
      </c>
      <c r="J113" s="5">
        <f t="shared" si="97"/>
        <v>1.0904497693689885</v>
      </c>
      <c r="K113" s="55"/>
      <c r="L113" s="27">
        <f>SUMIF('R9'!$L$7:$Q$7,B113,'R9'!$L$11:$Q$11)</f>
        <v>4.8829147897699654</v>
      </c>
      <c r="M113" s="24">
        <f>SUMIF('R9'!$L$7:$Q$7,B113,'R9'!$L$12:$Q$12)</f>
        <v>46.70146504323003</v>
      </c>
      <c r="N113" s="24">
        <f t="shared" si="55"/>
        <v>51.584379832999993</v>
      </c>
      <c r="O113" s="55">
        <f t="shared" si="98"/>
        <v>51.584379832999993</v>
      </c>
      <c r="P113" s="40">
        <f t="shared" si="56"/>
        <v>9.5642596797045769</v>
      </c>
      <c r="Q113" s="55"/>
      <c r="R113" s="27">
        <f>SUMIF('R9'!$L$7:$Q$7,B113,'R9'!$L$15:$Q$15)</f>
        <v>73633303313.683334</v>
      </c>
      <c r="S113" s="55"/>
      <c r="T113" s="27">
        <f>SUMIF('R9'!$L$7:$Q$7,B113,'R9'!$L$16:$Q$16)</f>
        <v>96005108001.094727</v>
      </c>
      <c r="U113" s="55"/>
      <c r="V113" s="24">
        <f t="shared" si="57"/>
        <v>1.3038272585993576</v>
      </c>
      <c r="W113" s="55">
        <f t="shared" si="99"/>
        <v>1.3038272585993576</v>
      </c>
      <c r="X113" s="27">
        <f>SUMIF('R9'!$L$7:$Q$7,B113,'R9'!$L$27:$Q$27)</f>
        <v>68023167479.373451</v>
      </c>
      <c r="Y113" s="88">
        <f t="shared" si="100"/>
        <v>68.023167479373456</v>
      </c>
      <c r="Z113" s="27">
        <f>SUMIF('R9'!$L$7:$Q$7,B113,'R9'!$L$10:$Q$10)</f>
        <v>3508932908699.7729</v>
      </c>
      <c r="AA113" s="55"/>
      <c r="AB113" s="5"/>
      <c r="AC113" s="5"/>
      <c r="AD113" s="5"/>
    </row>
    <row r="114" spans="1:30" x14ac:dyDescent="0.25">
      <c r="A114" s="92"/>
      <c r="B114" s="31">
        <v>2080</v>
      </c>
      <c r="C114" s="6">
        <f>SUMIF('R9'!$L$7:$Q$7,B114,'R9'!$L$17:$Q$17)</f>
        <v>17.474866370000001</v>
      </c>
      <c r="D114" s="43">
        <f>SUMIF('R9'!$L$7:$Q$7,B114,'R9'!$L$21:$Q$21)</f>
        <v>0.96439833420871968</v>
      </c>
      <c r="E114" s="35">
        <f>SUMIF('R9'!$L$7:$Q$7,B114,'R9'!$L$22:$Q$22)</f>
        <v>0.99844694181596516</v>
      </c>
      <c r="F114" s="47">
        <f t="shared" si="96"/>
        <v>1.0353055437773875</v>
      </c>
      <c r="G114" s="55"/>
      <c r="H114" s="4">
        <f>SUMIF('R9'!$L$7:$Q$7,B114,'R9'!$L$19:$Q$19)</f>
        <v>0.91305087301969401</v>
      </c>
      <c r="I114" s="5">
        <f>SUMIF('R9'!$L$7:$Q$7,B114,'R9'!$L$20:$Q$20)</f>
        <v>0.99563611390647888</v>
      </c>
      <c r="J114" s="5">
        <f t="shared" si="97"/>
        <v>1.0904497693689885</v>
      </c>
      <c r="K114" s="55"/>
      <c r="L114" s="27">
        <f>SUMIF('R9'!$L$7:$Q$7,B114,'R9'!$L$11:$Q$11)</f>
        <v>2.7963236207692268</v>
      </c>
      <c r="M114" s="24">
        <f>SUMIF('R9'!$L$7:$Q$7,B114,'R9'!$L$12:$Q$12)</f>
        <v>49.631317600230773</v>
      </c>
      <c r="N114" s="24">
        <f t="shared" si="55"/>
        <v>52.427641221000002</v>
      </c>
      <c r="O114" s="55">
        <f t="shared" si="98"/>
        <v>52.427641221000002</v>
      </c>
      <c r="P114" s="40">
        <f t="shared" si="56"/>
        <v>17.748774580882717</v>
      </c>
      <c r="Q114" s="55"/>
      <c r="R114" s="27">
        <f>SUMIF('R9'!$L$7:$Q$7,B114,'R9'!$L$15:$Q$15)</f>
        <v>100124513929.9736</v>
      </c>
      <c r="S114" s="55"/>
      <c r="T114" s="27">
        <f>SUMIF('R9'!$L$7:$Q$7,B114,'R9'!$L$16:$Q$16)</f>
        <v>130545070515.91071</v>
      </c>
      <c r="U114" s="55"/>
      <c r="V114" s="24">
        <f t="shared" si="57"/>
        <v>1.303827258599358</v>
      </c>
      <c r="W114" s="55">
        <f t="shared" si="99"/>
        <v>1.303827258599358</v>
      </c>
      <c r="X114" s="27">
        <f>SUMIF('R9'!$L$7:$Q$7,B114,'R9'!$L$27:$Q$27)</f>
        <v>95609715854.487335</v>
      </c>
      <c r="Y114" s="88">
        <f t="shared" si="100"/>
        <v>95.609715854487334</v>
      </c>
      <c r="Z114" s="27">
        <f>SUMIF('R9'!$L$7:$Q$7,B114,'R9'!$L$10:$Q$10)</f>
        <v>5012591880060.8174</v>
      </c>
      <c r="AA114" s="55"/>
      <c r="AB114" s="5"/>
      <c r="AC114" s="5"/>
      <c r="AD114" s="5"/>
    </row>
    <row r="115" spans="1:30" ht="15.75" thickBot="1" x14ac:dyDescent="0.3">
      <c r="A115" s="93"/>
      <c r="B115" s="32">
        <v>2100</v>
      </c>
      <c r="C115" s="9">
        <f>SUMIF('R9'!$L$7:$Q$7,B115,'R9'!$L$17:$Q$17)</f>
        <v>17.474866370000001</v>
      </c>
      <c r="D115" s="44">
        <f>SUMIF('R9'!$L$7:$Q$7,B115,'R9'!$L$21:$Q$21)</f>
        <v>0.96439833420871968</v>
      </c>
      <c r="E115" s="36">
        <f>SUMIF('R9'!$L$7:$Q$7,B115,'R9'!$L$22:$Q$22)</f>
        <v>0.99844694181596516</v>
      </c>
      <c r="F115" s="48">
        <f t="shared" si="96"/>
        <v>1.0353055437773875</v>
      </c>
      <c r="G115" s="56"/>
      <c r="H115" s="7">
        <f>SUMIF('R9'!$L$7:$Q$7,B115,'R9'!$L$19:$Q$19)</f>
        <v>0.91305087301969401</v>
      </c>
      <c r="I115" s="8">
        <f>SUMIF('R9'!$L$7:$Q$7,B115,'R9'!$L$20:$Q$20)</f>
        <v>0.99563611390647888</v>
      </c>
      <c r="J115" s="8">
        <f t="shared" si="97"/>
        <v>1.0904497693689885</v>
      </c>
      <c r="K115" s="56"/>
      <c r="L115" s="28">
        <f>SUMIF('R9'!$L$7:$Q$7,B115,'R9'!$L$11:$Q$11)</f>
        <v>1.46562105</v>
      </c>
      <c r="M115" s="25">
        <f>SUMIF('R9'!$L$7:$Q$7,B115,'R9'!$L$12:$Q$12)</f>
        <v>48.273310400000007</v>
      </c>
      <c r="N115" s="25">
        <f t="shared" si="55"/>
        <v>49.73893145000001</v>
      </c>
      <c r="O115" s="56">
        <f t="shared" si="98"/>
        <v>49.73893145000001</v>
      </c>
      <c r="P115" s="41">
        <f t="shared" si="56"/>
        <v>32.937102261188187</v>
      </c>
      <c r="Q115" s="56"/>
      <c r="R115" s="28">
        <f>SUMIF('R9'!$L$7:$Q$7,B115,'R9'!$L$15:$Q$15)</f>
        <v>128627500430.7878</v>
      </c>
      <c r="S115" s="56"/>
      <c r="T115" s="28">
        <f>SUMIF('R9'!$L$7:$Q$7,B115,'R9'!$L$16:$Q$16)</f>
        <v>167708041267.16171</v>
      </c>
      <c r="U115" s="56"/>
      <c r="V115" s="25">
        <f t="shared" si="57"/>
        <v>1.3038272585993573</v>
      </c>
      <c r="W115" s="56">
        <f t="shared" si="99"/>
        <v>1.3038272585993573</v>
      </c>
      <c r="X115" s="28">
        <f>SUMIF('R9'!$L$7:$Q$7,B115,'R9'!$L$27:$Q$27)</f>
        <v>126181527976.91209</v>
      </c>
      <c r="Y115" s="89">
        <f t="shared" si="100"/>
        <v>126.18152797691209</v>
      </c>
      <c r="Z115" s="28">
        <f>SUMIF('R9'!$L$7:$Q$7,B115,'R9'!$L$10:$Q$10)</f>
        <v>6276134370299.8877</v>
      </c>
      <c r="AA115" s="56"/>
      <c r="AB115" s="5"/>
      <c r="AC115" s="5"/>
      <c r="AD115" s="5"/>
    </row>
    <row r="116" spans="1:30" x14ac:dyDescent="0.25">
      <c r="A116" s="91" t="s">
        <v>73</v>
      </c>
      <c r="B116" s="21">
        <v>2000</v>
      </c>
      <c r="C116" s="3">
        <f>SUMIF('R9'!$L$7:$Q$7,B116,'R9'!$L$42:$Q$42)</f>
        <v>17.474866370000001</v>
      </c>
      <c r="D116" s="42">
        <f>SUMIF('R9'!$L$7:$Q$7,B116,'R9'!$L$46:$Q$46)</f>
        <v>0.96439833420871968</v>
      </c>
      <c r="E116" s="34">
        <f>SUMIF('R9'!$L$7:$Q$7,B116,'R9'!$L$47:$Q$47)</f>
        <v>0.99844694181596516</v>
      </c>
      <c r="F116" s="49">
        <f t="shared" si="96"/>
        <v>1.0353055437773875</v>
      </c>
      <c r="G116" s="57">
        <f t="shared" ref="G116:G121" si="101">(F116-$F110)/$F110</f>
        <v>0</v>
      </c>
      <c r="H116" s="1">
        <f>SUMIF('R9'!$L$7:$Q$7,B116,'R9'!$L$44:$Q$44)</f>
        <v>0.91305087301969401</v>
      </c>
      <c r="I116" s="2">
        <f>SUMIF('R9'!$L$7:$Q$7,B116,'R9'!$L$45:$Q$45)</f>
        <v>0.99563611390647888</v>
      </c>
      <c r="J116" s="2">
        <f t="shared" si="97"/>
        <v>1.0904497693689885</v>
      </c>
      <c r="K116" s="57">
        <f t="shared" ref="K116:K121" si="102">(J116-$J110)/$J110</f>
        <v>0</v>
      </c>
      <c r="L116" s="26">
        <f>SUMIF('R9'!$L$7:$Q$7,B116,'R9'!$L$36:$Q$36)</f>
        <v>11.890499999999999</v>
      </c>
      <c r="M116" s="23">
        <f>SUMIF('R9'!$L$7:$Q$7,B116,'R9'!$L$37:$Q$37)</f>
        <v>17.795100000000001</v>
      </c>
      <c r="N116" s="23">
        <f t="shared" si="55"/>
        <v>29.685600000000001</v>
      </c>
      <c r="O116" s="57">
        <f t="shared" ref="O116:O121" si="103">(N116-$N110)/$N110</f>
        <v>0</v>
      </c>
      <c r="P116" s="38">
        <f t="shared" si="56"/>
        <v>1.4965813044026746</v>
      </c>
      <c r="Q116" s="57">
        <f t="shared" ref="Q116:Q121" si="104">(P116-$P110)/$P110</f>
        <v>0</v>
      </c>
      <c r="R116" s="26">
        <f>SUMIF('R9'!$L$7:$Q$7,B116,'R9'!$L$40:$Q$40)</f>
        <v>12693901918.097731</v>
      </c>
      <c r="S116" s="57">
        <f t="shared" ref="S116:S121" si="105">(R116-$R110)/$R110</f>
        <v>0</v>
      </c>
      <c r="T116" s="26">
        <f>SUMIF('R9'!$L$7:$Q$7,B116,'R9'!$L$41:$Q$41)</f>
        <v>16550655338.802481</v>
      </c>
      <c r="U116" s="57">
        <f t="shared" ref="U116:U121" si="106">(T116-$T110)/$T110</f>
        <v>0</v>
      </c>
      <c r="V116" s="23">
        <f t="shared" si="57"/>
        <v>1.3038272585993567</v>
      </c>
      <c r="W116" s="57">
        <f t="shared" ref="W116:W121" si="107">(V116-$V110)/$V110</f>
        <v>0</v>
      </c>
      <c r="X116" s="26">
        <f>SUMIF('R9'!$L$7:$Q$7,B116,'R9'!$L$52:$Q$52)</f>
        <v>5152994447.4046478</v>
      </c>
      <c r="Y116" s="57">
        <f t="shared" ref="Y116:Y121" si="108">(X116-$X110)/$X110</f>
        <v>0</v>
      </c>
      <c r="Z116" s="26">
        <f>SUMIF('R9'!$L$7:$Q$7,B116,'R9'!$L$35:$Q$35)</f>
        <v>267000000000</v>
      </c>
      <c r="AA116" s="57">
        <f t="shared" ref="AA116:AA121" si="109">(Z116-$Z110)/$Z110</f>
        <v>0</v>
      </c>
      <c r="AB116" s="5"/>
      <c r="AC116" s="5"/>
      <c r="AD116" s="5"/>
    </row>
    <row r="117" spans="1:30" x14ac:dyDescent="0.25">
      <c r="A117" s="92"/>
      <c r="B117" s="31">
        <v>2020</v>
      </c>
      <c r="C117" s="14">
        <f>SUMIF('R9'!$L$7:$Q$7,B117,'R9'!$L$42:$Q$42)</f>
        <v>18.038191579999999</v>
      </c>
      <c r="D117" s="43">
        <f>SUMIF('R9'!$L$7:$Q$7,B117,'R9'!$L$46:$Q$46)</f>
        <v>0.96439833420871968</v>
      </c>
      <c r="E117" s="35">
        <f>SUMIF('R9'!$L$7:$Q$7,B117,'R9'!$L$47:$Q$47)</f>
        <v>0.99844694181596516</v>
      </c>
      <c r="F117" s="50">
        <f t="shared" si="96"/>
        <v>1.0353055437773875</v>
      </c>
      <c r="G117" s="58">
        <f t="shared" si="101"/>
        <v>0</v>
      </c>
      <c r="H117" s="4">
        <f>SUMIF('R9'!$L$7:$Q$7,B117,'R9'!$L$44:$Q$44)</f>
        <v>0.94051561165948439</v>
      </c>
      <c r="I117" s="5">
        <f>SUMIF('R9'!$L$7:$Q$7,B117,'R9'!$L$45:$Q$45)</f>
        <v>0.99468970880339935</v>
      </c>
      <c r="J117" s="13">
        <f t="shared" si="97"/>
        <v>1.0576004230789193</v>
      </c>
      <c r="K117" s="58">
        <f t="shared" si="102"/>
        <v>-3.0124584563925538E-2</v>
      </c>
      <c r="L117" s="27">
        <f>SUMIF('R9'!$L$7:$Q$7,B117,'R9'!$L$36:$Q$36)</f>
        <v>10.47423098887977</v>
      </c>
      <c r="M117" s="24">
        <f>SUMIF('R9'!$L$7:$Q$7,B117,'R9'!$L$37:$Q$37)</f>
        <v>29.313014957120231</v>
      </c>
      <c r="N117" s="24">
        <f t="shared" si="55"/>
        <v>39.787245945999999</v>
      </c>
      <c r="O117" s="58">
        <f t="shared" si="103"/>
        <v>0</v>
      </c>
      <c r="P117" s="39">
        <f t="shared" si="56"/>
        <v>2.7985839712949931</v>
      </c>
      <c r="Q117" s="58">
        <f t="shared" si="104"/>
        <v>7.6762256676174293E-3</v>
      </c>
      <c r="R117" s="27">
        <f>SUMIF('R9'!$L$7:$Q$7,B117,'R9'!$L$40:$Q$40)</f>
        <v>30830845736.570389</v>
      </c>
      <c r="S117" s="58">
        <f t="shared" si="105"/>
        <v>7.4390095280231402E-5</v>
      </c>
      <c r="T117" s="27">
        <f>SUMIF('R9'!$L$7:$Q$7,B117,'R9'!$L$41:$Q$41)</f>
        <v>40198097077.012222</v>
      </c>
      <c r="U117" s="58">
        <f t="shared" si="106"/>
        <v>7.4390095279528609E-5</v>
      </c>
      <c r="V117" s="24">
        <f t="shared" si="57"/>
        <v>1.3038272585993562</v>
      </c>
      <c r="W117" s="58">
        <f t="shared" si="107"/>
        <v>-8.5151082499825855E-16</v>
      </c>
      <c r="X117" s="27">
        <f>SUMIF('R9'!$L$7:$Q$7,B117,'R9'!$L$52:$Q$52)</f>
        <v>25459748927.488682</v>
      </c>
      <c r="Y117" s="58">
        <f t="shared" si="108"/>
        <v>2.9404793908020414E-4</v>
      </c>
      <c r="Z117" s="27">
        <f>SUMIF('R9'!$L$7:$Q$7,B117,'R9'!$L$35:$Q$35)</f>
        <v>1012973292301.402</v>
      </c>
      <c r="AA117" s="58">
        <f t="shared" si="109"/>
        <v>2.9404793908049189E-4</v>
      </c>
      <c r="AB117" s="5"/>
      <c r="AC117" s="5"/>
      <c r="AD117" s="5"/>
    </row>
    <row r="118" spans="1:30" x14ac:dyDescent="0.25">
      <c r="A118" s="92"/>
      <c r="B118" s="31">
        <v>2040</v>
      </c>
      <c r="C118" s="6">
        <f>SUMIF('R9'!$L$7:$Q$7,B118,'R9'!$L$42:$Q$42)</f>
        <v>18.603739640000001</v>
      </c>
      <c r="D118" s="43">
        <f>SUMIF('R9'!$L$7:$Q$7,B118,'R9'!$L$46:$Q$46)</f>
        <v>0.96439833420871968</v>
      </c>
      <c r="E118" s="35">
        <f>SUMIF('R9'!$L$7:$Q$7,B118,'R9'!$L$47:$Q$47)</f>
        <v>0.99844694181596516</v>
      </c>
      <c r="F118" s="50">
        <f t="shared" si="96"/>
        <v>1.0353055437773875</v>
      </c>
      <c r="G118" s="58">
        <f t="shared" si="101"/>
        <v>0</v>
      </c>
      <c r="H118" s="4">
        <f>SUMIF('R9'!$L$7:$Q$7,B118,'R9'!$L$44:$Q$44)</f>
        <v>0.9634281703917762</v>
      </c>
      <c r="I118" s="5">
        <f>SUMIF('R9'!$L$7:$Q$7,B118,'R9'!$L$45:$Q$45)</f>
        <v>0.99227117543631316</v>
      </c>
      <c r="J118" s="5">
        <f t="shared" si="97"/>
        <v>1.0299378883978532</v>
      </c>
      <c r="K118" s="58">
        <f t="shared" si="102"/>
        <v>-5.5492589086567297E-2</v>
      </c>
      <c r="L118" s="27">
        <f>SUMIF('R9'!$L$7:$Q$7,B118,'R9'!$L$36:$Q$36)</f>
        <v>7.5781346274509449</v>
      </c>
      <c r="M118" s="24">
        <f>SUMIF('R9'!$L$7:$Q$7,B118,'R9'!$L$37:$Q$37)</f>
        <v>39.618252770549063</v>
      </c>
      <c r="N118" s="24">
        <f t="shared" si="55"/>
        <v>47.196387398000006</v>
      </c>
      <c r="O118" s="58">
        <f t="shared" si="103"/>
        <v>3.011004760886467E-16</v>
      </c>
      <c r="P118" s="40">
        <f t="shared" si="56"/>
        <v>5.2279689815797639</v>
      </c>
      <c r="Q118" s="58">
        <f t="shared" si="104"/>
        <v>1.4375281117971839E-2</v>
      </c>
      <c r="R118" s="27">
        <f>SUMIF('R9'!$L$7:$Q$7,B118,'R9'!$L$40:$Q$40)</f>
        <v>49674221997.701302</v>
      </c>
      <c r="S118" s="58">
        <f t="shared" si="105"/>
        <v>2.7861077968582685E-4</v>
      </c>
      <c r="T118" s="27">
        <f>SUMIF('R9'!$L$7:$Q$7,B118,'R9'!$L$41:$Q$41)</f>
        <v>64766604690.318741</v>
      </c>
      <c r="U118" s="58">
        <f t="shared" si="106"/>
        <v>2.7861077968547584E-4</v>
      </c>
      <c r="V118" s="24">
        <f t="shared" si="57"/>
        <v>1.3038272585993567</v>
      </c>
      <c r="W118" s="58">
        <f t="shared" si="107"/>
        <v>-3.406043299993035E-16</v>
      </c>
      <c r="X118" s="27">
        <f>SUMIF('R9'!$L$7:$Q$7,B118,'R9'!$L$52:$Q$52)</f>
        <v>43966053641.336304</v>
      </c>
      <c r="Y118" s="58">
        <f t="shared" si="108"/>
        <v>5.8755070155239164E-4</v>
      </c>
      <c r="Z118" s="27">
        <f>SUMIF('R9'!$L$7:$Q$7,B118,'R9'!$L$35:$Q$35)</f>
        <v>2075038900017.7571</v>
      </c>
      <c r="AA118" s="58">
        <f t="shared" si="109"/>
        <v>5.8755070155243241E-4</v>
      </c>
      <c r="AB118" s="5"/>
      <c r="AC118" s="5"/>
      <c r="AD118" s="5"/>
    </row>
    <row r="119" spans="1:30" x14ac:dyDescent="0.25">
      <c r="A119" s="92"/>
      <c r="B119" s="31">
        <v>2060</v>
      </c>
      <c r="C119" s="6">
        <f>SUMIF('R9'!$L$7:$Q$7,B119,'R9'!$L$42:$Q$42)</f>
        <v>19.164979110000001</v>
      </c>
      <c r="D119" s="43">
        <f>SUMIF('R9'!$L$7:$Q$7,B119,'R9'!$L$46:$Q$46)</f>
        <v>0.96439833420871968</v>
      </c>
      <c r="E119" s="35">
        <f>SUMIF('R9'!$L$7:$Q$7,B119,'R9'!$L$47:$Q$47)</f>
        <v>0.99844694181596516</v>
      </c>
      <c r="F119" s="50">
        <f t="shared" si="96"/>
        <v>1.0353055437773875</v>
      </c>
      <c r="G119" s="58">
        <f t="shared" si="101"/>
        <v>0</v>
      </c>
      <c r="H119" s="4">
        <f>SUMIF('R9'!$L$7:$Q$7,B119,'R9'!$L$44:$Q$44)</f>
        <v>0.98154966858682346</v>
      </c>
      <c r="I119" s="5">
        <f>SUMIF('R9'!$L$7:$Q$7,B119,'R9'!$L$45:$Q$45)</f>
        <v>0.98841655294050634</v>
      </c>
      <c r="J119" s="5">
        <f t="shared" si="97"/>
        <v>1.0069959621743538</v>
      </c>
      <c r="K119" s="58">
        <f t="shared" si="102"/>
        <v>-7.6531546467222392E-2</v>
      </c>
      <c r="L119" s="27">
        <f>SUMIF('R9'!$L$7:$Q$7,B119,'R9'!$L$36:$Q$36)</f>
        <v>4.7956292968882508</v>
      </c>
      <c r="M119" s="24">
        <f>SUMIF('R9'!$L$7:$Q$7,B119,'R9'!$L$37:$Q$37)</f>
        <v>46.788750536111749</v>
      </c>
      <c r="N119" s="24">
        <f t="shared" si="55"/>
        <v>51.584379833</v>
      </c>
      <c r="O119" s="58">
        <f t="shared" si="103"/>
        <v>1.3774377787625274E-16</v>
      </c>
      <c r="P119" s="40">
        <f t="shared" si="56"/>
        <v>9.756540307748903</v>
      </c>
      <c r="Q119" s="58">
        <f t="shared" si="104"/>
        <v>2.0104078567873569E-2</v>
      </c>
      <c r="R119" s="27">
        <f>SUMIF('R9'!$L$7:$Q$7,B119,'R9'!$L$40:$Q$40)</f>
        <v>73653989743.993576</v>
      </c>
      <c r="S119" s="58">
        <f t="shared" si="105"/>
        <v>2.8093850716048922E-4</v>
      </c>
      <c r="T119" s="27">
        <f>SUMIF('R9'!$L$7:$Q$7,B119,'R9'!$L$41:$Q$41)</f>
        <v>96032079532.816284</v>
      </c>
      <c r="U119" s="58">
        <f t="shared" si="106"/>
        <v>2.8093850715995303E-4</v>
      </c>
      <c r="V119" s="24">
        <f t="shared" si="57"/>
        <v>1.3038272585993569</v>
      </c>
      <c r="W119" s="58">
        <f t="shared" si="107"/>
        <v>-5.1090649499895505E-16</v>
      </c>
      <c r="X119" s="27">
        <f>SUMIF('R9'!$L$7:$Q$7,B119,'R9'!$L$52:$Q$52)</f>
        <v>68061404516.0737</v>
      </c>
      <c r="Y119" s="58">
        <f t="shared" si="108"/>
        <v>5.6211785068437559E-4</v>
      </c>
      <c r="Z119" s="27">
        <f>SUMIF('R9'!$L$7:$Q$7,B119,'R9'!$L$35:$Q$35)</f>
        <v>3510905342524.6069</v>
      </c>
      <c r="AA119" s="58">
        <f t="shared" si="109"/>
        <v>5.6211785068437374E-4</v>
      </c>
      <c r="AB119" s="5"/>
      <c r="AC119" s="5"/>
      <c r="AD119" s="5"/>
    </row>
    <row r="120" spans="1:30" x14ac:dyDescent="0.25">
      <c r="A120" s="92"/>
      <c r="B120" s="31">
        <v>2080</v>
      </c>
      <c r="C120" s="6">
        <f>SUMIF('R9'!$L$7:$Q$7,B120,'R9'!$L$42:$Q$42)</f>
        <v>19.45193622</v>
      </c>
      <c r="D120" s="43">
        <f>SUMIF('R9'!$L$7:$Q$7,B120,'R9'!$L$46:$Q$46)</f>
        <v>0.96439833420871968</v>
      </c>
      <c r="E120" s="35">
        <f>SUMIF('R9'!$L$7:$Q$7,B120,'R9'!$L$47:$Q$47)</f>
        <v>0.99844694181596516</v>
      </c>
      <c r="F120" s="50">
        <f t="shared" si="96"/>
        <v>1.0353055437773875</v>
      </c>
      <c r="G120" s="58">
        <f t="shared" si="101"/>
        <v>0</v>
      </c>
      <c r="H120" s="4">
        <f>SUMIF('R9'!$L$7:$Q$7,B120,'R9'!$L$44:$Q$44)</f>
        <v>0.98903824999927981</v>
      </c>
      <c r="I120" s="5">
        <f>SUMIF('R9'!$L$7:$Q$7,B120,'R9'!$L$45:$Q$45)</f>
        <v>0.9858859053740201</v>
      </c>
      <c r="J120" s="5">
        <f t="shared" si="97"/>
        <v>0.99681271717725584</v>
      </c>
      <c r="K120" s="58">
        <f t="shared" si="102"/>
        <v>-8.5870119671736661E-2</v>
      </c>
      <c r="L120" s="27">
        <f>SUMIF('R9'!$L$7:$Q$7,B120,'R9'!$L$36:$Q$36)</f>
        <v>2.737498242223269</v>
      </c>
      <c r="M120" s="24">
        <f>SUMIF('R9'!$L$7:$Q$7,B120,'R9'!$L$37:$Q$37)</f>
        <v>49.690142978776727</v>
      </c>
      <c r="N120" s="24">
        <f t="shared" si="55"/>
        <v>52.427641220999995</v>
      </c>
      <c r="O120" s="58">
        <f t="shared" si="103"/>
        <v>-1.355282670004026E-16</v>
      </c>
      <c r="P120" s="40">
        <f t="shared" si="56"/>
        <v>18.151662058573852</v>
      </c>
      <c r="Q120" s="58">
        <f t="shared" si="104"/>
        <v>2.2699453185071508E-2</v>
      </c>
      <c r="R120" s="27">
        <f>SUMIF('R9'!$L$7:$Q$7,B120,'R9'!$L$40:$Q$40)</f>
        <v>100145579096.9169</v>
      </c>
      <c r="S120" s="58">
        <f t="shared" si="105"/>
        <v>2.1038970494309888E-4</v>
      </c>
      <c r="T120" s="27">
        <f>SUMIF('R9'!$L$7:$Q$7,B120,'R9'!$L$41:$Q$41)</f>
        <v>130572535854.77831</v>
      </c>
      <c r="U120" s="58">
        <f t="shared" si="106"/>
        <v>2.103897049429533E-4</v>
      </c>
      <c r="V120" s="24">
        <f t="shared" si="57"/>
        <v>1.3038272585993578</v>
      </c>
      <c r="W120" s="58">
        <f t="shared" si="107"/>
        <v>-1.7030216499965163E-16</v>
      </c>
      <c r="X120" s="27">
        <f>SUMIF('R9'!$L$7:$Q$7,B120,'R9'!$L$52:$Q$52)</f>
        <v>95648315366.507385</v>
      </c>
      <c r="Y120" s="58">
        <f t="shared" si="108"/>
        <v>4.0371955585346951E-4</v>
      </c>
      <c r="Z120" s="27">
        <f>SUMIF('R9'!$L$7:$Q$7,B120,'R9'!$L$35:$Q$35)</f>
        <v>5014615561428.3105</v>
      </c>
      <c r="AA120" s="58">
        <f t="shared" si="109"/>
        <v>4.0371955585353001E-4</v>
      </c>
      <c r="AB120" s="5"/>
      <c r="AC120" s="5"/>
      <c r="AD120" s="5"/>
    </row>
    <row r="121" spans="1:30" ht="15.75" thickBot="1" x14ac:dyDescent="0.3">
      <c r="A121" s="93"/>
      <c r="B121" s="32">
        <v>2100</v>
      </c>
      <c r="C121" s="9">
        <f>SUMIF('R9'!$L$7:$Q$7,B121,'R9'!$L$42:$Q$42)</f>
        <v>19.607758270000001</v>
      </c>
      <c r="D121" s="44">
        <f>SUMIF('R9'!$L$7:$Q$7,B121,'R9'!$L$46:$Q$46)</f>
        <v>0.96439833420871968</v>
      </c>
      <c r="E121" s="36">
        <f>SUMIF('R9'!$L$7:$Q$7,B121,'R9'!$L$47:$Q$47)</f>
        <v>0.99844694181596516</v>
      </c>
      <c r="F121" s="51">
        <f t="shared" si="96"/>
        <v>1.0353055437773875</v>
      </c>
      <c r="G121" s="59">
        <f t="shared" si="101"/>
        <v>0</v>
      </c>
      <c r="H121" s="7">
        <f>SUMIF('R9'!$L$7:$Q$7,B121,'R9'!$L$44:$Q$44)</f>
        <v>0.99260100122429984</v>
      </c>
      <c r="I121" s="8">
        <f>SUMIF('R9'!$L$7:$Q$7,B121,'R9'!$L$45:$Q$45)</f>
        <v>0.98435303753806735</v>
      </c>
      <c r="J121" s="8">
        <f t="shared" si="97"/>
        <v>0.99169055473845058</v>
      </c>
      <c r="K121" s="59">
        <f t="shared" si="102"/>
        <v>-9.0567413011318265E-2</v>
      </c>
      <c r="L121" s="28">
        <f>SUMIF('R9'!$L$7:$Q$7,B121,'R9'!$L$36:$Q$36)</f>
        <v>1.432235947039715</v>
      </c>
      <c r="M121" s="25">
        <f>SUMIF('R9'!$L$7:$Q$7,B121,'R9'!$L$37:$Q$37)</f>
        <v>48.306695502960288</v>
      </c>
      <c r="N121" s="25">
        <f t="shared" si="55"/>
        <v>49.738931450000003</v>
      </c>
      <c r="O121" s="59">
        <f t="shared" si="103"/>
        <v>-1.428544431989602E-16</v>
      </c>
      <c r="P121" s="41">
        <f t="shared" si="56"/>
        <v>33.728168604345726</v>
      </c>
      <c r="Q121" s="59">
        <f t="shared" si="104"/>
        <v>2.4017484503781036E-2</v>
      </c>
      <c r="R121" s="33">
        <f>SUMIF('R9'!$L$7:$Q$7,B121,'R9'!$L$40:$Q$40)</f>
        <v>128643700177.65469</v>
      </c>
      <c r="S121" s="59">
        <f t="shared" si="105"/>
        <v>1.2594310557728969E-4</v>
      </c>
      <c r="T121" s="28">
        <f>SUMIF('R9'!$L$7:$Q$7,B121,'R9'!$L$41:$Q$41)</f>
        <v>167729162938.7092</v>
      </c>
      <c r="U121" s="59">
        <f t="shared" si="106"/>
        <v>1.2594310557737762E-4</v>
      </c>
      <c r="V121" s="25">
        <f t="shared" si="57"/>
        <v>1.3038272585993576</v>
      </c>
      <c r="W121" s="59">
        <f t="shared" si="107"/>
        <v>1.703021649996517E-16</v>
      </c>
      <c r="X121" s="28">
        <f>SUMIF('R9'!$L$7:$Q$7,B121,'R9'!$L$52:$Q$52)</f>
        <v>126212530518.58501</v>
      </c>
      <c r="Y121" s="59">
        <f t="shared" si="108"/>
        <v>2.4569794144975996E-4</v>
      </c>
      <c r="Z121" s="28">
        <f>SUMIF('R9'!$L$7:$Q$7,B121,'R9'!$L$35:$Q$35)</f>
        <v>6277676403594.9316</v>
      </c>
      <c r="AA121" s="59">
        <f t="shared" si="109"/>
        <v>2.4569794144962888E-4</v>
      </c>
      <c r="AB121" s="5"/>
      <c r="AC121" s="5"/>
      <c r="AD121" s="5"/>
    </row>
    <row r="122" spans="1:30" x14ac:dyDescent="0.25">
      <c r="A122" s="91" t="s">
        <v>74</v>
      </c>
      <c r="B122" s="21">
        <v>2000</v>
      </c>
      <c r="C122" s="3">
        <f>SUMIF('R9'!$L$7:$Q$7,B122,'R9'!$L$67:$Q$67)</f>
        <v>17.474866370000001</v>
      </c>
      <c r="D122" s="42">
        <f>SUMIF('R9'!$L$7:$Q$7,B122,'R9'!$L$71:$Q$71)</f>
        <v>0.96439833420871968</v>
      </c>
      <c r="E122" s="34">
        <f>SUMIF('R9'!$L$7:$Q$7,B122,'R9'!$L$72:$Q$72)</f>
        <v>0.99844694181596516</v>
      </c>
      <c r="F122" s="49">
        <f t="shared" si="96"/>
        <v>1.0353055437773875</v>
      </c>
      <c r="G122" s="57">
        <f>(F122-$F110)/$F110</f>
        <v>0</v>
      </c>
      <c r="H122" s="1">
        <f>SUMIF('R9'!$L$7:$Q$7,B122,'R9'!$L$69:$Q$69)</f>
        <v>0.91305087301969401</v>
      </c>
      <c r="I122" s="2">
        <f>SUMIF('R9'!$L$7:$Q$7,B122,'R9'!$L$70:$Q$70)</f>
        <v>0.99563611390647888</v>
      </c>
      <c r="J122" s="2">
        <f t="shared" si="97"/>
        <v>1.0904497693689885</v>
      </c>
      <c r="K122" s="57">
        <f>(J122-$J110)/$J110</f>
        <v>0</v>
      </c>
      <c r="L122" s="26">
        <f>SUMIF('R9'!$L$7:$Q$7,B122,'R9'!$L$61:$Q$61)</f>
        <v>11.890499999999999</v>
      </c>
      <c r="M122" s="23">
        <f>SUMIF('R9'!$L$7:$Q$7,B122,'R9'!$L$62:$Q$62)</f>
        <v>17.795100000000001</v>
      </c>
      <c r="N122" s="23">
        <f t="shared" si="55"/>
        <v>29.685600000000001</v>
      </c>
      <c r="O122" s="57">
        <f t="shared" ref="O122:O127" si="110">(N122-$N110)/$N110</f>
        <v>0</v>
      </c>
      <c r="P122" s="38">
        <f t="shared" si="56"/>
        <v>1.4965813044026746</v>
      </c>
      <c r="Q122" s="57">
        <f>(P122-$P110)/$P110</f>
        <v>0</v>
      </c>
      <c r="R122" s="26">
        <f>SUMIF('R9'!$L$7:$Q$7,B122,'R9'!$L$65:$Q$65)</f>
        <v>12693901918.097731</v>
      </c>
      <c r="S122" s="57">
        <f>(R122-$R110)/$R110</f>
        <v>0</v>
      </c>
      <c r="T122" s="26">
        <f>SUMIF('R9'!$L$7:$Q$7,B122,'R9'!$L$66:$Q$66)</f>
        <v>16550655338.802481</v>
      </c>
      <c r="U122" s="57">
        <f>(T122-$T110)/$T110</f>
        <v>0</v>
      </c>
      <c r="V122" s="23">
        <f t="shared" si="57"/>
        <v>1.3038272585993567</v>
      </c>
      <c r="W122" s="57">
        <f>(V122-$V110)/$V110</f>
        <v>0</v>
      </c>
      <c r="X122" s="26">
        <f>SUMIF('R9'!$L$7:$Q$7,B122,'R9'!$L$77:$Q$77)</f>
        <v>5152994447.4046478</v>
      </c>
      <c r="Y122" s="57">
        <f>(X122-$X110)/$X110</f>
        <v>0</v>
      </c>
      <c r="Z122" s="26">
        <f>SUMIF('R9'!$L$7:$Q$7,B122,'R9'!$L$60:$Q$60)</f>
        <v>267000000000</v>
      </c>
      <c r="AA122" s="57">
        <f>(Z122-$Z110)/$Z110</f>
        <v>0</v>
      </c>
      <c r="AB122" s="5"/>
      <c r="AC122" s="5"/>
      <c r="AD122" s="5"/>
    </row>
    <row r="123" spans="1:30" x14ac:dyDescent="0.25">
      <c r="A123" s="92"/>
      <c r="B123" s="31">
        <v>2020</v>
      </c>
      <c r="C123" s="14">
        <f>SUMIF('R9'!$L$7:$Q$7,B123,'R9'!$L$67:$Q$67)</f>
        <v>18.038191579999999</v>
      </c>
      <c r="D123" s="43">
        <f>SUMIF('R9'!$L$7:$Q$7,B123,'R9'!$L$71:$Q$71)</f>
        <v>0.95269766517752652</v>
      </c>
      <c r="E123" s="35">
        <f>SUMIF('R9'!$L$7:$Q$7,B123,'R9'!$L$72:$Q$72)</f>
        <v>0.99556088418081246</v>
      </c>
      <c r="F123" s="50">
        <f t="shared" si="96"/>
        <v>1.0449914181277002</v>
      </c>
      <c r="G123" s="58">
        <f t="shared" ref="G123:G127" si="111">(F123-$F111)/$F111</f>
        <v>9.3555708346476588E-3</v>
      </c>
      <c r="H123" s="4">
        <f>SUMIF('R9'!$L$7:$Q$7,B123,'R9'!$L$69:$Q$69)</f>
        <v>0.91305087301969401</v>
      </c>
      <c r="I123" s="5">
        <f>SUMIF('R9'!$L$7:$Q$7,B123,'R9'!$L$70:$Q$70)</f>
        <v>0.99563611390647888</v>
      </c>
      <c r="J123" s="13">
        <f t="shared" si="97"/>
        <v>1.0904497693689885</v>
      </c>
      <c r="K123" s="58">
        <f t="shared" ref="K123:K127" si="112">(J123-$J111)/$J111</f>
        <v>0</v>
      </c>
      <c r="L123" s="27">
        <f>SUMIF('R9'!$L$7:$Q$7,B123,'R9'!$L$61:$Q$61)</f>
        <v>10.55138738558381</v>
      </c>
      <c r="M123" s="24">
        <f>SUMIF('R9'!$L$7:$Q$7,B123,'R9'!$L$62:$Q$62)</f>
        <v>29.23585856041619</v>
      </c>
      <c r="N123" s="24">
        <f t="shared" si="55"/>
        <v>39.787245945999999</v>
      </c>
      <c r="O123" s="58">
        <f t="shared" si="110"/>
        <v>0</v>
      </c>
      <c r="P123" s="39">
        <f t="shared" si="56"/>
        <v>2.7708070504889877</v>
      </c>
      <c r="Q123" s="58">
        <f t="shared" ref="Q123:Q127" si="113">(P123-$P111)/$P111</f>
        <v>-2.3253118976506158E-3</v>
      </c>
      <c r="R123" s="27">
        <f>SUMIF('R9'!$L$7:$Q$7,B123,'R9'!$L$65:$Q$65)</f>
        <v>30904117901.550819</v>
      </c>
      <c r="S123" s="58">
        <f t="shared" ref="S123:S127" si="114">(R123-$R111)/$R111</f>
        <v>2.4511531698281908E-3</v>
      </c>
      <c r="T123" s="27">
        <f>SUMIF('R9'!$L$7:$Q$7,B123,'R9'!$L$66:$Q$66)</f>
        <v>39920155480.680656</v>
      </c>
      <c r="U123" s="58">
        <f t="shared" ref="U123:U127" si="115">(T123-$T111)/$T111</f>
        <v>-6.8404216158538143E-3</v>
      </c>
      <c r="V123" s="24">
        <f t="shared" si="57"/>
        <v>1.2917422722710166</v>
      </c>
      <c r="W123" s="58">
        <f t="shared" ref="W123:W127" si="116">(V123-$V111)/$V111</f>
        <v>-9.2688554013843193E-3</v>
      </c>
      <c r="X123" s="27">
        <f>SUMIF('R9'!$L$7:$Q$7,B123,'R9'!$L$77:$Q$77)</f>
        <v>25203402643.379349</v>
      </c>
      <c r="Y123" s="58">
        <f t="shared" ref="Y123:Y127" si="117">(X123-$X111)/$X111</f>
        <v>-9.7776013507920104E-3</v>
      </c>
      <c r="Z123" s="27">
        <f>SUMIF('R9'!$L$7:$Q$7,B123,'R9'!$L$60:$Q$60)</f>
        <v>1002773979648.201</v>
      </c>
      <c r="AA123" s="58">
        <f t="shared" ref="AA123:AA127" si="118">(Z123-$Z111)/$Z111</f>
        <v>-9.777601350791431E-3</v>
      </c>
      <c r="AB123" s="5"/>
      <c r="AC123" s="5"/>
      <c r="AD123" s="5"/>
    </row>
    <row r="124" spans="1:30" x14ac:dyDescent="0.25">
      <c r="A124" s="92"/>
      <c r="B124" s="31">
        <v>2040</v>
      </c>
      <c r="C124" s="6">
        <f>SUMIF('R9'!$L$7:$Q$7,B124,'R9'!$L$67:$Q$67)</f>
        <v>18.603739640000001</v>
      </c>
      <c r="D124" s="43">
        <f>SUMIF('R9'!$L$7:$Q$7,B124,'R9'!$L$71:$Q$71)</f>
        <v>0.93231395090361513</v>
      </c>
      <c r="E124" s="35">
        <f>SUMIF('R9'!$L$7:$Q$7,B124,'R9'!$L$72:$Q$72)</f>
        <v>0.98848865179879042</v>
      </c>
      <c r="F124" s="50">
        <f t="shared" si="96"/>
        <v>1.0602529875700453</v>
      </c>
      <c r="G124" s="58">
        <f t="shared" si="111"/>
        <v>2.4096696808591622E-2</v>
      </c>
      <c r="H124" s="4">
        <f>SUMIF('R9'!$L$7:$Q$7,B124,'R9'!$L$69:$Q$69)</f>
        <v>0.91305087301969401</v>
      </c>
      <c r="I124" s="5">
        <f>SUMIF('R9'!$L$7:$Q$7,B124,'R9'!$L$70:$Q$70)</f>
        <v>0.99563611390647888</v>
      </c>
      <c r="J124" s="5">
        <f t="shared" si="97"/>
        <v>1.0904497693689885</v>
      </c>
      <c r="K124" s="58">
        <f t="shared" si="112"/>
        <v>0</v>
      </c>
      <c r="L124" s="27">
        <f>SUMIF('R9'!$L$7:$Q$7,B124,'R9'!$L$61:$Q$61)</f>
        <v>7.7076820634137357</v>
      </c>
      <c r="M124" s="24">
        <f>SUMIF('R9'!$L$7:$Q$7,B124,'R9'!$L$62:$Q$62)</f>
        <v>39.488705334586257</v>
      </c>
      <c r="N124" s="24">
        <f t="shared" si="55"/>
        <v>47.196387397999992</v>
      </c>
      <c r="O124" s="58">
        <f t="shared" si="110"/>
        <v>0</v>
      </c>
      <c r="P124" s="40">
        <f t="shared" si="56"/>
        <v>5.1232919326068691</v>
      </c>
      <c r="Q124" s="58">
        <f t="shared" si="113"/>
        <v>-5.9350557169636836E-3</v>
      </c>
      <c r="R124" s="27">
        <f>SUMIF('R9'!$L$7:$Q$7,B124,'R9'!$L$65:$Q$65)</f>
        <v>50040650029.048317</v>
      </c>
      <c r="S124" s="58">
        <f t="shared" si="114"/>
        <v>7.6572894465301525E-3</v>
      </c>
      <c r="T124" s="27">
        <f>SUMIF('R9'!$L$7:$Q$7,B124,'R9'!$L$66:$Q$66)</f>
        <v>63709182686.777496</v>
      </c>
      <c r="U124" s="58">
        <f t="shared" si="115"/>
        <v>-1.6052592898005758E-2</v>
      </c>
      <c r="V124" s="24">
        <f t="shared" si="57"/>
        <v>1.2731485831977536</v>
      </c>
      <c r="W124" s="58">
        <f t="shared" si="116"/>
        <v>-2.3529708555533834E-2</v>
      </c>
      <c r="X124" s="27">
        <f>SUMIF('R9'!$L$7:$Q$7,B124,'R9'!$L$77:$Q$77)</f>
        <v>42798112325.424026</v>
      </c>
      <c r="Y124" s="58">
        <f t="shared" si="117"/>
        <v>-2.5992672990689237E-2</v>
      </c>
      <c r="Z124" s="27">
        <f>SUMIF('R9'!$L$7:$Q$7,B124,'R9'!$L$60:$Q$60)</f>
        <v>2019916289213.8311</v>
      </c>
      <c r="AA124" s="58">
        <f t="shared" si="118"/>
        <v>-2.5992672990689331E-2</v>
      </c>
      <c r="AB124" s="5"/>
      <c r="AC124" s="5"/>
      <c r="AD124" s="5"/>
    </row>
    <row r="125" spans="1:30" x14ac:dyDescent="0.25">
      <c r="A125" s="92"/>
      <c r="B125" s="31">
        <v>2060</v>
      </c>
      <c r="C125" s="6">
        <f>SUMIF('R9'!$L$7:$Q$7,B125,'R9'!$L$67:$Q$67)</f>
        <v>19.164979110000001</v>
      </c>
      <c r="D125" s="43">
        <f>SUMIF('R9'!$L$7:$Q$7,B125,'R9'!$L$71:$Q$71)</f>
        <v>0.91693862656807257</v>
      </c>
      <c r="E125" s="35">
        <f>SUMIF('R9'!$L$7:$Q$7,B125,'R9'!$L$72:$Q$72)</f>
        <v>0.98197288977586894</v>
      </c>
      <c r="F125" s="50">
        <f t="shared" si="96"/>
        <v>1.0709254265481294</v>
      </c>
      <c r="G125" s="58">
        <f t="shared" si="111"/>
        <v>3.4405188868959567E-2</v>
      </c>
      <c r="H125" s="4">
        <f>SUMIF('R9'!$L$7:$Q$7,B125,'R9'!$L$69:$Q$69)</f>
        <v>0.91305087301969401</v>
      </c>
      <c r="I125" s="5">
        <f>SUMIF('R9'!$L$7:$Q$7,B125,'R9'!$L$70:$Q$70)</f>
        <v>0.99563611390647888</v>
      </c>
      <c r="J125" s="5">
        <f t="shared" si="97"/>
        <v>1.0904497693689885</v>
      </c>
      <c r="K125" s="58">
        <f t="shared" si="112"/>
        <v>0</v>
      </c>
      <c r="L125" s="27">
        <f>SUMIF('R9'!$L$7:$Q$7,B125,'R9'!$L$61:$Q$61)</f>
        <v>4.9204274606531149</v>
      </c>
      <c r="M125" s="24">
        <f>SUMIF('R9'!$L$7:$Q$7,B125,'R9'!$L$62:$Q$62)</f>
        <v>46.663952372346877</v>
      </c>
      <c r="N125" s="24">
        <f t="shared" si="55"/>
        <v>51.584379832999993</v>
      </c>
      <c r="O125" s="58">
        <f t="shared" si="110"/>
        <v>0</v>
      </c>
      <c r="P125" s="40">
        <f t="shared" si="56"/>
        <v>9.4837191982813867</v>
      </c>
      <c r="Q125" s="58">
        <f t="shared" si="113"/>
        <v>-8.4209843856600519E-3</v>
      </c>
      <c r="R125" s="27">
        <f>SUMIF('R9'!$L$7:$Q$7,B125,'R9'!$L$65:$Q$65)</f>
        <v>74530840516.150345</v>
      </c>
      <c r="S125" s="58">
        <f t="shared" si="114"/>
        <v>1.2189283409484367E-2</v>
      </c>
      <c r="T125" s="27">
        <f>SUMIF('R9'!$L$7:$Q$7,B125,'R9'!$L$66:$Q$66)</f>
        <v>93943207668.488022</v>
      </c>
      <c r="U125" s="58">
        <f t="shared" si="115"/>
        <v>-2.147698570979362E-2</v>
      </c>
      <c r="V125" s="24">
        <f t="shared" si="57"/>
        <v>1.2604608644944926</v>
      </c>
      <c r="W125" s="58">
        <f t="shared" si="116"/>
        <v>-3.3260843274170789E-2</v>
      </c>
      <c r="X125" s="27">
        <f>SUMIF('R9'!$L$7:$Q$7,B125,'R9'!$L$77:$Q$77)</f>
        <v>65456067859.457733</v>
      </c>
      <c r="Y125" s="58">
        <f t="shared" si="117"/>
        <v>-3.773860752212304E-2</v>
      </c>
      <c r="Z125" s="27">
        <f>SUMIF('R9'!$L$7:$Q$7,B125,'R9'!$L$60:$Q$60)</f>
        <v>3376510666836.8911</v>
      </c>
      <c r="AA125" s="58">
        <f t="shared" si="118"/>
        <v>-3.7738607522122901E-2</v>
      </c>
      <c r="AB125" s="5"/>
      <c r="AC125" s="5"/>
      <c r="AD125" s="5"/>
    </row>
    <row r="126" spans="1:30" x14ac:dyDescent="0.25">
      <c r="A126" s="92"/>
      <c r="B126" s="31">
        <v>2080</v>
      </c>
      <c r="C126" s="6">
        <f>SUMIF('R9'!$L$7:$Q$7,B126,'R9'!$L$67:$Q$67)</f>
        <v>19.45193622</v>
      </c>
      <c r="D126" s="43">
        <f>SUMIF('R9'!$L$7:$Q$7,B126,'R9'!$L$71:$Q$71)</f>
        <v>0.90022563327805616</v>
      </c>
      <c r="E126" s="35">
        <f>SUMIF('R9'!$L$7:$Q$7,B126,'R9'!$L$72:$Q$72)</f>
        <v>0.97405330480158026</v>
      </c>
      <c r="F126" s="50">
        <f t="shared" si="96"/>
        <v>1.0820101858849431</v>
      </c>
      <c r="G126" s="58">
        <f t="shared" si="111"/>
        <v>4.5111940516758341E-2</v>
      </c>
      <c r="H126" s="4">
        <f>SUMIF('R9'!$L$7:$Q$7,B126,'R9'!$L$69:$Q$69)</f>
        <v>0.91305087301969401</v>
      </c>
      <c r="I126" s="5">
        <f>SUMIF('R9'!$L$7:$Q$7,B126,'R9'!$L$70:$Q$70)</f>
        <v>0.99563611390647888</v>
      </c>
      <c r="J126" s="5">
        <f t="shared" si="97"/>
        <v>1.0904497693689885</v>
      </c>
      <c r="K126" s="58">
        <f t="shared" si="112"/>
        <v>0</v>
      </c>
      <c r="L126" s="27">
        <f>SUMIF('R9'!$L$7:$Q$7,B126,'R9'!$L$61:$Q$61)</f>
        <v>2.825668916711825</v>
      </c>
      <c r="M126" s="24">
        <f>SUMIF('R9'!$L$7:$Q$7,B126,'R9'!$L$62:$Q$62)</f>
        <v>49.601972304288182</v>
      </c>
      <c r="N126" s="24">
        <f t="shared" si="55"/>
        <v>52.427641221000009</v>
      </c>
      <c r="O126" s="58">
        <f t="shared" si="110"/>
        <v>1.355282670004026E-16</v>
      </c>
      <c r="P126" s="40">
        <f t="shared" si="56"/>
        <v>17.554063751392722</v>
      </c>
      <c r="Q126" s="58">
        <f t="shared" si="113"/>
        <v>-1.0970381566495267E-2</v>
      </c>
      <c r="R126" s="27">
        <f>SUMIF('R9'!$L$7:$Q$7,B126,'R9'!$L$65:$Q$65)</f>
        <v>101706229967.56979</v>
      </c>
      <c r="S126" s="58">
        <f t="shared" si="114"/>
        <v>1.5797490299952244E-2</v>
      </c>
      <c r="T126" s="27">
        <f>SUMIF('R9'!$L$7:$Q$7,B126,'R9'!$L$66:$Q$66)</f>
        <v>126883398667.8252</v>
      </c>
      <c r="U126" s="58">
        <f t="shared" si="115"/>
        <v>-2.8049100847812015E-2</v>
      </c>
      <c r="V126" s="24">
        <f t="shared" si="57"/>
        <v>1.2475479497006567</v>
      </c>
      <c r="W126" s="58">
        <f t="shared" si="116"/>
        <v>-4.3164697261475836E-2</v>
      </c>
      <c r="X126" s="27">
        <f>SUMIF('R9'!$L$7:$Q$7,B126,'R9'!$L$77:$Q$77)</f>
        <v>90648829082.810638</v>
      </c>
      <c r="Y126" s="58">
        <f t="shared" si="117"/>
        <v>-5.188684776792863E-2</v>
      </c>
      <c r="Z126" s="27">
        <f>SUMIF('R9'!$L$7:$Q$7,B126,'R9'!$L$60:$Q$60)</f>
        <v>4752504288257.3467</v>
      </c>
      <c r="AA126" s="58">
        <f t="shared" si="118"/>
        <v>-5.1886847767928609E-2</v>
      </c>
      <c r="AB126" s="5"/>
      <c r="AC126" s="5"/>
      <c r="AD126" s="5"/>
    </row>
    <row r="127" spans="1:30" ht="15.75" thickBot="1" x14ac:dyDescent="0.3">
      <c r="A127" s="93"/>
      <c r="B127" s="32">
        <v>2100</v>
      </c>
      <c r="C127" s="9">
        <f>SUMIF('R9'!$L$7:$Q$7,B127,'R9'!$L$67:$Q$67)</f>
        <v>19.607758270000001</v>
      </c>
      <c r="D127" s="44">
        <f>SUMIF('R9'!$L$7:$Q$7,B127,'R9'!$L$71:$Q$71)</f>
        <v>0.90022563327805616</v>
      </c>
      <c r="E127" s="36">
        <f>SUMIF('R9'!$L$7:$Q$7,B127,'R9'!$L$72:$Q$72)</f>
        <v>0.97405330480158026</v>
      </c>
      <c r="F127" s="51">
        <f t="shared" si="96"/>
        <v>1.0820101858849431</v>
      </c>
      <c r="G127" s="59">
        <f t="shared" si="111"/>
        <v>4.5111940516758341E-2</v>
      </c>
      <c r="H127" s="7">
        <f>SUMIF('R9'!$L$7:$Q$7,B127,'R9'!$L$69:$Q$69)</f>
        <v>0.91305087301969401</v>
      </c>
      <c r="I127" s="8">
        <f>SUMIF('R9'!$L$7:$Q$7,B127,'R9'!$L$70:$Q$70)</f>
        <v>0.99563611390647888</v>
      </c>
      <c r="J127" s="8">
        <f t="shared" si="97"/>
        <v>1.0904497693689885</v>
      </c>
      <c r="K127" s="59">
        <f t="shared" si="112"/>
        <v>0</v>
      </c>
      <c r="L127" s="28">
        <f>SUMIF('R9'!$L$7:$Q$7,B127,'R9'!$L$61:$Q$61)</f>
        <v>1.481393633609742</v>
      </c>
      <c r="M127" s="25">
        <f>SUMIF('R9'!$L$7:$Q$7,B127,'R9'!$L$62:$Q$62)</f>
        <v>48.257537816390261</v>
      </c>
      <c r="N127" s="25">
        <f t="shared" si="55"/>
        <v>49.738931450000003</v>
      </c>
      <c r="O127" s="59">
        <f t="shared" si="110"/>
        <v>-1.428544431989602E-16</v>
      </c>
      <c r="P127" s="41">
        <f t="shared" si="56"/>
        <v>32.575769681688278</v>
      </c>
      <c r="Q127" s="59">
        <f t="shared" si="113"/>
        <v>-1.0970381566495269E-2</v>
      </c>
      <c r="R127" s="33">
        <f>SUMIF('R9'!$L$7:$Q$7,B127,'R9'!$L$65:$Q$65)</f>
        <v>130876997147.7057</v>
      </c>
      <c r="S127" s="59">
        <f t="shared" si="114"/>
        <v>1.7488458606317415E-2</v>
      </c>
      <c r="T127" s="28">
        <f>SUMIF('R9'!$L$7:$Q$7,B127,'R9'!$L$66:$Q$66)</f>
        <v>163275329454.599</v>
      </c>
      <c r="U127" s="59">
        <f t="shared" si="115"/>
        <v>-2.6431122676469219E-2</v>
      </c>
      <c r="V127" s="25">
        <f t="shared" si="57"/>
        <v>1.2475479497006572</v>
      </c>
      <c r="W127" s="59">
        <f t="shared" si="116"/>
        <v>-4.3164697261475003E-2</v>
      </c>
      <c r="X127" s="28">
        <f>SUMIF('R9'!$L$7:$Q$7,B127,'R9'!$L$77:$Q$77)</f>
        <v>119838296106.16341</v>
      </c>
      <c r="Y127" s="59">
        <f t="shared" si="117"/>
        <v>-5.0270685198148278E-2</v>
      </c>
      <c r="Z127" s="28">
        <f>SUMIF('R9'!$L$7:$Q$7,B127,'R9'!$L$60:$Q$60)</f>
        <v>5960628795109.2656</v>
      </c>
      <c r="AA127" s="59">
        <f t="shared" si="118"/>
        <v>-5.0270685198147931E-2</v>
      </c>
      <c r="AB127" s="5"/>
      <c r="AC127" s="5"/>
      <c r="AD127" s="5"/>
    </row>
    <row r="128" spans="1:30" x14ac:dyDescent="0.25">
      <c r="A128" s="91" t="s">
        <v>75</v>
      </c>
      <c r="B128" s="21">
        <v>2000</v>
      </c>
      <c r="C128" s="3">
        <f>SUMIF('R9'!$L$7:$Q$7,B128,'R9'!$L$92:$Q$92)</f>
        <v>17.474866370000001</v>
      </c>
      <c r="D128" s="42">
        <f>SUMIF('R9'!$L$7:$Q$7,B128,'R9'!$L$96:$Q$96)</f>
        <v>0.96439833420871968</v>
      </c>
      <c r="E128" s="34">
        <f>SUMIF('R9'!$L$7:$Q$7,B128,'R9'!$L$97:$Q$97)</f>
        <v>0.99844694181596516</v>
      </c>
      <c r="F128" s="49">
        <f t="shared" si="96"/>
        <v>1.0353055437773875</v>
      </c>
      <c r="G128" s="57">
        <f>(F128-$F110)/$F110</f>
        <v>0</v>
      </c>
      <c r="H128" s="1">
        <f>SUMIF('R9'!$L$7:$Q$7,B128,'R9'!$L$94:$Q$94)</f>
        <v>0.91305087301969401</v>
      </c>
      <c r="I128" s="2">
        <f>SUMIF('R9'!$L$7:$Q$7,B128,'R9'!$L$95:$Q$95)</f>
        <v>0.99563611390647888</v>
      </c>
      <c r="J128" s="2">
        <f t="shared" si="97"/>
        <v>1.0904497693689885</v>
      </c>
      <c r="K128" s="57">
        <f>(J128-$J110)/$J110</f>
        <v>0</v>
      </c>
      <c r="L128" s="26">
        <f>SUMIF('R9'!$L$7:$Q$7,B128,'R9'!$L$86:$Q$86)</f>
        <v>11.890499999999999</v>
      </c>
      <c r="M128" s="23">
        <f>SUMIF('R9'!$L$7:$Q$7,B128,'R9'!$L$87:$Q$87)</f>
        <v>17.795100000000001</v>
      </c>
      <c r="N128" s="23">
        <f t="shared" si="55"/>
        <v>29.685600000000001</v>
      </c>
      <c r="O128" s="57">
        <f t="shared" ref="O128:O133" si="119">(N128-$N110)/$N110</f>
        <v>0</v>
      </c>
      <c r="P128" s="38">
        <f t="shared" si="56"/>
        <v>1.4965813044026746</v>
      </c>
      <c r="Q128" s="57">
        <f>(P128-$P110)/$P110</f>
        <v>0</v>
      </c>
      <c r="R128" s="26">
        <f>SUMIF('R9'!$L$7:$Q$7,B128,'R9'!$L$90:$Q$90)</f>
        <v>12693901918.097731</v>
      </c>
      <c r="S128" s="57">
        <f>(R128-$R110)/$R110</f>
        <v>0</v>
      </c>
      <c r="T128" s="26">
        <f>SUMIF('R9'!$L$7:$Q$7,B128,'R9'!$L$91:$Q$91)</f>
        <v>16550655338.802481</v>
      </c>
      <c r="U128" s="57">
        <f>(T128-$T110)/$T110</f>
        <v>0</v>
      </c>
      <c r="V128" s="23">
        <f t="shared" si="57"/>
        <v>1.3038272585993567</v>
      </c>
      <c r="W128" s="57">
        <f>(V128-$V110)/$V110</f>
        <v>0</v>
      </c>
      <c r="X128" s="26">
        <f>SUMIF('R9'!$L$7:$Q$7,B128,'R9'!$L$102:$Q$102)</f>
        <v>5152994447.4046478</v>
      </c>
      <c r="Y128" s="57">
        <f>(X128-$X110)/$X110</f>
        <v>0</v>
      </c>
      <c r="Z128" s="26">
        <f>SUMIF('R9'!$L$7:$Q$7,B128,'R9'!$L$85:$Q$85)</f>
        <v>267000000000</v>
      </c>
      <c r="AA128" s="57">
        <f>(Z128-$Z110)/$Z110</f>
        <v>0</v>
      </c>
      <c r="AB128" s="5"/>
      <c r="AC128" s="5"/>
      <c r="AD128" s="5"/>
    </row>
    <row r="129" spans="1:30" x14ac:dyDescent="0.25">
      <c r="A129" s="92"/>
      <c r="B129" s="31">
        <v>2020</v>
      </c>
      <c r="C129" s="14">
        <f>SUMIF('R9'!$L$7:$Q$7,B129,'R9'!$L$92:$Q$92)</f>
        <v>18.038191579999999</v>
      </c>
      <c r="D129" s="43">
        <f>SUMIF('R9'!$L$7:$Q$7,B129,'R9'!$L$96:$Q$96)</f>
        <v>0.95269766517752652</v>
      </c>
      <c r="E129" s="35">
        <f>SUMIF('R9'!$L$7:$Q$7,B129,'R9'!$L$97:$Q$97)</f>
        <v>0.99556088418081246</v>
      </c>
      <c r="F129" s="50">
        <f t="shared" si="96"/>
        <v>1.0449914181277002</v>
      </c>
      <c r="G129" s="58">
        <f t="shared" ref="G129:G133" si="120">(F129-$F111)/$F111</f>
        <v>9.3555708346476588E-3</v>
      </c>
      <c r="H129" s="4">
        <f>SUMIF('R9'!$L$7:$Q$7,B129,'R9'!$L$94:$Q$94)</f>
        <v>0.94051561165948439</v>
      </c>
      <c r="I129" s="5">
        <f>SUMIF('R9'!$L$7:$Q$7,B129,'R9'!$L$95:$Q$95)</f>
        <v>0.99468970880339935</v>
      </c>
      <c r="J129" s="13">
        <f t="shared" si="97"/>
        <v>1.0576004230789193</v>
      </c>
      <c r="K129" s="58">
        <f t="shared" ref="K129:K133" si="121">(J129-$J111)/$J111</f>
        <v>-3.0124584563925538E-2</v>
      </c>
      <c r="L129" s="27">
        <f>SUMIF('R9'!$L$7:$Q$7,B129,'R9'!$L$86:$Q$86)</f>
        <v>10.49220581201444</v>
      </c>
      <c r="M129" s="24">
        <f>SUMIF('R9'!$L$7:$Q$7,B129,'R9'!$L$87:$Q$87)</f>
        <v>29.295040133985559</v>
      </c>
      <c r="N129" s="24">
        <f t="shared" si="55"/>
        <v>39.787245945999999</v>
      </c>
      <c r="O129" s="58">
        <f t="shared" si="119"/>
        <v>0</v>
      </c>
      <c r="P129" s="39">
        <f t="shared" si="56"/>
        <v>2.7920763906899659</v>
      </c>
      <c r="Q129" s="58">
        <f t="shared" ref="Q129:Q133" si="122">(P129-$P111)/$P111</f>
        <v>5.3330641510926178E-3</v>
      </c>
      <c r="R129" s="27">
        <f>SUMIF('R9'!$L$7:$Q$7,B129,'R9'!$L$90:$Q$90)</f>
        <v>30906793820.379391</v>
      </c>
      <c r="S129" s="58">
        <f t="shared" ref="S129:S133" si="123">(R129-$R111)/$R111</f>
        <v>2.5379531854130256E-3</v>
      </c>
      <c r="T129" s="27">
        <f>SUMIF('R9'!$L$7:$Q$7,B129,'R9'!$L$91:$Q$91)</f>
        <v>39923612078.148682</v>
      </c>
      <c r="U129" s="58">
        <f t="shared" ref="U129:U133" si="124">(T129-$T111)/$T111</f>
        <v>-6.75442613706243E-3</v>
      </c>
      <c r="V129" s="24">
        <f t="shared" si="57"/>
        <v>1.2917422722710163</v>
      </c>
      <c r="W129" s="58">
        <f t="shared" ref="W129:W133" si="125">(V129-$V111)/$V111</f>
        <v>-9.2688554013844893E-3</v>
      </c>
      <c r="X129" s="27">
        <f>SUMIF('R9'!$L$7:$Q$7,B129,'R9'!$L$102:$Q$102)</f>
        <v>25211128826.61071</v>
      </c>
      <c r="Y129" s="58">
        <f t="shared" ref="Y129:Y133" si="126">(X129-$X111)/$X111</f>
        <v>-9.47404552541334E-3</v>
      </c>
      <c r="Z129" s="27">
        <f>SUMIF('R9'!$L$7:$Q$7,B129,'R9'!$L$85:$Q$85)</f>
        <v>1003081383200.651</v>
      </c>
      <c r="AA129" s="58">
        <f t="shared" ref="AA129:AA133" si="127">(Z129-$Z111)/$Z111</f>
        <v>-9.4740455254128456E-3</v>
      </c>
      <c r="AB129" s="5"/>
      <c r="AC129" s="5"/>
      <c r="AD129" s="5"/>
    </row>
    <row r="130" spans="1:30" x14ac:dyDescent="0.25">
      <c r="A130" s="92"/>
      <c r="B130" s="31">
        <v>2040</v>
      </c>
      <c r="C130" s="6">
        <f>SUMIF('R9'!$L$7:$Q$7,B130,'R9'!$L$92:$Q$92)</f>
        <v>18.603739640000001</v>
      </c>
      <c r="D130" s="43">
        <f>SUMIF('R9'!$L$7:$Q$7,B130,'R9'!$L$96:$Q$96)</f>
        <v>0.93231395090361513</v>
      </c>
      <c r="E130" s="35">
        <f>SUMIF('R9'!$L$7:$Q$7,B130,'R9'!$L$97:$Q$97)</f>
        <v>0.98848865179879042</v>
      </c>
      <c r="F130" s="50">
        <f t="shared" si="96"/>
        <v>1.0602529875700453</v>
      </c>
      <c r="G130" s="58">
        <f t="shared" si="120"/>
        <v>2.4096696808591622E-2</v>
      </c>
      <c r="H130" s="4">
        <f>SUMIF('R9'!$L$7:$Q$7,B130,'R9'!$L$94:$Q$94)</f>
        <v>0.9634281703917762</v>
      </c>
      <c r="I130" s="5">
        <f>SUMIF('R9'!$L$7:$Q$7,B130,'R9'!$L$95:$Q$95)</f>
        <v>0.99227117543631316</v>
      </c>
      <c r="J130" s="5">
        <f t="shared" si="97"/>
        <v>1.0299378883978532</v>
      </c>
      <c r="K130" s="58">
        <f t="shared" si="121"/>
        <v>-5.5492589086567297E-2</v>
      </c>
      <c r="L130" s="27">
        <f>SUMIF('R9'!$L$7:$Q$7,B130,'R9'!$L$86:$Q$86)</f>
        <v>7.6160785983872712</v>
      </c>
      <c r="M130" s="24">
        <f>SUMIF('R9'!$L$7:$Q$7,B130,'R9'!$L$87:$Q$87)</f>
        <v>39.580308799612723</v>
      </c>
      <c r="N130" s="24">
        <f t="shared" ref="N130:N133" si="128">M130+L130</f>
        <v>47.196387397999992</v>
      </c>
      <c r="O130" s="58">
        <f t="shared" si="119"/>
        <v>0</v>
      </c>
      <c r="P130" s="40">
        <f t="shared" ref="P130:P133" si="129">M130/L130</f>
        <v>5.1969406943875267</v>
      </c>
      <c r="Q130" s="58">
        <f t="shared" si="122"/>
        <v>8.3549073066253206E-3</v>
      </c>
      <c r="R130" s="27">
        <f>SUMIF('R9'!$L$7:$Q$7,B130,'R9'!$L$90:$Q$90)</f>
        <v>50056554380.327179</v>
      </c>
      <c r="S130" s="58">
        <f t="shared" si="123"/>
        <v>7.9775517830657575E-3</v>
      </c>
      <c r="T130" s="27">
        <f>SUMIF('R9'!$L$7:$Q$7,B130,'R9'!$L$91:$Q$91)</f>
        <v>63729431289.074806</v>
      </c>
      <c r="U130" s="58">
        <f t="shared" si="124"/>
        <v>-1.5739866240910963E-2</v>
      </c>
      <c r="V130" s="24">
        <f t="shared" ref="V130:V133" si="130">T130/R130</f>
        <v>1.2731485831977527</v>
      </c>
      <c r="W130" s="58">
        <f t="shared" si="125"/>
        <v>-2.3529708555534514E-2</v>
      </c>
      <c r="X130" s="27">
        <f>SUMIF('R9'!$L$7:$Q$7,B130,'R9'!$L$102:$Q$102)</f>
        <v>42824996426.865303</v>
      </c>
      <c r="Y130" s="58">
        <f t="shared" si="126"/>
        <v>-2.5380839655967376E-2</v>
      </c>
      <c r="Z130" s="27">
        <f>SUMIF('R9'!$L$7:$Q$7,B130,'R9'!$L$85:$Q$85)</f>
        <v>2021185121680.301</v>
      </c>
      <c r="AA130" s="58">
        <f t="shared" si="127"/>
        <v>-2.53808396559673E-2</v>
      </c>
      <c r="AB130" s="5"/>
      <c r="AC130" s="5"/>
      <c r="AD130" s="5"/>
    </row>
    <row r="131" spans="1:30" x14ac:dyDescent="0.25">
      <c r="A131" s="92"/>
      <c r="B131" s="31">
        <v>2060</v>
      </c>
      <c r="C131" s="6">
        <f>SUMIF('R9'!$L$7:$Q$7,B131,'R9'!$L$92:$Q$92)</f>
        <v>19.164979110000001</v>
      </c>
      <c r="D131" s="43">
        <f>SUMIF('R9'!$L$7:$Q$7,B131,'R9'!$L$96:$Q$96)</f>
        <v>0.91693862656807257</v>
      </c>
      <c r="E131" s="35">
        <f>SUMIF('R9'!$L$7:$Q$7,B131,'R9'!$L$97:$Q$97)</f>
        <v>0.98197288977586894</v>
      </c>
      <c r="F131" s="50">
        <f t="shared" si="96"/>
        <v>1.0709254265481294</v>
      </c>
      <c r="G131" s="58">
        <f t="shared" si="120"/>
        <v>3.4405188868959567E-2</v>
      </c>
      <c r="H131" s="4">
        <f>SUMIF('R9'!$L$7:$Q$7,B131,'R9'!$L$94:$Q$94)</f>
        <v>0.98154966858682346</v>
      </c>
      <c r="I131" s="5">
        <f>SUMIF('R9'!$L$7:$Q$7,B131,'R9'!$L$95:$Q$95)</f>
        <v>0.98841655294050634</v>
      </c>
      <c r="J131" s="5">
        <f t="shared" si="97"/>
        <v>1.0069959621743538</v>
      </c>
      <c r="K131" s="58">
        <f t="shared" si="121"/>
        <v>-7.6531546467222392E-2</v>
      </c>
      <c r="L131" s="27">
        <f>SUMIF('R9'!$L$7:$Q$7,B131,'R9'!$L$86:$Q$86)</f>
        <v>4.8325407909779647</v>
      </c>
      <c r="M131" s="24">
        <f>SUMIF('R9'!$L$7:$Q$7,B131,'R9'!$L$87:$Q$87)</f>
        <v>46.751839042022041</v>
      </c>
      <c r="N131" s="24">
        <f t="shared" si="128"/>
        <v>51.584379833000007</v>
      </c>
      <c r="O131" s="58">
        <f t="shared" si="119"/>
        <v>2.7548755575250547E-16</v>
      </c>
      <c r="P131" s="40">
        <f t="shared" si="129"/>
        <v>9.6743806341592897</v>
      </c>
      <c r="Q131" s="58">
        <f t="shared" si="122"/>
        <v>1.1513798050505699E-2</v>
      </c>
      <c r="R131" s="27">
        <f>SUMIF('R9'!$L$7:$Q$7,B131,'R9'!$L$90:$Q$90)</f>
        <v>74555373778.116165</v>
      </c>
      <c r="S131" s="58">
        <f t="shared" si="123"/>
        <v>1.2522465011582357E-2</v>
      </c>
      <c r="T131" s="27">
        <f>SUMIF('R9'!$L$7:$Q$7,B131,'R9'!$L$91:$Q$91)</f>
        <v>93974130885.074234</v>
      </c>
      <c r="U131" s="58">
        <f t="shared" si="124"/>
        <v>-2.1154886008745846E-2</v>
      </c>
      <c r="V131" s="24">
        <f t="shared" si="130"/>
        <v>1.2604608644944915</v>
      </c>
      <c r="W131" s="58">
        <f t="shared" si="125"/>
        <v>-3.3260843274171642E-2</v>
      </c>
      <c r="X131" s="27">
        <f>SUMIF('R9'!$L$7:$Q$7,B131,'R9'!$L$102:$Q$102)</f>
        <v>65496153033.118057</v>
      </c>
      <c r="Y131" s="58">
        <f t="shared" si="126"/>
        <v>-3.7149320443239521E-2</v>
      </c>
      <c r="Z131" s="27">
        <f>SUMIF('R9'!$L$7:$Q$7,B131,'R9'!$L$85:$Q$85)</f>
        <v>3378578435660.6572</v>
      </c>
      <c r="AA131" s="58">
        <f t="shared" si="127"/>
        <v>-3.7149320443239334E-2</v>
      </c>
      <c r="AB131" s="5"/>
      <c r="AC131" s="5"/>
      <c r="AD131" s="5"/>
    </row>
    <row r="132" spans="1:30" x14ac:dyDescent="0.25">
      <c r="A132" s="92"/>
      <c r="B132" s="31">
        <v>2080</v>
      </c>
      <c r="C132" s="6">
        <f>SUMIF('R9'!$L$7:$Q$7,B132,'R9'!$L$92:$Q$92)</f>
        <v>19.45193622</v>
      </c>
      <c r="D132" s="43">
        <f>SUMIF('R9'!$L$7:$Q$7,B132,'R9'!$L$96:$Q$96)</f>
        <v>0.90022563327805616</v>
      </c>
      <c r="E132" s="35">
        <f>SUMIF('R9'!$L$7:$Q$7,B132,'R9'!$L$97:$Q$97)</f>
        <v>0.97405330480158026</v>
      </c>
      <c r="F132" s="50">
        <f t="shared" si="96"/>
        <v>1.0820101858849431</v>
      </c>
      <c r="G132" s="58">
        <f t="shared" si="120"/>
        <v>4.5111940516758341E-2</v>
      </c>
      <c r="H132" s="4">
        <f>SUMIF('R9'!$L$7:$Q$7,B132,'R9'!$L$94:$Q$94)</f>
        <v>0.98903824999927981</v>
      </c>
      <c r="I132" s="5">
        <f>SUMIF('R9'!$L$7:$Q$7,B132,'R9'!$L$95:$Q$95)</f>
        <v>0.9858859053740201</v>
      </c>
      <c r="J132" s="5">
        <f t="shared" si="97"/>
        <v>0.99681271717725584</v>
      </c>
      <c r="K132" s="58">
        <f t="shared" si="121"/>
        <v>-8.5870119671736661E-2</v>
      </c>
      <c r="L132" s="27">
        <f>SUMIF('R9'!$L$7:$Q$7,B132,'R9'!$L$86:$Q$86)</f>
        <v>2.7662606179225269</v>
      </c>
      <c r="M132" s="24">
        <f>SUMIF('R9'!$L$7:$Q$7,B132,'R9'!$L$87:$Q$87)</f>
        <v>49.661380603077482</v>
      </c>
      <c r="N132" s="24">
        <f t="shared" si="128"/>
        <v>52.427641221000009</v>
      </c>
      <c r="O132" s="58">
        <f t="shared" si="119"/>
        <v>1.355282670004026E-16</v>
      </c>
      <c r="P132" s="40">
        <f t="shared" si="129"/>
        <v>17.952531399725231</v>
      </c>
      <c r="Q132" s="58">
        <f t="shared" si="122"/>
        <v>1.148004995578576E-2</v>
      </c>
      <c r="R132" s="27">
        <f>SUMIF('R9'!$L$7:$Q$7,B132,'R9'!$L$90:$Q$90)</f>
        <v>101731870030.0946</v>
      </c>
      <c r="S132" s="58">
        <f t="shared" si="123"/>
        <v>1.605357206772735E-2</v>
      </c>
      <c r="T132" s="27">
        <f>SUMIF('R9'!$L$7:$Q$7,B132,'R9'!$L$91:$Q$91)</f>
        <v>126915385875.25819</v>
      </c>
      <c r="U132" s="58">
        <f t="shared" si="124"/>
        <v>-2.7804072772017303E-2</v>
      </c>
      <c r="V132" s="24">
        <f t="shared" si="130"/>
        <v>1.2475479497006565</v>
      </c>
      <c r="W132" s="58">
        <f t="shared" si="125"/>
        <v>-4.3164697261476002E-2</v>
      </c>
      <c r="X132" s="27">
        <f>SUMIF('R9'!$L$7:$Q$7,B132,'R9'!$L$102:$Q$102)</f>
        <v>90689385524.626907</v>
      </c>
      <c r="Y132" s="58">
        <f t="shared" si="126"/>
        <v>-5.1462660315285284E-2</v>
      </c>
      <c r="Z132" s="27">
        <f>SUMIF('R9'!$L$7:$Q$7,B132,'R9'!$L$85:$Q$85)</f>
        <v>4754630566838.0908</v>
      </c>
      <c r="AA132" s="58">
        <f t="shared" si="127"/>
        <v>-5.146266031528518E-2</v>
      </c>
      <c r="AB132" s="5"/>
      <c r="AC132" s="5"/>
      <c r="AD132" s="5"/>
    </row>
    <row r="133" spans="1:30" ht="15.75" thickBot="1" x14ac:dyDescent="0.3">
      <c r="A133" s="93"/>
      <c r="B133" s="32">
        <v>2100</v>
      </c>
      <c r="C133" s="9">
        <f>SUMIF('R9'!$L$7:$Q$7,B133,'R9'!$L$92:$Q$92)</f>
        <v>19.607758270000001</v>
      </c>
      <c r="D133" s="44">
        <f>SUMIF('R9'!$L$7:$Q$7,B133,'R9'!$L$96:$Q$96)</f>
        <v>0.90022563327805616</v>
      </c>
      <c r="E133" s="36">
        <f>SUMIF('R9'!$L$7:$Q$7,B133,'R9'!$L$97:$Q$97)</f>
        <v>0.97405330480158026</v>
      </c>
      <c r="F133" s="51">
        <f t="shared" si="96"/>
        <v>1.0820101858849431</v>
      </c>
      <c r="G133" s="59">
        <f t="shared" si="120"/>
        <v>4.5111940516758341E-2</v>
      </c>
      <c r="H133" s="7">
        <f>SUMIF('R9'!$L$7:$Q$7,B133,'R9'!$L$94:$Q$94)</f>
        <v>0.99260100122429984</v>
      </c>
      <c r="I133" s="8">
        <f>SUMIF('R9'!$L$7:$Q$7,B133,'R9'!$L$95:$Q$95)</f>
        <v>0.98435303753806735</v>
      </c>
      <c r="J133" s="8">
        <f t="shared" si="97"/>
        <v>0.99169055473845058</v>
      </c>
      <c r="K133" s="59">
        <f t="shared" si="121"/>
        <v>-9.0567413011318265E-2</v>
      </c>
      <c r="L133" s="28">
        <f>SUMIF('R9'!$L$7:$Q$7,B133,'R9'!$L$86:$Q$86)</f>
        <v>1.447660024375941</v>
      </c>
      <c r="M133" s="25">
        <f>SUMIF('R9'!$L$7:$Q$7,B133,'R9'!$L$87:$Q$87)</f>
        <v>48.291271425624068</v>
      </c>
      <c r="N133" s="25">
        <f t="shared" si="128"/>
        <v>49.73893145000001</v>
      </c>
      <c r="O133" s="59">
        <f t="shared" si="119"/>
        <v>0</v>
      </c>
      <c r="P133" s="41">
        <f t="shared" si="129"/>
        <v>33.358157725216962</v>
      </c>
      <c r="Q133" s="59">
        <f t="shared" si="122"/>
        <v>1.2783621968011766E-2</v>
      </c>
      <c r="R133" s="33">
        <f>SUMIF('R9'!$L$7:$Q$7,B133,'R9'!$L$90:$Q$90)</f>
        <v>130896756049.9619</v>
      </c>
      <c r="S133" s="59">
        <f t="shared" si="123"/>
        <v>1.7642071964192055E-2</v>
      </c>
      <c r="T133" s="28">
        <f>SUMIF('R9'!$L$7:$Q$7,B133,'R9'!$L$91:$Q$91)</f>
        <v>163299979632.59711</v>
      </c>
      <c r="U133" s="59">
        <f t="shared" si="124"/>
        <v>-2.6284139992682223E-2</v>
      </c>
      <c r="V133" s="25">
        <f t="shared" si="130"/>
        <v>1.2475479497006576</v>
      </c>
      <c r="W133" s="59">
        <f t="shared" si="125"/>
        <v>-4.3164697261474663E-2</v>
      </c>
      <c r="X133" s="28">
        <f>SUMIF('R9'!$L$7:$Q$7,B133,'R9'!$L$102:$Q$102)</f>
        <v>119870891774.88921</v>
      </c>
      <c r="Y133" s="59">
        <f t="shared" si="126"/>
        <v>-5.0012361580988055E-2</v>
      </c>
      <c r="Z133" s="28">
        <f>SUMIF('R9'!$L$7:$Q$7,B133,'R9'!$L$85:$Q$85)</f>
        <v>5962250068841.585</v>
      </c>
      <c r="AA133" s="59">
        <f t="shared" si="127"/>
        <v>-5.0012361580987735E-2</v>
      </c>
      <c r="AB133" s="5"/>
      <c r="AC133" s="5"/>
      <c r="AD133" s="5"/>
    </row>
  </sheetData>
  <mergeCells count="22">
    <mergeCell ref="A116:A121"/>
    <mergeCell ref="A86:A91"/>
    <mergeCell ref="A92:A97"/>
    <mergeCell ref="A98:A103"/>
    <mergeCell ref="A104:A109"/>
    <mergeCell ref="A110:A115"/>
    <mergeCell ref="A122:A127"/>
    <mergeCell ref="A128:A133"/>
    <mergeCell ref="A2:A7"/>
    <mergeCell ref="A8:A13"/>
    <mergeCell ref="A14:A19"/>
    <mergeCell ref="A20:A25"/>
    <mergeCell ref="A26:A31"/>
    <mergeCell ref="A32:A37"/>
    <mergeCell ref="A38:A43"/>
    <mergeCell ref="A44:A49"/>
    <mergeCell ref="A50:A55"/>
    <mergeCell ref="A56:A61"/>
    <mergeCell ref="A62:A67"/>
    <mergeCell ref="A68:A73"/>
    <mergeCell ref="A74:A79"/>
    <mergeCell ref="A80:A8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A1:AD133"/>
  <sheetViews>
    <sheetView topLeftCell="I103" zoomScale="85" zoomScaleNormal="85" workbookViewId="0">
      <selection activeCell="O110" sqref="O110:O133"/>
    </sheetView>
  </sheetViews>
  <sheetFormatPr defaultColWidth="9.140625" defaultRowHeight="15" x14ac:dyDescent="0.25"/>
  <cols>
    <col min="1" max="1" width="9.140625" style="20"/>
    <col min="2" max="2" width="13.85546875" style="20" bestFit="1" customWidth="1"/>
    <col min="3" max="11" width="9.140625" style="20"/>
    <col min="12" max="13" width="10.7109375" style="20" bestFit="1" customWidth="1"/>
    <col min="14" max="14" width="10.7109375" style="20" customWidth="1"/>
    <col min="15" max="15" width="11.42578125" style="20" customWidth="1"/>
    <col min="16" max="16" width="11.42578125" style="20" bestFit="1" customWidth="1"/>
    <col min="17" max="17" width="11.42578125" style="20" customWidth="1"/>
    <col min="18" max="18" width="12.7109375" style="20" bestFit="1" customWidth="1"/>
    <col min="19" max="19" width="11.42578125" style="20" customWidth="1"/>
    <col min="20" max="20" width="11.7109375" style="20" bestFit="1" customWidth="1"/>
    <col min="21" max="21" width="11.7109375" style="20" customWidth="1"/>
    <col min="22" max="22" width="10.7109375" style="20" customWidth="1"/>
    <col min="23" max="23" width="11.42578125" style="20" bestFit="1" customWidth="1"/>
    <col min="24" max="24" width="11.7109375" style="20" bestFit="1" customWidth="1"/>
    <col min="25" max="25" width="9.140625" style="20"/>
    <col min="26" max="26" width="11.7109375" style="20" bestFit="1" customWidth="1"/>
    <col min="27" max="16384" width="9.140625" style="20"/>
  </cols>
  <sheetData>
    <row r="1" spans="1:30" ht="15.75" thickBot="1" x14ac:dyDescent="0.3">
      <c r="A1" s="1"/>
      <c r="B1" s="2"/>
      <c r="C1" s="12" t="s">
        <v>7</v>
      </c>
      <c r="D1" s="11" t="s">
        <v>20</v>
      </c>
      <c r="E1" s="12" t="s">
        <v>21</v>
      </c>
      <c r="F1" s="12" t="s">
        <v>31</v>
      </c>
      <c r="G1" s="52" t="s">
        <v>25</v>
      </c>
      <c r="H1" s="11" t="s">
        <v>4</v>
      </c>
      <c r="I1" s="12" t="s">
        <v>5</v>
      </c>
      <c r="J1" s="12" t="s">
        <v>9</v>
      </c>
      <c r="K1" s="52" t="s">
        <v>24</v>
      </c>
      <c r="L1" s="11" t="s">
        <v>0</v>
      </c>
      <c r="M1" s="12" t="s">
        <v>1</v>
      </c>
      <c r="N1" s="12" t="s">
        <v>2</v>
      </c>
      <c r="O1" s="30" t="s">
        <v>83</v>
      </c>
      <c r="P1" s="37" t="s">
        <v>3</v>
      </c>
      <c r="Q1" s="30" t="s">
        <v>26</v>
      </c>
      <c r="R1" s="29" t="s">
        <v>18</v>
      </c>
      <c r="S1" s="30" t="s">
        <v>28</v>
      </c>
      <c r="T1" s="11" t="s">
        <v>19</v>
      </c>
      <c r="U1" s="30" t="s">
        <v>29</v>
      </c>
      <c r="V1" s="12" t="s">
        <v>27</v>
      </c>
      <c r="W1" s="30" t="s">
        <v>32</v>
      </c>
      <c r="X1" s="29" t="s">
        <v>22</v>
      </c>
      <c r="Y1" s="30" t="s">
        <v>30</v>
      </c>
      <c r="Z1" s="29" t="s">
        <v>51</v>
      </c>
      <c r="AA1" s="30" t="s">
        <v>62</v>
      </c>
      <c r="AB1" s="15"/>
      <c r="AC1" s="15"/>
      <c r="AD1" s="15"/>
    </row>
    <row r="2" spans="1:30" x14ac:dyDescent="0.25">
      <c r="A2" s="94" t="s">
        <v>6</v>
      </c>
      <c r="B2" s="21">
        <v>2000</v>
      </c>
      <c r="C2" s="3">
        <f>SUMIF(R0!$V$7:$AA$7,B2,R0!$V$17:$AA$17)</f>
        <v>17.178609999999999</v>
      </c>
      <c r="D2" s="42">
        <f>SUMIF(R0!$V$7:$AA$7,B2,R0!$V$21:$AA$21)</f>
        <v>1</v>
      </c>
      <c r="E2" s="34">
        <f>SUMIF(R0!$V$7:$AA$7,B2,R0!$V$22:$AA$22)</f>
        <v>1</v>
      </c>
      <c r="F2" s="45">
        <f>E2/D2</f>
        <v>1</v>
      </c>
      <c r="G2" s="53"/>
      <c r="H2" s="1">
        <f>SUMIF(R0!$V$7:$AA$7,B2,R0!$V$19:$AA$19)</f>
        <v>0.91393118527122841</v>
      </c>
      <c r="I2" s="2">
        <f>SUMIF(R0!$V$7:$AA$7,B2,R0!$V$20:$AA$20)</f>
        <v>1</v>
      </c>
      <c r="J2" s="2">
        <f>I2/H2</f>
        <v>1.0941742837052102</v>
      </c>
      <c r="K2" s="53"/>
      <c r="L2" s="26">
        <f>SUMIF(R0!$V$7:$AA$7,B2,R0!$V$11:$AA$11)</f>
        <v>1.1477007267974999</v>
      </c>
      <c r="M2" s="24">
        <f>SUMIF(R0!$V$7:$AA$7,B2,R0!$V$12:$AA$12)</f>
        <v>1.7176274507745</v>
      </c>
      <c r="N2" s="23">
        <f t="shared" ref="N2:N65" si="0">M2+L2</f>
        <v>2.8653281775719996</v>
      </c>
      <c r="O2" s="53"/>
      <c r="P2" s="38">
        <f t="shared" ref="P2:P65" si="1">M2/L2</f>
        <v>1.4965813044026746</v>
      </c>
      <c r="Q2" s="53"/>
      <c r="R2" s="26">
        <f>SUMIF(R0!$V$7:$AA$7,B2,R0!$V$15:$AA$15)</f>
        <v>45230.686034216073</v>
      </c>
      <c r="S2" s="53"/>
      <c r="T2" s="26">
        <f>SUMIF(R0!$V$7:$AA$7,B2,R0!$V$16:$AA$16)</f>
        <v>59242.103980910957</v>
      </c>
      <c r="U2" s="53"/>
      <c r="V2" s="23">
        <f t="shared" ref="V2:V65" si="2">T2/R2</f>
        <v>1.3097768169179556</v>
      </c>
      <c r="W2" s="53"/>
      <c r="X2" s="26">
        <f>SUMIF(R0!$V$7:$AA$7,B2,R0!$V$27:$AA$27)</f>
        <v>18427.262540756401</v>
      </c>
      <c r="Y2" s="53"/>
      <c r="Z2" s="26">
        <f>SUMIF(R0!$V$7:$AA$7,B2,R0!$V$10:$AA$10)</f>
        <v>92159.678226000004</v>
      </c>
      <c r="AA2" s="53"/>
      <c r="AB2" s="5"/>
      <c r="AC2" s="5"/>
      <c r="AD2" s="5"/>
    </row>
    <row r="3" spans="1:30" s="10" customFormat="1" x14ac:dyDescent="0.25">
      <c r="A3" s="95"/>
      <c r="B3" s="31">
        <v>2020</v>
      </c>
      <c r="C3" s="14">
        <f>SUMIF(R0!$V$7:$AA$7,B3,R0!$V$17:$AA$17)</f>
        <v>17.178609999999999</v>
      </c>
      <c r="D3" s="43">
        <f>SUMIF(R0!$V$7:$AA$7,B3,R0!$V$21:$AA$21)</f>
        <v>0.96966048781639314</v>
      </c>
      <c r="E3" s="35">
        <f>SUMIF(R0!$V$7:$AA$7,B3,R0!$V$22:$AA$22)</f>
        <v>0.99933476497980267</v>
      </c>
      <c r="F3" s="46">
        <f t="shared" ref="F3:F13" si="3">E3/D3</f>
        <v>1.0306027496595576</v>
      </c>
      <c r="G3" s="54"/>
      <c r="H3" s="4">
        <f>SUMIF(R0!$V$7:$AA$7,B3,R0!$V$19:$AA$19)</f>
        <v>0.91393118527122841</v>
      </c>
      <c r="I3" s="5">
        <f>SUMIF(R0!$V$7:$AA$7,B3,R0!$V$20:$AA$20)</f>
        <v>1</v>
      </c>
      <c r="J3" s="5">
        <f t="shared" ref="J3:J13" si="4">I3/H3</f>
        <v>1.0941742837052102</v>
      </c>
      <c r="K3" s="55"/>
      <c r="L3" s="27">
        <f>SUMIF(R0!$V$7:$AA$7,B3,R0!$V$11:$AA$11)</f>
        <v>1.2745678574973771</v>
      </c>
      <c r="M3" s="24">
        <f>SUMIF(R0!$V$7:$AA$7,B3,R0!$V$12:$AA$12)</f>
        <v>3.5398127746407022</v>
      </c>
      <c r="N3" s="24">
        <f t="shared" si="0"/>
        <v>4.8143806321380795</v>
      </c>
      <c r="O3" s="55"/>
      <c r="P3" s="39">
        <f t="shared" si="1"/>
        <v>2.7772650579712166</v>
      </c>
      <c r="Q3" s="55"/>
      <c r="R3" s="27">
        <f>SUMIF(R0!$V$7:$AA$7,B3,R0!$V$15:$AA$15)</f>
        <v>109448.40458383469</v>
      </c>
      <c r="S3" s="55"/>
      <c r="T3" s="27">
        <f>SUMIF(R0!$V$7:$AA$7,B3,R0!$V$16:$AA$16)</f>
        <v>143352.98297256359</v>
      </c>
      <c r="U3" s="55"/>
      <c r="V3" s="24">
        <f t="shared" si="2"/>
        <v>1.3097768169179558</v>
      </c>
      <c r="W3" s="55"/>
      <c r="X3" s="27">
        <f>SUMIF(R0!$V$7:$AA$7,B3,R0!$V$27:$AA$27)</f>
        <v>80056.681228892689</v>
      </c>
      <c r="Y3" s="55"/>
      <c r="Z3" s="27">
        <f>SUMIF(R0!$V$7:$AA$7,B3,R0!$V$10:$AA$10)</f>
        <v>385423.33558163297</v>
      </c>
      <c r="AA3" s="55"/>
      <c r="AB3" s="13"/>
      <c r="AC3" s="13"/>
      <c r="AD3" s="13"/>
    </row>
    <row r="4" spans="1:30" x14ac:dyDescent="0.25">
      <c r="A4" s="95"/>
      <c r="B4" s="31">
        <v>2040</v>
      </c>
      <c r="C4" s="6">
        <f>SUMIF(R0!$V$7:$AA$7,B4,R0!$V$17:$AA$17)</f>
        <v>17.178609999999999</v>
      </c>
      <c r="D4" s="43">
        <f>SUMIF(R0!$V$7:$AA$7,B4,R0!$V$21:$AA$21)</f>
        <v>0.96966048781639314</v>
      </c>
      <c r="E4" s="35">
        <f>SUMIF(R0!$V$7:$AA$7,B4,R0!$V$22:$AA$22)</f>
        <v>0.99933476497980267</v>
      </c>
      <c r="F4" s="47">
        <f t="shared" si="3"/>
        <v>1.0306027496595576</v>
      </c>
      <c r="G4" s="55"/>
      <c r="H4" s="4">
        <f>SUMIF(R0!$V$7:$AA$7,B4,R0!$V$19:$AA$19)</f>
        <v>0.91393118527122841</v>
      </c>
      <c r="I4" s="5">
        <f>SUMIF(R0!$V$7:$AA$7,B4,R0!$V$20:$AA$20)</f>
        <v>1</v>
      </c>
      <c r="J4" s="5">
        <f t="shared" si="4"/>
        <v>1.0941742837052102</v>
      </c>
      <c r="K4" s="55"/>
      <c r="L4" s="27">
        <f>SUMIF(R0!$V$7:$AA$7,B4,R0!$V$11:$AA$11)</f>
        <v>1.2781254891663381</v>
      </c>
      <c r="M4" s="24">
        <f>SUMIF(R0!$V$7:$AA$7,B4,R0!$V$12:$AA$12)</f>
        <v>6.5873060358525857</v>
      </c>
      <c r="N4" s="24">
        <f t="shared" si="0"/>
        <v>7.8654315250189235</v>
      </c>
      <c r="O4" s="55"/>
      <c r="P4" s="40">
        <f t="shared" si="1"/>
        <v>5.1538805005361246</v>
      </c>
      <c r="Q4" s="55"/>
      <c r="R4" s="27">
        <f>SUMIF(R0!$V$7:$AA$7,B4,R0!$V$15:$AA$15)</f>
        <v>199949.3642326369</v>
      </c>
      <c r="S4" s="55"/>
      <c r="T4" s="27">
        <f>SUMIF(R0!$V$7:$AA$7,B4,R0!$V$16:$AA$16)</f>
        <v>261889.04182939211</v>
      </c>
      <c r="U4" s="55"/>
      <c r="V4" s="24">
        <f t="shared" si="2"/>
        <v>1.3097768169179558</v>
      </c>
      <c r="W4" s="55"/>
      <c r="X4" s="27">
        <f>SUMIF(R0!$V$7:$AA$7,B4,R0!$V$27:$AA$27)</f>
        <v>150415.32831727981</v>
      </c>
      <c r="Y4" s="55"/>
      <c r="Z4" s="27">
        <f>SUMIF(R0!$V$7:$AA$7,B4,R0!$V$10:$AA$10)</f>
        <v>1183081.4651928041</v>
      </c>
      <c r="AA4" s="55"/>
      <c r="AB4" s="5"/>
      <c r="AC4" s="5"/>
      <c r="AD4" s="5"/>
    </row>
    <row r="5" spans="1:30" x14ac:dyDescent="0.25">
      <c r="A5" s="95"/>
      <c r="B5" s="31">
        <v>2060</v>
      </c>
      <c r="C5" s="6">
        <f>SUMIF(R0!$V$7:$AA$7,B5,R0!$V$17:$AA$17)</f>
        <v>17.178609999999999</v>
      </c>
      <c r="D5" s="43">
        <f>SUMIF(R0!$V$7:$AA$7,B5,R0!$V$21:$AA$21)</f>
        <v>0.96966048781639314</v>
      </c>
      <c r="E5" s="35">
        <f>SUMIF(R0!$V$7:$AA$7,B5,R0!$V$22:$AA$22)</f>
        <v>0.99933476497980267</v>
      </c>
      <c r="F5" s="47">
        <f t="shared" si="3"/>
        <v>1.0306027496595576</v>
      </c>
      <c r="G5" s="55"/>
      <c r="H5" s="4">
        <f>SUMIF(R0!$V$7:$AA$7,B5,R0!$V$19:$AA$19)</f>
        <v>0.91393118527122841</v>
      </c>
      <c r="I5" s="5">
        <f>SUMIF(R0!$V$7:$AA$7,B5,R0!$V$20:$AA$20)</f>
        <v>1</v>
      </c>
      <c r="J5" s="5">
        <f t="shared" si="4"/>
        <v>1.0941742837052102</v>
      </c>
      <c r="K5" s="55"/>
      <c r="L5" s="27">
        <f>SUMIF(R0!$V$7:$AA$7,B5,R0!$V$11:$AA$11)</f>
        <v>1.1944444247396919</v>
      </c>
      <c r="M5" s="24">
        <f>SUMIF(R0!$V$7:$AA$7,B5,R0!$V$12:$AA$12)</f>
        <v>11.42397665118577</v>
      </c>
      <c r="N5" s="24">
        <f t="shared" si="0"/>
        <v>12.618421075925461</v>
      </c>
      <c r="O5" s="55"/>
      <c r="P5" s="40">
        <f t="shared" si="1"/>
        <v>9.5642596797045822</v>
      </c>
      <c r="Q5" s="55"/>
      <c r="R5" s="27">
        <f>SUMIF(R0!$V$7:$AA$7,B5,R0!$V$15:$AA$15)</f>
        <v>308810.7223873203</v>
      </c>
      <c r="S5" s="55"/>
      <c r="T5" s="27">
        <f>SUMIF(R0!$V$7:$AA$7,B5,R0!$V$16:$AA$16)</f>
        <v>404473.12499859883</v>
      </c>
      <c r="U5" s="55"/>
      <c r="V5" s="24">
        <f t="shared" si="2"/>
        <v>1.3097768169179556</v>
      </c>
      <c r="W5" s="55"/>
      <c r="X5" s="27">
        <f>SUMIF(R0!$V$7:$AA$7,B5,R0!$V$27:$AA$27)</f>
        <v>236572.41854630769</v>
      </c>
      <c r="Y5" s="55"/>
      <c r="Z5" s="27">
        <f>SUMIF(R0!$V$7:$AA$7,B5,R0!$V$10:$AA$10)</f>
        <v>2985170.392167388</v>
      </c>
      <c r="AA5" s="55"/>
      <c r="AB5" s="5"/>
      <c r="AC5" s="5"/>
      <c r="AD5" s="5"/>
    </row>
    <row r="6" spans="1:30" x14ac:dyDescent="0.25">
      <c r="A6" s="95"/>
      <c r="B6" s="31">
        <v>2080</v>
      </c>
      <c r="C6" s="6">
        <f>SUMIF(R0!$V$7:$AA$7,B6,R0!$V$17:$AA$17)</f>
        <v>17.178609999999999</v>
      </c>
      <c r="D6" s="43">
        <f>SUMIF(R0!$V$7:$AA$7,B6,R0!$V$21:$AA$21)</f>
        <v>0.96966048781639314</v>
      </c>
      <c r="E6" s="35">
        <f>SUMIF(R0!$V$7:$AA$7,B6,R0!$V$22:$AA$22)</f>
        <v>0.99933476497980267</v>
      </c>
      <c r="F6" s="47">
        <f t="shared" si="3"/>
        <v>1.0306027496595576</v>
      </c>
      <c r="G6" s="55"/>
      <c r="H6" s="4">
        <f>SUMIF(R0!$V$7:$AA$7,B6,R0!$V$19:$AA$19)</f>
        <v>0.91393118527122841</v>
      </c>
      <c r="I6" s="5">
        <f>SUMIF(R0!$V$7:$AA$7,B6,R0!$V$20:$AA$20)</f>
        <v>1</v>
      </c>
      <c r="J6" s="5">
        <f t="shared" si="4"/>
        <v>1.0941742837052102</v>
      </c>
      <c r="K6" s="55"/>
      <c r="L6" s="27">
        <f>SUMIF(R0!$V$7:$AA$7,B6,R0!$V$11:$AA$11)</f>
        <v>1.0680026571689529</v>
      </c>
      <c r="M6" s="24">
        <f>SUMIF(R0!$V$7:$AA$7,B6,R0!$V$12:$AA$12)</f>
        <v>18.95573841387553</v>
      </c>
      <c r="N6" s="24">
        <f t="shared" si="0"/>
        <v>20.023741071044483</v>
      </c>
      <c r="O6" s="55"/>
      <c r="P6" s="40">
        <f t="shared" si="1"/>
        <v>17.748774580882735</v>
      </c>
      <c r="Q6" s="55"/>
      <c r="R6" s="27">
        <f>SUMIF(R0!$V$7:$AA$7,B6,R0!$V$15:$AA$15)</f>
        <v>430406.12872292643</v>
      </c>
      <c r="S6" s="55"/>
      <c r="T6" s="27">
        <f>SUMIF(R0!$V$7:$AA$7,B6,R0!$V$16:$AA$16)</f>
        <v>563735.96926069411</v>
      </c>
      <c r="U6" s="55"/>
      <c r="V6" s="24">
        <f t="shared" si="2"/>
        <v>1.3097768169179549</v>
      </c>
      <c r="W6" s="55"/>
      <c r="X6" s="27">
        <f>SUMIF(R0!$V$7:$AA$7,B6,R0!$V$27:$AA$27)</f>
        <v>333343.84568219649</v>
      </c>
      <c r="Y6" s="55"/>
      <c r="Z6" s="27">
        <f>SUMIF(R0!$V$7:$AA$7,B6,R0!$V$10:$AA$10)</f>
        <v>6674790.8535665106</v>
      </c>
      <c r="AA6" s="55"/>
      <c r="AB6" s="5"/>
      <c r="AC6" s="5"/>
      <c r="AD6" s="5"/>
    </row>
    <row r="7" spans="1:30" ht="15.75" thickBot="1" x14ac:dyDescent="0.3">
      <c r="A7" s="96"/>
      <c r="B7" s="32">
        <v>2100</v>
      </c>
      <c r="C7" s="9">
        <f>SUMIF(R0!$V$7:$AA$7,B7,R0!$V$17:$AA$17)</f>
        <v>17.178609999999999</v>
      </c>
      <c r="D7" s="44">
        <f>SUMIF(R0!$V$7:$AA$7,B7,R0!$V$21:$AA$21)</f>
        <v>0.96966048781639314</v>
      </c>
      <c r="E7" s="36">
        <f>SUMIF(R0!$V$7:$AA$7,B7,R0!$V$22:$AA$22)</f>
        <v>0.99933476497980267</v>
      </c>
      <c r="F7" s="48">
        <f t="shared" si="3"/>
        <v>1.0306027496595576</v>
      </c>
      <c r="G7" s="56"/>
      <c r="H7" s="7">
        <f>SUMIF(R0!$V$7:$AA$7,B7,R0!$V$19:$AA$19)</f>
        <v>0.91393118527122841</v>
      </c>
      <c r="I7" s="8">
        <f>SUMIF(R0!$V$7:$AA$7,B7,R0!$V$20:$AA$20)</f>
        <v>1</v>
      </c>
      <c r="J7" s="8">
        <f t="shared" si="4"/>
        <v>1.0941742837052102</v>
      </c>
      <c r="K7" s="56"/>
      <c r="L7" s="28">
        <f>SUMIF(R0!$V$7:$AA$7,B7,R0!$V$11:$AA$11)</f>
        <v>0.93045337018780971</v>
      </c>
      <c r="M7" s="25">
        <f>SUMIF(R0!$V$7:$AA$7,B7,R0!$V$12:$AA$12)</f>
        <v>30.64643780314308</v>
      </c>
      <c r="N7" s="25">
        <f t="shared" si="0"/>
        <v>31.576891173330889</v>
      </c>
      <c r="O7" s="56"/>
      <c r="P7" s="41">
        <f t="shared" si="1"/>
        <v>32.937102261188187</v>
      </c>
      <c r="Q7" s="56"/>
      <c r="R7" s="28">
        <f>SUMIF(R0!$V$7:$AA$7,B7,R0!$V$15:$AA$15)</f>
        <v>565256.78132613655</v>
      </c>
      <c r="S7" s="56"/>
      <c r="T7" s="28">
        <f>SUMIF(R0!$V$7:$AA$7,B7,R0!$V$16:$AA$16)</f>
        <v>740360.22778663575</v>
      </c>
      <c r="U7" s="56"/>
      <c r="V7" s="25">
        <f t="shared" si="2"/>
        <v>1.3097768169179551</v>
      </c>
      <c r="W7" s="56"/>
      <c r="X7" s="28">
        <f>SUMIF(R0!$V$7:$AA$7,B7,R0!$V$27:$AA$27)</f>
        <v>440530.34707703523</v>
      </c>
      <c r="Y7" s="56"/>
      <c r="Z7" s="28">
        <f>SUMIF(R0!$V$7:$AA$7,B7,R0!$V$10:$AA$10)</f>
        <v>13910578.828201231</v>
      </c>
      <c r="AA7" s="56"/>
      <c r="AB7" s="5"/>
      <c r="AC7" s="5"/>
      <c r="AD7" s="5"/>
    </row>
    <row r="8" spans="1:30" x14ac:dyDescent="0.25">
      <c r="A8" s="94" t="str">
        <f>R0!B1</f>
        <v>Western Cape</v>
      </c>
      <c r="B8" s="21">
        <v>2000</v>
      </c>
      <c r="C8" s="3">
        <f>SUMIF(R0!$V$7:$AA$7,B8,R0!$V$42:$AA$42)</f>
        <v>17.178609999999999</v>
      </c>
      <c r="D8" s="42">
        <f>SUMIF(R0!$V$7:$AA$7,B8,R0!$V$46:$AA$46)</f>
        <v>1</v>
      </c>
      <c r="E8" s="34">
        <f>SUMIF(R0!$V$7:$AA$7,B8,R0!$V$47:$AA$47)</f>
        <v>1</v>
      </c>
      <c r="F8" s="49">
        <f t="shared" si="3"/>
        <v>1</v>
      </c>
      <c r="G8" s="57">
        <f t="shared" ref="G8:G13" si="5">(F8-$F2)/$F2</f>
        <v>0</v>
      </c>
      <c r="H8" s="1">
        <f>SUMIF(R0!$V$7:$AA$7,B8,R0!$V$44:$AA$44)</f>
        <v>0.91393118527122841</v>
      </c>
      <c r="I8" s="2">
        <f>SUMIF(R0!$V$7:$AA$7,B8,R0!$V$45:$AA$45)</f>
        <v>1</v>
      </c>
      <c r="J8" s="2">
        <f t="shared" si="4"/>
        <v>1.0941742837052102</v>
      </c>
      <c r="K8" s="57">
        <f t="shared" ref="K8:K13" si="6">(J8-$J2)/$J2</f>
        <v>0</v>
      </c>
      <c r="L8" s="26">
        <f>SUMIF(R0!$V$7:$AA$7,B8,R0!$V$36:$AA$36)</f>
        <v>1.1477007267974999</v>
      </c>
      <c r="M8" s="23">
        <f>SUMIF(R0!$V$7:$AA$7,B8,R0!$V$37:$AA$37)</f>
        <v>1.7176274507745</v>
      </c>
      <c r="N8" s="23">
        <f t="shared" si="0"/>
        <v>2.8653281775719996</v>
      </c>
      <c r="O8" s="57"/>
      <c r="P8" s="38">
        <f t="shared" si="1"/>
        <v>1.4965813044026746</v>
      </c>
      <c r="Q8" s="57">
        <f t="shared" ref="Q8:Q13" si="7">(P8-$P2)/$P2</f>
        <v>0</v>
      </c>
      <c r="R8" s="26">
        <f>SUMIF(R0!$V$7:$AA$7,B8,R0!$V$40:$AA$40)</f>
        <v>45230.686034216073</v>
      </c>
      <c r="S8" s="57">
        <f t="shared" ref="S8:S13" si="8">(R8-$R2)/$R2</f>
        <v>0</v>
      </c>
      <c r="T8" s="26">
        <f>SUMIF(R0!$V$7:$AA$7,B8,R0!$V$41:$AA$41)</f>
        <v>59242.103980910957</v>
      </c>
      <c r="U8" s="57">
        <f t="shared" ref="U8:U13" si="9">(T8-$T2)/$T2</f>
        <v>0</v>
      </c>
      <c r="V8" s="23">
        <f t="shared" si="2"/>
        <v>1.3097768169179556</v>
      </c>
      <c r="W8" s="57">
        <f t="shared" ref="W8:W13" si="10">(V8-$V2)/$V2</f>
        <v>0</v>
      </c>
      <c r="X8" s="26">
        <f>SUMIF(R0!$V$7:$AA$7,B8,R0!$V$52:$AA$52)</f>
        <v>18427.262540756401</v>
      </c>
      <c r="Y8" s="57">
        <f t="shared" ref="Y8:Y13" si="11">(X8-$X2)/$X2</f>
        <v>0</v>
      </c>
      <c r="Z8" s="26">
        <f>SUMIF(R0!$V$7:$AA$7,B8,R0!$V$35:$AA$35)</f>
        <v>92159.678226000004</v>
      </c>
      <c r="AA8" s="57">
        <f t="shared" ref="AA8:AA13" si="12">(Z8-$Z2)/$Z2</f>
        <v>0</v>
      </c>
      <c r="AB8" s="5"/>
      <c r="AC8" s="5"/>
      <c r="AD8" s="5"/>
    </row>
    <row r="9" spans="1:30" x14ac:dyDescent="0.25">
      <c r="A9" s="95"/>
      <c r="B9" s="31">
        <v>2020</v>
      </c>
      <c r="C9" s="14">
        <f>SUMIF(R0!$V$7:$AA$7,B9,R0!$V$42:$AA$42)</f>
        <v>17.660730000000001</v>
      </c>
      <c r="D9" s="43">
        <f>SUMIF(R0!$V$7:$AA$7,B9,R0!$V$46:$AA$46)</f>
        <v>0.9587427485556127</v>
      </c>
      <c r="E9" s="35">
        <f>SUMIF(R0!$V$7:$AA$7,B9,R0!$V$47:$AA$47)</f>
        <v>0.99718729527581951</v>
      </c>
      <c r="F9" s="50">
        <f t="shared" si="3"/>
        <v>1.0400989178568758</v>
      </c>
      <c r="G9" s="58">
        <f t="shared" si="5"/>
        <v>9.2141886875958222E-3</v>
      </c>
      <c r="H9" s="4">
        <f>SUMIF(R0!$V$7:$AA$7,B9,R0!$V$44:$AA$44)</f>
        <v>0.93239381990594794</v>
      </c>
      <c r="I9" s="5">
        <f>SUMIF(R0!$V$7:$AA$7,B9,R0!$V$45:$AA$45)</f>
        <v>1</v>
      </c>
      <c r="J9" s="13">
        <f t="shared" si="4"/>
        <v>1.0725081812542168</v>
      </c>
      <c r="K9" s="58">
        <f t="shared" si="6"/>
        <v>-1.9801326693244289E-2</v>
      </c>
      <c r="L9" s="27">
        <f>SUMIF(R0!$V$7:$AA$7,B9,R0!$V$36:$AA$36)</f>
        <v>1.271846270549118</v>
      </c>
      <c r="M9" s="24">
        <f>SUMIF(R0!$V$7:$AA$7,B9,R0!$V$37:$AA$37)</f>
        <v>3.541828974674043</v>
      </c>
      <c r="N9" s="24">
        <f t="shared" si="0"/>
        <v>4.8136752452231608</v>
      </c>
      <c r="O9" s="58"/>
      <c r="P9" s="39">
        <f t="shared" si="1"/>
        <v>2.7847933014301036</v>
      </c>
      <c r="Q9" s="58">
        <f t="shared" si="7"/>
        <v>2.7106679779373985E-3</v>
      </c>
      <c r="R9" s="27">
        <f>SUMIF(R0!$V$7:$AA$7,B9,R0!$V$40:$AA$40)</f>
        <v>109796.639593271</v>
      </c>
      <c r="S9" s="58">
        <f t="shared" si="8"/>
        <v>3.1817275981356791E-3</v>
      </c>
      <c r="T9" s="27">
        <f>SUMIF(R0!$V$7:$AA$7,B9,R0!$V$41:$AA$41)</f>
        <v>142496.10709672529</v>
      </c>
      <c r="U9" s="58">
        <f t="shared" si="9"/>
        <v>-5.977384342272826E-3</v>
      </c>
      <c r="V9" s="24">
        <f t="shared" si="2"/>
        <v>1.2978184726289046</v>
      </c>
      <c r="W9" s="58">
        <f t="shared" si="10"/>
        <v>-9.1300625683621711E-3</v>
      </c>
      <c r="X9" s="27">
        <f>SUMIF(R0!$V$7:$AA$7,B9,R0!$V$52:$AA$52)</f>
        <v>79418.782421227661</v>
      </c>
      <c r="Y9" s="58">
        <f t="shared" si="11"/>
        <v>-7.9680895819449482E-3</v>
      </c>
      <c r="Z9" s="27">
        <f>SUMIF(R0!$V$7:$AA$7,B9,R0!$V$35:$AA$35)</f>
        <v>382296.2269468279</v>
      </c>
      <c r="AA9" s="58">
        <f t="shared" si="12"/>
        <v>-8.1134387726836277E-3</v>
      </c>
      <c r="AB9" s="5"/>
      <c r="AC9" s="5"/>
      <c r="AD9" s="5"/>
    </row>
    <row r="10" spans="1:30" x14ac:dyDescent="0.25">
      <c r="A10" s="95"/>
      <c r="B10" s="31">
        <v>2040</v>
      </c>
      <c r="C10" s="6">
        <f>SUMIF(R0!$V$7:$AA$7,B10,R0!$V$42:$AA$42)</f>
        <v>17.866330000000001</v>
      </c>
      <c r="D10" s="43">
        <f>SUMIF(R0!$V$7:$AA$7,B10,R0!$V$46:$AA$46)</f>
        <v>0.95269766517752652</v>
      </c>
      <c r="E10" s="35">
        <f>SUMIF(R0!$V$7:$AA$7,B10,R0!$V$47:$AA$47)</f>
        <v>0.99556088418081246</v>
      </c>
      <c r="F10" s="50">
        <f t="shared" si="3"/>
        <v>1.0449914181277002</v>
      </c>
      <c r="G10" s="58">
        <f t="shared" si="5"/>
        <v>1.3961410905313169E-2</v>
      </c>
      <c r="H10" s="4">
        <f>SUMIF(R0!$V$7:$AA$7,B10,R0!$V$44:$AA$44)</f>
        <v>0.94176453358424828</v>
      </c>
      <c r="I10" s="5">
        <f>SUMIF(R0!$V$7:$AA$7,B10,R0!$V$45:$AA$45)</f>
        <v>1</v>
      </c>
      <c r="J10" s="5">
        <f t="shared" si="4"/>
        <v>1.0618365465453601</v>
      </c>
      <c r="K10" s="58">
        <f t="shared" si="6"/>
        <v>-2.9554466451491256E-2</v>
      </c>
      <c r="L10" s="27">
        <f>SUMIF(R0!$V$7:$AA$7,B10,R0!$V$36:$AA$36)</f>
        <v>1.2734379394121009</v>
      </c>
      <c r="M10" s="24">
        <f>SUMIF(R0!$V$7:$AA$7,B10,R0!$V$37:$AA$37)</f>
        <v>6.5896747756317531</v>
      </c>
      <c r="N10" s="24">
        <f t="shared" si="0"/>
        <v>7.8631127150438545</v>
      </c>
      <c r="O10" s="58"/>
      <c r="P10" s="40">
        <f t="shared" si="1"/>
        <v>5.1747121486532448</v>
      </c>
      <c r="Q10" s="58">
        <f t="shared" si="7"/>
        <v>4.0419346383668104E-3</v>
      </c>
      <c r="R10" s="27">
        <f>SUMIF(R0!$V$7:$AA$7,B10,R0!$V$40:$AA$40)</f>
        <v>201275.52626769969</v>
      </c>
      <c r="S10" s="58">
        <f t="shared" si="8"/>
        <v>6.6324893812607019E-3</v>
      </c>
      <c r="T10" s="27">
        <f>SUMIF(R0!$V$7:$AA$7,B10,R0!$V$41:$AA$41)</f>
        <v>259996.10565358319</v>
      </c>
      <c r="U10" s="58">
        <f t="shared" si="9"/>
        <v>-7.2280083297340744E-3</v>
      </c>
      <c r="V10" s="24">
        <f t="shared" si="2"/>
        <v>1.291742272271017</v>
      </c>
      <c r="W10" s="58">
        <f t="shared" si="10"/>
        <v>-1.3769173811898709E-2</v>
      </c>
      <c r="X10" s="27">
        <f>SUMIF(R0!$V$7:$AA$7,B10,R0!$V$52:$AA$52)</f>
        <v>148786.27067469209</v>
      </c>
      <c r="Y10" s="58">
        <f t="shared" si="11"/>
        <v>-1.083039648161028E-2</v>
      </c>
      <c r="Z10" s="27">
        <f>SUMIF(R0!$V$7:$AA$7,B10,R0!$V$35:$AA$35)</f>
        <v>1169923.2167661281</v>
      </c>
      <c r="AA10" s="58">
        <f t="shared" si="12"/>
        <v>-1.1122013837425523E-2</v>
      </c>
      <c r="AB10" s="5"/>
      <c r="AC10" s="5"/>
      <c r="AD10" s="5"/>
    </row>
    <row r="11" spans="1:30" x14ac:dyDescent="0.25">
      <c r="A11" s="95"/>
      <c r="B11" s="31">
        <v>2060</v>
      </c>
      <c r="C11" s="6">
        <f>SUMIF(R0!$V$7:$AA$7,B11,R0!$V$42:$AA$42)</f>
        <v>18.27337</v>
      </c>
      <c r="D11" s="43">
        <f>SUMIF(R0!$V$7:$AA$7,B11,R0!$V$46:$AA$46)</f>
        <v>0.94627095271536965</v>
      </c>
      <c r="E11" s="35">
        <f>SUMIF(R0!$V$7:$AA$7,B11,R0!$V$47:$AA$47)</f>
        <v>0.99356517912022047</v>
      </c>
      <c r="F11" s="50">
        <f t="shared" si="3"/>
        <v>1.0499795817140301</v>
      </c>
      <c r="G11" s="58">
        <f t="shared" si="5"/>
        <v>1.8801455809111033E-2</v>
      </c>
      <c r="H11" s="4">
        <f>SUMIF(R0!$V$7:$AA$7,B11,R0!$V$44:$AA$44)</f>
        <v>0.95122942450071424</v>
      </c>
      <c r="I11" s="5">
        <f>SUMIF(R0!$V$7:$AA$7,B11,R0!$V$45:$AA$45)</f>
        <v>1</v>
      </c>
      <c r="J11" s="5">
        <f t="shared" si="4"/>
        <v>1.0512710963760239</v>
      </c>
      <c r="K11" s="58">
        <f t="shared" si="6"/>
        <v>-3.9210560847676781E-2</v>
      </c>
      <c r="L11" s="27">
        <f>SUMIF(R0!$V$7:$AA$7,B11,R0!$V$36:$AA$36)</f>
        <v>1.188184129456012</v>
      </c>
      <c r="M11" s="24">
        <f>SUMIF(R0!$V$7:$AA$7,B11,R0!$V$37:$AA$37)</f>
        <v>11.424985616208559</v>
      </c>
      <c r="N11" s="24">
        <f t="shared" si="0"/>
        <v>12.613169745664571</v>
      </c>
      <c r="O11" s="58"/>
      <c r="P11" s="40">
        <f t="shared" si="1"/>
        <v>9.6155009421303035</v>
      </c>
      <c r="Q11" s="58">
        <f t="shared" si="7"/>
        <v>5.3575774959828326E-3</v>
      </c>
      <c r="R11" s="27">
        <f>SUMIF(R0!$V$7:$AA$7,B11,R0!$V$40:$AA$40)</f>
        <v>311966.29484767321</v>
      </c>
      <c r="S11" s="58">
        <f t="shared" si="8"/>
        <v>1.0218467920926297E-2</v>
      </c>
      <c r="T11" s="27">
        <f>SUMIF(R0!$V$7:$AA$7,B11,R0!$V$41:$AA$41)</f>
        <v>401065.60343179642</v>
      </c>
      <c r="U11" s="58">
        <f t="shared" si="9"/>
        <v>-8.4245932701071478E-3</v>
      </c>
      <c r="V11" s="24">
        <f t="shared" si="2"/>
        <v>1.2856055607790213</v>
      </c>
      <c r="W11" s="58">
        <f t="shared" si="10"/>
        <v>-1.8454484631825877E-2</v>
      </c>
      <c r="X11" s="27">
        <f>SUMIF(R0!$V$7:$AA$7,B11,R0!$V$52:$AA$52)</f>
        <v>233253.3797241289</v>
      </c>
      <c r="Y11" s="58">
        <f t="shared" si="11"/>
        <v>-1.4029694765660539E-2</v>
      </c>
      <c r="Z11" s="27">
        <f>SUMIF(R0!$V$7:$AA$7,B11,R0!$V$35:$AA$35)</f>
        <v>2942064.4722103919</v>
      </c>
      <c r="AA11" s="58">
        <f t="shared" si="12"/>
        <v>-1.4440019929883795E-2</v>
      </c>
      <c r="AB11" s="5"/>
      <c r="AC11" s="5"/>
      <c r="AD11" s="5"/>
    </row>
    <row r="12" spans="1:30" x14ac:dyDescent="0.25">
      <c r="A12" s="95"/>
      <c r="B12" s="31">
        <v>2080</v>
      </c>
      <c r="C12" s="6">
        <f>SUMIF(R0!$V$7:$AA$7,B12,R0!$V$42:$AA$42)</f>
        <v>18.78472</v>
      </c>
      <c r="D12" s="43">
        <f>SUMIF(R0!$V$7:$AA$7,B12,R0!$V$46:$AA$46)</f>
        <v>0.92479939883583451</v>
      </c>
      <c r="E12" s="35">
        <f>SUMIF(R0!$V$7:$AA$7,B12,R0!$V$47:$AA$47)</f>
        <v>0.98540782953795247</v>
      </c>
      <c r="F12" s="50">
        <f t="shared" si="3"/>
        <v>1.0655368405066155</v>
      </c>
      <c r="G12" s="58">
        <f t="shared" si="5"/>
        <v>3.3896756881929328E-2</v>
      </c>
      <c r="H12" s="4">
        <f>SUMIF(R0!$V$7:$AA$7,B12,R0!$V$44:$AA$44)</f>
        <v>0.97044553354850793</v>
      </c>
      <c r="I12" s="5">
        <f>SUMIF(R0!$V$7:$AA$7,B12,R0!$V$45:$AA$45)</f>
        <v>1</v>
      </c>
      <c r="J12" s="5">
        <f t="shared" si="4"/>
        <v>1.0304545339535172</v>
      </c>
      <c r="K12" s="58">
        <f t="shared" si="6"/>
        <v>-5.8235466415750871E-2</v>
      </c>
      <c r="L12" s="27">
        <f>SUMIF(R0!$V$7:$AA$7,B12,R0!$V$36:$AA$36)</f>
        <v>1.060747609660426</v>
      </c>
      <c r="M12" s="24">
        <f>SUMIF(R0!$V$7:$AA$7,B12,R0!$V$37:$AA$37)</f>
        <v>18.95289512284203</v>
      </c>
      <c r="N12" s="24">
        <f t="shared" si="0"/>
        <v>20.013642732502454</v>
      </c>
      <c r="O12" s="58"/>
      <c r="P12" s="40">
        <f t="shared" si="1"/>
        <v>17.8674879398591</v>
      </c>
      <c r="Q12" s="58">
        <f t="shared" si="7"/>
        <v>6.6885383233291646E-3</v>
      </c>
      <c r="R12" s="27">
        <f>SUMIF(R0!$V$7:$AA$7,B12,R0!$V$40:$AA$40)</f>
        <v>437619.00388600491</v>
      </c>
      <c r="S12" s="58">
        <f t="shared" si="8"/>
        <v>1.6758300316215443E-2</v>
      </c>
      <c r="T12" s="27">
        <f>SUMIF(R0!$V$7:$AA$7,B12,R0!$V$41:$AA$41)</f>
        <v>554391.16344773979</v>
      </c>
      <c r="U12" s="58">
        <f t="shared" si="9"/>
        <v>-1.6576564779447144E-2</v>
      </c>
      <c r="V12" s="24">
        <f t="shared" si="2"/>
        <v>1.2668352117362636</v>
      </c>
      <c r="W12" s="58">
        <f t="shared" si="10"/>
        <v>-3.2785436898125526E-2</v>
      </c>
      <c r="X12" s="27">
        <f>SUMIF(R0!$V$7:$AA$7,B12,R0!$V$52:$AA$52)</f>
        <v>323278.11873988959</v>
      </c>
      <c r="Y12" s="58">
        <f t="shared" si="11"/>
        <v>-3.0196228527054839E-2</v>
      </c>
      <c r="Z12" s="27">
        <f>SUMIF(R0!$V$7:$AA$7,B12,R0!$V$35:$AA$35)</f>
        <v>6469972.7716956586</v>
      </c>
      <c r="AA12" s="58">
        <f t="shared" si="12"/>
        <v>-3.0685318291495609E-2</v>
      </c>
      <c r="AB12" s="5"/>
      <c r="AC12" s="5"/>
      <c r="AD12" s="5"/>
    </row>
    <row r="13" spans="1:30" ht="15.75" thickBot="1" x14ac:dyDescent="0.3">
      <c r="A13" s="96"/>
      <c r="B13" s="32">
        <v>2100</v>
      </c>
      <c r="C13" s="9">
        <f>SUMIF(R0!$V$7:$AA$7,B13,R0!$V$42:$AA$42)</f>
        <v>19.125910000000001</v>
      </c>
      <c r="D13" s="44">
        <f>SUMIF(R0!$V$7:$AA$7,B13,R0!$V$46:$AA$46)</f>
        <v>0.91693862656807257</v>
      </c>
      <c r="E13" s="36">
        <f>SUMIF(R0!$V$7:$AA$7,B13,R0!$V$47:$AA$47)</f>
        <v>0.98197288977586894</v>
      </c>
      <c r="F13" s="51">
        <f t="shared" si="3"/>
        <v>1.0709254265481294</v>
      </c>
      <c r="G13" s="59">
        <f t="shared" si="5"/>
        <v>3.9125334084245122E-2</v>
      </c>
      <c r="H13" s="7">
        <f>SUMIF(R0!$V$7:$AA$7,B13,R0!$V$44:$AA$44)</f>
        <v>0.98019867330675492</v>
      </c>
      <c r="I13" s="8">
        <f>SUMIF(R0!$V$7:$AA$7,B13,R0!$V$45:$AA$45)</f>
        <v>1</v>
      </c>
      <c r="J13" s="8">
        <f t="shared" si="4"/>
        <v>1.0202013400267562</v>
      </c>
      <c r="K13" s="59">
        <f t="shared" si="6"/>
        <v>-6.7606180094051255E-2</v>
      </c>
      <c r="L13" s="28">
        <f>SUMIF(R0!$V$7:$AA$7,B13,R0!$V$36:$AA$36)</f>
        <v>0.9228212657156637</v>
      </c>
      <c r="M13" s="25">
        <f>SUMIF(R0!$V$7:$AA$7,B13,R0!$V$37:$AA$37)</f>
        <v>30.636288618522379</v>
      </c>
      <c r="N13" s="25">
        <f t="shared" si="0"/>
        <v>31.559109884238044</v>
      </c>
      <c r="O13" s="59"/>
      <c r="P13" s="41">
        <f t="shared" si="1"/>
        <v>33.198507399765447</v>
      </c>
      <c r="Q13" s="59">
        <f t="shared" si="7"/>
        <v>7.936494731817666E-3</v>
      </c>
      <c r="R13" s="33">
        <f>SUMIF(R0!$V$7:$AA$7,B13,R0!$V$40:$AA$40)</f>
        <v>576189.36495005351</v>
      </c>
      <c r="S13" s="59">
        <f t="shared" si="8"/>
        <v>1.9340915465477945E-2</v>
      </c>
      <c r="T13" s="28">
        <f>SUMIF(R0!$V$7:$AA$7,B13,R0!$V$41:$AA$41)</f>
        <v>726264.14505747741</v>
      </c>
      <c r="U13" s="59">
        <f t="shared" si="9"/>
        <v>-1.9039492128446273E-2</v>
      </c>
      <c r="V13" s="25">
        <f t="shared" si="2"/>
        <v>1.260460864494493</v>
      </c>
      <c r="W13" s="59">
        <f t="shared" si="10"/>
        <v>-3.7652179964146722E-2</v>
      </c>
      <c r="X13" s="28">
        <f>SUMIF(R0!$V$7:$AA$7,B13,R0!$V$52:$AA$52)</f>
        <v>424660.04735831061</v>
      </c>
      <c r="Y13" s="59">
        <f t="shared" si="11"/>
        <v>-3.6025440299461128E-2</v>
      </c>
      <c r="Z13" s="28">
        <f>SUMIF(R0!$V$7:$AA$7,B13,R0!$V$35:$AA$35)</f>
        <v>13401893.098026659</v>
      </c>
      <c r="AA13" s="59">
        <f t="shared" si="12"/>
        <v>-3.6568264804574577E-2</v>
      </c>
      <c r="AB13" s="5"/>
      <c r="AC13" s="5"/>
      <c r="AD13" s="5"/>
    </row>
    <row r="14" spans="1:30" ht="15" customHeight="1" x14ac:dyDescent="0.25">
      <c r="A14" s="100" t="s">
        <v>6</v>
      </c>
      <c r="B14" s="21">
        <v>2000</v>
      </c>
      <c r="C14" s="3">
        <f>SUMIF('R1'!$V$7:$AA$7,B14,'R1'!$V$17:$AA$17)</f>
        <v>16.550899999999999</v>
      </c>
      <c r="D14" s="42">
        <f>SUMIF('R1'!$V$7:$AA$7,B14,'R1'!$V$21:$AA$21)</f>
        <v>1</v>
      </c>
      <c r="E14" s="34">
        <f>SUMIF('R1'!$V$7:$AA$7,B14,'R1'!$V$22:$AA$22)</f>
        <v>1</v>
      </c>
      <c r="F14" s="45">
        <f>E14/D14</f>
        <v>1</v>
      </c>
      <c r="G14" s="53"/>
      <c r="H14" s="1">
        <f>SUMIF('R1'!$V$7:$AA$7,B14,'R1'!$V$19:$AA$19)</f>
        <v>0.88692043671715748</v>
      </c>
      <c r="I14" s="2">
        <f>SUMIF('R1'!$V$7:$AA$7,B14,'R1'!$V$20:$AA$20)</f>
        <v>1</v>
      </c>
      <c r="J14" s="2">
        <f>I14/H14</f>
        <v>1.1274968515793757</v>
      </c>
      <c r="K14" s="53"/>
      <c r="L14" s="26">
        <f>SUMIF('R1'!$V$7:$AA$7,B14,'R1'!$V$11:$AA$11)</f>
        <v>1.8708231251865</v>
      </c>
      <c r="M14" s="24">
        <f>SUMIF('R1'!$V$7:$AA$7,B14,'R1'!$V$12:$AA$12)</f>
        <v>2.7998389129982999</v>
      </c>
      <c r="N14" s="23">
        <f t="shared" si="0"/>
        <v>4.6706620381847994</v>
      </c>
      <c r="O14" s="53"/>
      <c r="P14" s="38">
        <f t="shared" si="1"/>
        <v>1.4965813044026743</v>
      </c>
      <c r="Q14" s="53"/>
      <c r="R14" s="26">
        <f>SUMIF('R1'!$V$7:$AA$7,B14,'R1'!$V$15:$AA$15)</f>
        <v>44822.290798478491</v>
      </c>
      <c r="S14" s="53"/>
      <c r="T14" s="26">
        <f>SUMIF('R1'!$V$7:$AA$7,B14,'R1'!$V$16:$AA$16)</f>
        <v>59488.971502423847</v>
      </c>
      <c r="U14" s="53"/>
      <c r="V14" s="23">
        <f t="shared" si="2"/>
        <v>1.3272184540921148</v>
      </c>
      <c r="W14" s="53"/>
      <c r="X14" s="26">
        <f>SUMIF('R1'!$V$7:$AA$7,B14,'R1'!$V$27:$AA$27)</f>
        <v>18427.262540756401</v>
      </c>
      <c r="Y14" s="53"/>
      <c r="Z14" s="26">
        <f>SUMIF('R1'!$V$7:$AA$7,B14,'R1'!$V$10:$AA$10)</f>
        <v>150225.97198840001</v>
      </c>
      <c r="AA14" s="53"/>
    </row>
    <row r="15" spans="1:30" x14ac:dyDescent="0.25">
      <c r="A15" s="101"/>
      <c r="B15" s="31">
        <v>2020</v>
      </c>
      <c r="C15" s="14">
        <f>SUMIF('R1'!$V$7:$AA$7,B15,'R1'!$V$17:$AA$17)</f>
        <v>16.550899999999999</v>
      </c>
      <c r="D15" s="43">
        <f>SUMIF('R1'!$V$7:$AA$7,B15,'R1'!$V$21:$AA$21)</f>
        <v>0.98300570279749855</v>
      </c>
      <c r="E15" s="35">
        <f>SUMIF('R1'!$V$7:$AA$7,B15,'R1'!$V$22:$AA$22)</f>
        <v>0.99977488244563673</v>
      </c>
      <c r="F15" s="46">
        <f t="shared" ref="F15:F25" si="13">E15/D15</f>
        <v>1.0170590868398988</v>
      </c>
      <c r="G15" s="54"/>
      <c r="H15" s="4">
        <f>SUMIF('R1'!$V$7:$AA$7,B15,'R1'!$V$19:$AA$19)</f>
        <v>0.88692043671715748</v>
      </c>
      <c r="I15" s="5">
        <f>SUMIF('R1'!$V$7:$AA$7,B15,'R1'!$V$20:$AA$20)</f>
        <v>1</v>
      </c>
      <c r="J15" s="5">
        <f t="shared" ref="J15:J25" si="14">I15/H15</f>
        <v>1.1274968515793757</v>
      </c>
      <c r="K15" s="55"/>
      <c r="L15" s="27">
        <f>SUMIF('R1'!$V$7:$AA$7,B15,'R1'!$V$11:$AA$11)</f>
        <v>2.077624390008967</v>
      </c>
      <c r="M15" s="24">
        <f>SUMIF('R1'!$V$7:$AA$7,B15,'R1'!$V$12:$AA$12)</f>
        <v>5.7701136219606672</v>
      </c>
      <c r="N15" s="24">
        <f t="shared" si="0"/>
        <v>7.8477380119696338</v>
      </c>
      <c r="O15" s="55"/>
      <c r="P15" s="39">
        <f t="shared" si="1"/>
        <v>2.7772650579712166</v>
      </c>
      <c r="Q15" s="55"/>
      <c r="R15" s="27">
        <f>SUMIF('R1'!$V$7:$AA$7,B15,'R1'!$V$15:$AA$15)</f>
        <v>108984.62419619771</v>
      </c>
      <c r="S15" s="55"/>
      <c r="T15" s="27">
        <f>SUMIF('R1'!$V$7:$AA$7,B15,'R1'!$V$16:$AA$16)</f>
        <v>144646.4044454876</v>
      </c>
      <c r="U15" s="55"/>
      <c r="V15" s="24">
        <f t="shared" si="2"/>
        <v>1.3272184540921146</v>
      </c>
      <c r="W15" s="55"/>
      <c r="X15" s="27">
        <f>SUMIF('R1'!$V$7:$AA$7,B15,'R1'!$V$27:$AA$27)</f>
        <v>80814.579265369073</v>
      </c>
      <c r="Y15" s="55"/>
      <c r="Z15" s="27">
        <f>SUMIF('R1'!$V$7:$AA$7,B15,'R1'!$V$10:$AA$10)</f>
        <v>634211.64562216983</v>
      </c>
      <c r="AA15" s="55"/>
    </row>
    <row r="16" spans="1:30" x14ac:dyDescent="0.25">
      <c r="A16" s="101"/>
      <c r="B16" s="31">
        <v>2040</v>
      </c>
      <c r="C16" s="6">
        <f>SUMIF('R1'!$V$7:$AA$7,B16,'R1'!$V$17:$AA$17)</f>
        <v>16.550899999999999</v>
      </c>
      <c r="D16" s="43">
        <f>SUMIF('R1'!$V$7:$AA$7,B16,'R1'!$V$21:$AA$21)</f>
        <v>0.98300570279749855</v>
      </c>
      <c r="E16" s="35">
        <f>SUMIF('R1'!$V$7:$AA$7,B16,'R1'!$V$22:$AA$22)</f>
        <v>0.99977488244563673</v>
      </c>
      <c r="F16" s="47">
        <f t="shared" si="13"/>
        <v>1.0170590868398988</v>
      </c>
      <c r="G16" s="55"/>
      <c r="H16" s="4">
        <f>SUMIF('R1'!$V$7:$AA$7,B16,'R1'!$V$19:$AA$19)</f>
        <v>0.88692043671715748</v>
      </c>
      <c r="I16" s="5">
        <f>SUMIF('R1'!$V$7:$AA$7,B16,'R1'!$V$20:$AA$20)</f>
        <v>1</v>
      </c>
      <c r="J16" s="5">
        <f t="shared" si="14"/>
        <v>1.1274968515793757</v>
      </c>
      <c r="K16" s="55"/>
      <c r="L16" s="27">
        <f>SUMIF('R1'!$V$7:$AA$7,B16,'R1'!$V$11:$AA$11)</f>
        <v>2.0834235495300728</v>
      </c>
      <c r="M16" s="24">
        <f>SUMIF('R1'!$V$7:$AA$7,B16,'R1'!$V$12:$AA$12)</f>
        <v>10.737716006280801</v>
      </c>
      <c r="N16" s="24">
        <f t="shared" si="0"/>
        <v>12.821139555810873</v>
      </c>
      <c r="O16" s="55"/>
      <c r="P16" s="40">
        <f t="shared" si="1"/>
        <v>5.1538805005361246</v>
      </c>
      <c r="Q16" s="55"/>
      <c r="R16" s="27">
        <f>SUMIF('R1'!$V$7:$AA$7,B16,'R1'!$V$15:$AA$15)</f>
        <v>198380.9085707881</v>
      </c>
      <c r="S16" s="55"/>
      <c r="T16" s="27">
        <f>SUMIF('R1'!$V$7:$AA$7,B16,'R1'!$V$16:$AA$16)</f>
        <v>263294.8027947105</v>
      </c>
      <c r="U16" s="55"/>
      <c r="V16" s="24">
        <f t="shared" si="2"/>
        <v>1.3272184540921146</v>
      </c>
      <c r="W16" s="55"/>
      <c r="X16" s="27">
        <f>SUMIF('R1'!$V$7:$AA$7,B16,'R1'!$V$27:$AA$27)</f>
        <v>151289.3237436155</v>
      </c>
      <c r="Y16" s="55"/>
      <c r="Z16" s="27">
        <f>SUMIF('R1'!$V$7:$AA$7,B16,'R1'!$V$10:$AA$10)</f>
        <v>1939701.533021146</v>
      </c>
      <c r="AA16" s="55"/>
    </row>
    <row r="17" spans="1:27" x14ac:dyDescent="0.25">
      <c r="A17" s="101"/>
      <c r="B17" s="31">
        <v>2060</v>
      </c>
      <c r="C17" s="6">
        <f>SUMIF('R1'!$V$7:$AA$7,B17,'R1'!$V$17:$AA$17)</f>
        <v>16.550899999999999</v>
      </c>
      <c r="D17" s="43">
        <f>SUMIF('R1'!$V$7:$AA$7,B17,'R1'!$V$21:$AA$21)</f>
        <v>0.98300570279749855</v>
      </c>
      <c r="E17" s="35">
        <f>SUMIF('R1'!$V$7:$AA$7,B17,'R1'!$V$22:$AA$22)</f>
        <v>0.99977488244563673</v>
      </c>
      <c r="F17" s="47">
        <f t="shared" si="13"/>
        <v>1.0170590868398988</v>
      </c>
      <c r="G17" s="55"/>
      <c r="H17" s="4">
        <f>SUMIF('R1'!$V$7:$AA$7,B17,'R1'!$V$19:$AA$19)</f>
        <v>0.88692043671715748</v>
      </c>
      <c r="I17" s="5">
        <f>SUMIF('R1'!$V$7:$AA$7,B17,'R1'!$V$20:$AA$20)</f>
        <v>1</v>
      </c>
      <c r="J17" s="5">
        <f t="shared" si="14"/>
        <v>1.1274968515793757</v>
      </c>
      <c r="K17" s="55"/>
      <c r="L17" s="27">
        <f>SUMIF('R1'!$V$7:$AA$7,B17,'R1'!$V$11:$AA$11)</f>
        <v>1.947018242106048</v>
      </c>
      <c r="M17" s="24">
        <f>SUMIF('R1'!$V$7:$AA$7,B17,'R1'!$V$12:$AA$12)</f>
        <v>18.621788068624159</v>
      </c>
      <c r="N17" s="24">
        <f t="shared" si="0"/>
        <v>20.568806310730206</v>
      </c>
      <c r="O17" s="55"/>
      <c r="P17" s="40">
        <f t="shared" si="1"/>
        <v>9.5642596797045769</v>
      </c>
      <c r="Q17" s="55"/>
      <c r="R17" s="27">
        <f>SUMIF('R1'!$V$7:$AA$7,B17,'R1'!$V$15:$AA$15)</f>
        <v>305686.34199488262</v>
      </c>
      <c r="S17" s="55"/>
      <c r="T17" s="27">
        <f>SUMIF('R1'!$V$7:$AA$7,B17,'R1'!$V$16:$AA$16)</f>
        <v>405712.55425952142</v>
      </c>
      <c r="U17" s="55"/>
      <c r="V17" s="24">
        <f t="shared" si="2"/>
        <v>1.3272184540921141</v>
      </c>
      <c r="W17" s="55"/>
      <c r="X17" s="27">
        <f>SUMIF('R1'!$V$7:$AA$7,B17,'R1'!$V$27:$AA$27)</f>
        <v>237401.85696295279</v>
      </c>
      <c r="Y17" s="55"/>
      <c r="Z17" s="27">
        <f>SUMIF('R1'!$V$7:$AA$7,B17,'R1'!$V$10:$AA$10)</f>
        <v>4883072.813678653</v>
      </c>
      <c r="AA17" s="55"/>
    </row>
    <row r="18" spans="1:27" x14ac:dyDescent="0.25">
      <c r="A18" s="101"/>
      <c r="B18" s="31">
        <v>2080</v>
      </c>
      <c r="C18" s="6">
        <f>SUMIF('R1'!$V$7:$AA$7,B18,'R1'!$V$17:$AA$17)</f>
        <v>16.550899999999999</v>
      </c>
      <c r="D18" s="43">
        <f>SUMIF('R1'!$V$7:$AA$7,B18,'R1'!$V$21:$AA$21)</f>
        <v>0.98300570279749855</v>
      </c>
      <c r="E18" s="35">
        <f>SUMIF('R1'!$V$7:$AA$7,B18,'R1'!$V$22:$AA$22)</f>
        <v>0.99977488244563673</v>
      </c>
      <c r="F18" s="47">
        <f t="shared" si="13"/>
        <v>1.0170590868398988</v>
      </c>
      <c r="G18" s="55"/>
      <c r="H18" s="4">
        <f>SUMIF('R1'!$V$7:$AA$7,B18,'R1'!$V$19:$AA$19)</f>
        <v>0.88692043671715748</v>
      </c>
      <c r="I18" s="5">
        <f>SUMIF('R1'!$V$7:$AA$7,B18,'R1'!$V$20:$AA$20)</f>
        <v>1</v>
      </c>
      <c r="J18" s="5">
        <f t="shared" si="14"/>
        <v>1.1274968515793757</v>
      </c>
      <c r="K18" s="55"/>
      <c r="L18" s="27">
        <f>SUMIF('R1'!$V$7:$AA$7,B18,'R1'!$V$11:$AA$11)</f>
        <v>1.7409103454761881</v>
      </c>
      <c r="M18" s="24">
        <f>SUMIF('R1'!$V$7:$AA$7,B18,'R1'!$V$12:$AA$12)</f>
        <v>30.89902528738352</v>
      </c>
      <c r="N18" s="24">
        <f t="shared" si="0"/>
        <v>32.639935632859711</v>
      </c>
      <c r="O18" s="55"/>
      <c r="P18" s="40">
        <f t="shared" si="1"/>
        <v>17.748774580882721</v>
      </c>
      <c r="Q18" s="55"/>
      <c r="R18" s="27">
        <f>SUMIF('R1'!$V$7:$AA$7,B18,'R1'!$V$15:$AA$15)</f>
        <v>425474.50853735273</v>
      </c>
      <c r="S18" s="55"/>
      <c r="T18" s="27">
        <f>SUMIF('R1'!$V$7:$AA$7,B18,'R1'!$V$16:$AA$16)</f>
        <v>564697.61947654758</v>
      </c>
      <c r="U18" s="55"/>
      <c r="V18" s="24">
        <f t="shared" si="2"/>
        <v>1.3272184540921148</v>
      </c>
      <c r="W18" s="55"/>
      <c r="X18" s="27">
        <f>SUMIF('R1'!$V$7:$AA$7,B18,'R1'!$V$27:$AA$27)</f>
        <v>334059.53954187222</v>
      </c>
      <c r="Y18" s="55"/>
      <c r="Z18" s="27">
        <f>SUMIF('R1'!$V$7:$AA$7,B18,'R1'!$V$10:$AA$10)</f>
        <v>10903681.86818946</v>
      </c>
      <c r="AA18" s="55"/>
    </row>
    <row r="19" spans="1:27" ht="15.75" thickBot="1" x14ac:dyDescent="0.3">
      <c r="A19" s="102"/>
      <c r="B19" s="32">
        <v>2100</v>
      </c>
      <c r="C19" s="9">
        <f>SUMIF('R1'!$V$7:$AA$7,B19,'R1'!$V$17:$AA$17)</f>
        <v>16.550899999999999</v>
      </c>
      <c r="D19" s="44">
        <f>SUMIF('R1'!$V$7:$AA$7,B19,'R1'!$V$21:$AA$21)</f>
        <v>0.98300570279749855</v>
      </c>
      <c r="E19" s="36">
        <f>SUMIF('R1'!$V$7:$AA$7,B19,'R1'!$V$22:$AA$22)</f>
        <v>0.99977488244563673</v>
      </c>
      <c r="F19" s="48">
        <f t="shared" si="13"/>
        <v>1.0170590868398988</v>
      </c>
      <c r="G19" s="56"/>
      <c r="H19" s="7">
        <f>SUMIF('R1'!$V$7:$AA$7,B19,'R1'!$V$19:$AA$19)</f>
        <v>0.88692043671715748</v>
      </c>
      <c r="I19" s="8">
        <f>SUMIF('R1'!$V$7:$AA$7,B19,'R1'!$V$20:$AA$20)</f>
        <v>1</v>
      </c>
      <c r="J19" s="8">
        <f t="shared" si="14"/>
        <v>1.1274968515793757</v>
      </c>
      <c r="K19" s="56"/>
      <c r="L19" s="28">
        <f>SUMIF('R1'!$V$7:$AA$7,B19,'R1'!$V$11:$AA$11)</f>
        <v>1.5166965056407069</v>
      </c>
      <c r="M19" s="25">
        <f>SUMIF('R1'!$V$7:$AA$7,B19,'R1'!$V$12:$AA$12)</f>
        <v>49.955587905474793</v>
      </c>
      <c r="N19" s="25">
        <f t="shared" si="0"/>
        <v>51.472284411115503</v>
      </c>
      <c r="O19" s="56"/>
      <c r="P19" s="41">
        <f t="shared" si="1"/>
        <v>32.937102261188215</v>
      </c>
      <c r="Q19" s="56"/>
      <c r="R19" s="28">
        <f>SUMIF('R1'!$V$7:$AA$7,B19,'R1'!$V$15:$AA$15)</f>
        <v>558350.53552459541</v>
      </c>
      <c r="S19" s="56"/>
      <c r="T19" s="28">
        <f>SUMIF('R1'!$V$7:$AA$7,B19,'R1'!$V$16:$AA$16)</f>
        <v>741053.1346004575</v>
      </c>
      <c r="U19" s="56"/>
      <c r="V19" s="25">
        <f t="shared" si="2"/>
        <v>1.3272184540921139</v>
      </c>
      <c r="W19" s="56"/>
      <c r="X19" s="28">
        <f>SUMIF('R1'!$V$7:$AA$7,B19,'R1'!$V$27:$AA$27)</f>
        <v>441136.8373603588</v>
      </c>
      <c r="Y19" s="56"/>
      <c r="Z19" s="28">
        <f>SUMIF('R1'!$V$7:$AA$7,B19,'R1'!$V$10:$AA$10)</f>
        <v>22706320.756832391</v>
      </c>
      <c r="AA19" s="56"/>
    </row>
    <row r="20" spans="1:27" ht="15" customHeight="1" x14ac:dyDescent="0.25">
      <c r="A20" s="100" t="str">
        <f>'R1'!B1</f>
        <v>Eastern Cape</v>
      </c>
      <c r="B20" s="21">
        <v>2000</v>
      </c>
      <c r="C20" s="3">
        <f>SUMIF('R1'!$V$7:$AA$7,B20,'R1'!$V$42:$AA$42)</f>
        <v>16.550899999999999</v>
      </c>
      <c r="D20" s="42">
        <f>SUMIF('R1'!$V$7:$AA$7,B20,'R1'!$V$46:$AA$46)</f>
        <v>1</v>
      </c>
      <c r="E20" s="34">
        <f>SUMIF('R1'!$V$7:$AA$7,B20,'R1'!$V$47:$AA$47)</f>
        <v>1</v>
      </c>
      <c r="F20" s="49">
        <f t="shared" si="13"/>
        <v>1</v>
      </c>
      <c r="G20" s="57">
        <f t="shared" ref="G20:G25" si="15">(F20-$F14)/$F14</f>
        <v>0</v>
      </c>
      <c r="H20" s="1">
        <f>SUMIF('R1'!$V$7:$AA$7,B20,'R1'!$V$44:$AA$44)</f>
        <v>0.88692043671715748</v>
      </c>
      <c r="I20" s="2">
        <f>SUMIF('R1'!$V$7:$AA$7,B20,'R1'!$V$45:$AA$45)</f>
        <v>1</v>
      </c>
      <c r="J20" s="2">
        <f t="shared" si="14"/>
        <v>1.1274968515793757</v>
      </c>
      <c r="K20" s="57">
        <f t="shared" ref="K20:K25" si="16">(J20-$J14)/$J14</f>
        <v>0</v>
      </c>
      <c r="L20" s="26">
        <f>SUMIF('R1'!$V$7:$AA$7,B20,'R1'!$V$36:$AA$36)</f>
        <v>1.8708231251865</v>
      </c>
      <c r="M20" s="23">
        <f>SUMIF('R1'!$V$7:$AA$7,B20,'R1'!$V$37:$AA$37)</f>
        <v>2.7998389129982999</v>
      </c>
      <c r="N20" s="23">
        <f t="shared" si="0"/>
        <v>4.6706620381847994</v>
      </c>
      <c r="O20" s="57"/>
      <c r="P20" s="38">
        <f t="shared" si="1"/>
        <v>1.4965813044026743</v>
      </c>
      <c r="Q20" s="57">
        <f t="shared" ref="Q20:Q25" si="17">(P20-$P14)/$P14</f>
        <v>0</v>
      </c>
      <c r="R20" s="26">
        <f>SUMIF('R1'!$V$7:$AA$7,B20,'R1'!$V$40:$AA$40)</f>
        <v>44822.290798478491</v>
      </c>
      <c r="S20" s="57">
        <f t="shared" ref="S20:S25" si="18">(R20-$R14)/$R14</f>
        <v>0</v>
      </c>
      <c r="T20" s="26">
        <f>SUMIF('R1'!$V$7:$AA$7,B20,'R1'!$V$41:$AA$41)</f>
        <v>59488.971502423847</v>
      </c>
      <c r="U20" s="57">
        <f t="shared" ref="U20:U25" si="19">(T20-$T14)/$T14</f>
        <v>0</v>
      </c>
      <c r="V20" s="23">
        <f t="shared" si="2"/>
        <v>1.3272184540921148</v>
      </c>
      <c r="W20" s="57">
        <f t="shared" ref="W20:W25" si="20">(V20-$V14)/$V14</f>
        <v>0</v>
      </c>
      <c r="X20" s="26">
        <f>SUMIF('R1'!$V$7:$AA$7,B20,'R1'!$V$52:$AA$52)</f>
        <v>18427.262540756401</v>
      </c>
      <c r="Y20" s="57">
        <f t="shared" ref="Y20:Y25" si="21">(X20-$X14)/$X14</f>
        <v>0</v>
      </c>
      <c r="Z20" s="26">
        <f>SUMIF('R1'!$V$7:$AA$7,B20,'R1'!$V$35:$AA$35)</f>
        <v>150225.97198840001</v>
      </c>
      <c r="AA20" s="57">
        <f t="shared" ref="AA20:AA25" si="22">(Z20-$Z14)/$Z14</f>
        <v>0</v>
      </c>
    </row>
    <row r="21" spans="1:27" x14ac:dyDescent="0.25">
      <c r="A21" s="101"/>
      <c r="B21" s="31">
        <v>2020</v>
      </c>
      <c r="C21" s="14">
        <f>SUMIF('R1'!$V$7:$AA$7,B21,'R1'!$V$42:$AA$42)</f>
        <v>17.264430000000001</v>
      </c>
      <c r="D21" s="43">
        <f>SUMIF('R1'!$V$7:$AA$7,B21,'R1'!$V$46:$AA$46)</f>
        <v>0.96966048781639314</v>
      </c>
      <c r="E21" s="35">
        <f>SUMIF('R1'!$V$7:$AA$7,B21,'R1'!$V$47:$AA$47)</f>
        <v>0.99933476497980267</v>
      </c>
      <c r="F21" s="50">
        <f t="shared" si="13"/>
        <v>1.0306027496595576</v>
      </c>
      <c r="G21" s="58">
        <f t="shared" si="15"/>
        <v>1.331649556540542E-2</v>
      </c>
      <c r="H21" s="4">
        <f>SUMIF('R1'!$V$7:$AA$7,B21,'R1'!$V$44:$AA$44)</f>
        <v>0.91393118527122841</v>
      </c>
      <c r="I21" s="5">
        <f>SUMIF('R1'!$V$7:$AA$7,B21,'R1'!$V$45:$AA$45)</f>
        <v>1</v>
      </c>
      <c r="J21" s="13">
        <f t="shared" si="14"/>
        <v>1.0941742837052102</v>
      </c>
      <c r="K21" s="58">
        <f t="shared" si="16"/>
        <v>-2.9554466451492026E-2</v>
      </c>
      <c r="L21" s="27">
        <f>SUMIF('R1'!$V$7:$AA$7,B21,'R1'!$V$36:$AA$36)</f>
        <v>2.0707559197999181</v>
      </c>
      <c r="M21" s="24">
        <f>SUMIF('R1'!$V$7:$AA$7,B21,'R1'!$V$37:$AA$37)</f>
        <v>5.775201906894333</v>
      </c>
      <c r="N21" s="24">
        <f t="shared" si="0"/>
        <v>7.8459578266942511</v>
      </c>
      <c r="O21" s="58"/>
      <c r="P21" s="39">
        <f t="shared" si="1"/>
        <v>2.788934152824901</v>
      </c>
      <c r="Q21" s="58">
        <f t="shared" si="17"/>
        <v>4.2016496841711711E-3</v>
      </c>
      <c r="R21" s="27">
        <f>SUMIF('R1'!$V$7:$AA$7,B21,'R1'!$V$40:$AA$40)</f>
        <v>109782.1312277027</v>
      </c>
      <c r="S21" s="58">
        <f t="shared" si="18"/>
        <v>7.3176105105367678E-3</v>
      </c>
      <c r="T21" s="27">
        <f>SUMIF('R1'!$V$7:$AA$7,B21,'R1'!$V$41:$AA$41)</f>
        <v>143790.09039388961</v>
      </c>
      <c r="U21" s="58">
        <f t="shared" si="19"/>
        <v>-5.9200507256349155E-3</v>
      </c>
      <c r="V21" s="24">
        <f t="shared" si="2"/>
        <v>1.3097768169179544</v>
      </c>
      <c r="W21" s="58">
        <f t="shared" si="20"/>
        <v>-1.3141496880474822E-2</v>
      </c>
      <c r="X21" s="27">
        <f>SUMIF('R1'!$V$7:$AA$7,B21,'R1'!$V$52:$AA$52)</f>
        <v>80319.007159846617</v>
      </c>
      <c r="Y21" s="58">
        <f t="shared" si="21"/>
        <v>-6.1322116631351547E-3</v>
      </c>
      <c r="Z21" s="27">
        <f>SUMIF('R1'!$V$7:$AA$7,B21,'R1'!$V$35:$AA$35)</f>
        <v>630179.54285811016</v>
      </c>
      <c r="AA21" s="58">
        <f t="shared" si="22"/>
        <v>-6.3576611875427293E-3</v>
      </c>
    </row>
    <row r="22" spans="1:27" x14ac:dyDescent="0.25">
      <c r="A22" s="101"/>
      <c r="B22" s="31">
        <v>2040</v>
      </c>
      <c r="C22" s="6">
        <f>SUMIF('R1'!$V$7:$AA$7,B22,'R1'!$V$42:$AA$42)</f>
        <v>17.478200000000001</v>
      </c>
      <c r="D22" s="43">
        <f>SUMIF('R1'!$V$7:$AA$7,B22,'R1'!$V$46:$AA$46)</f>
        <v>0.96439833420871968</v>
      </c>
      <c r="E22" s="35">
        <f>SUMIF('R1'!$V$7:$AA$7,B22,'R1'!$V$47:$AA$47)</f>
        <v>0.99844694181596516</v>
      </c>
      <c r="F22" s="50">
        <f t="shared" si="13"/>
        <v>1.0353055437773875</v>
      </c>
      <c r="G22" s="58">
        <f t="shared" si="15"/>
        <v>1.7940409926607344E-2</v>
      </c>
      <c r="H22" s="4">
        <f>SUMIF('R1'!$V$7:$AA$7,B22,'R1'!$V$44:$AA$44)</f>
        <v>0.92311634638663587</v>
      </c>
      <c r="I22" s="5">
        <f>SUMIF('R1'!$V$7:$AA$7,B22,'R1'!$V$45:$AA$45)</f>
        <v>1</v>
      </c>
      <c r="J22" s="5">
        <f t="shared" si="14"/>
        <v>1.0832870676749584</v>
      </c>
      <c r="K22" s="58">
        <f t="shared" si="16"/>
        <v>-3.9210560847676969E-2</v>
      </c>
      <c r="L22" s="27">
        <f>SUMIF('R1'!$V$7:$AA$7,B22,'R1'!$V$36:$AA$36)</f>
        <v>2.0728559587336899</v>
      </c>
      <c r="M22" s="24">
        <f>SUMIF('R1'!$V$7:$AA$7,B22,'R1'!$V$37:$AA$37)</f>
        <v>10.74275880189705</v>
      </c>
      <c r="N22" s="24">
        <f t="shared" si="0"/>
        <v>12.815614760630741</v>
      </c>
      <c r="O22" s="58"/>
      <c r="P22" s="40">
        <f t="shared" si="1"/>
        <v>5.1825881854616727</v>
      </c>
      <c r="Q22" s="58">
        <f t="shared" si="17"/>
        <v>5.5701107005802367E-3</v>
      </c>
      <c r="R22" s="27">
        <f>SUMIF('R1'!$V$7:$AA$7,B22,'R1'!$V$40:$AA$40)</f>
        <v>200784.45988641481</v>
      </c>
      <c r="S22" s="58">
        <f t="shared" si="18"/>
        <v>1.2115839840349628E-2</v>
      </c>
      <c r="T22" s="27">
        <f>SUMIF('R1'!$V$7:$AA$7,B22,'R1'!$V$41:$AA$41)</f>
        <v>261788.25190305701</v>
      </c>
      <c r="U22" s="58">
        <f t="shared" si="19"/>
        <v>-5.7219165576471269E-3</v>
      </c>
      <c r="V22" s="24">
        <f t="shared" si="2"/>
        <v>1.303827258599358</v>
      </c>
      <c r="W22" s="58">
        <f t="shared" si="20"/>
        <v>-1.762422412123358E-2</v>
      </c>
      <c r="X22" s="27">
        <f>SUMIF('R1'!$V$7:$AA$7,B22,'R1'!$V$52:$AA$52)</f>
        <v>150254.5299503261</v>
      </c>
      <c r="Y22" s="58">
        <f t="shared" si="21"/>
        <v>-6.8398335565503987E-3</v>
      </c>
      <c r="Z22" s="27">
        <f>SUMIF('R1'!$V$7:$AA$7,B22,'R1'!$V$35:$AA$35)</f>
        <v>1925604.1718830329</v>
      </c>
      <c r="AA22" s="58">
        <f t="shared" si="22"/>
        <v>-7.2677991423536143E-3</v>
      </c>
    </row>
    <row r="23" spans="1:27" x14ac:dyDescent="0.25">
      <c r="A23" s="101"/>
      <c r="B23" s="31">
        <v>2060</v>
      </c>
      <c r="C23" s="6">
        <f>SUMIF('R1'!$V$7:$AA$7,B23,'R1'!$V$42:$AA$42)</f>
        <v>18.166740000000001</v>
      </c>
      <c r="D23" s="43">
        <f>SUMIF('R1'!$V$7:$AA$7,B23,'R1'!$V$46:$AA$46)</f>
        <v>0.94627095271536965</v>
      </c>
      <c r="E23" s="35">
        <f>SUMIF('R1'!$V$7:$AA$7,B23,'R1'!$V$47:$AA$47)</f>
        <v>0.99356517912022047</v>
      </c>
      <c r="F23" s="50">
        <f t="shared" si="13"/>
        <v>1.0499795817140301</v>
      </c>
      <c r="G23" s="58">
        <f t="shared" si="15"/>
        <v>3.2368320877421648E-2</v>
      </c>
      <c r="H23" s="4">
        <f>SUMIF('R1'!$V$7:$AA$7,B23,'R1'!$V$44:$AA$44)</f>
        <v>0.95122942450071424</v>
      </c>
      <c r="I23" s="5">
        <f>SUMIF('R1'!$V$7:$AA$7,B23,'R1'!$V$45:$AA$45)</f>
        <v>1</v>
      </c>
      <c r="J23" s="5">
        <f t="shared" si="14"/>
        <v>1.0512710963760239</v>
      </c>
      <c r="K23" s="58">
        <f t="shared" si="16"/>
        <v>-6.7606180094051949E-2</v>
      </c>
      <c r="L23" s="27">
        <f>SUMIF('R1'!$V$7:$AA$7,B23,'R1'!$V$36:$AA$36)</f>
        <v>1.929024585514824</v>
      </c>
      <c r="M23" s="24">
        <f>SUMIF('R1'!$V$7:$AA$7,B23,'R1'!$V$37:$AA$37)</f>
        <v>18.626472177060911</v>
      </c>
      <c r="N23" s="24">
        <f t="shared" si="0"/>
        <v>20.555496762575736</v>
      </c>
      <c r="O23" s="58"/>
      <c r="P23" s="40">
        <f t="shared" si="1"/>
        <v>9.6559019086269551</v>
      </c>
      <c r="Q23" s="58">
        <f t="shared" si="17"/>
        <v>9.5817378439487164E-3</v>
      </c>
      <c r="R23" s="27">
        <f>SUMIF('R1'!$V$7:$AA$7,B23,'R1'!$V$40:$AA$40)</f>
        <v>312202.57537766919</v>
      </c>
      <c r="S23" s="58">
        <f t="shared" si="18"/>
        <v>2.131673054236637E-2</v>
      </c>
      <c r="T23" s="27">
        <f>SUMIF('R1'!$V$7:$AA$7,B23,'R1'!$V$41:$AA$41)</f>
        <v>401369.36699506309</v>
      </c>
      <c r="U23" s="58">
        <f t="shared" si="19"/>
        <v>-1.0705084717886585E-2</v>
      </c>
      <c r="V23" s="24">
        <f t="shared" si="2"/>
        <v>1.2856055607790213</v>
      </c>
      <c r="W23" s="58">
        <f t="shared" si="20"/>
        <v>-3.1353461960079647E-2</v>
      </c>
      <c r="X23" s="27">
        <f>SUMIF('R1'!$V$7:$AA$7,B23,'R1'!$V$52:$AA$52)</f>
        <v>233452.1929852516</v>
      </c>
      <c r="Y23" s="58">
        <f t="shared" si="21"/>
        <v>-1.6637039104195145E-2</v>
      </c>
      <c r="Z23" s="27">
        <f>SUMIF('R1'!$V$7:$AA$7,B23,'R1'!$V$35:$AA$35)</f>
        <v>4798725.7971245442</v>
      </c>
      <c r="AA23" s="58">
        <f t="shared" si="22"/>
        <v>-1.7273348109377498E-2</v>
      </c>
    </row>
    <row r="24" spans="1:27" x14ac:dyDescent="0.25">
      <c r="A24" s="101"/>
      <c r="B24" s="31">
        <v>2080</v>
      </c>
      <c r="C24" s="6">
        <f>SUMIF('R1'!$V$7:$AA$7,B24,'R1'!$V$42:$AA$42)</f>
        <v>18.697600000000001</v>
      </c>
      <c r="D24" s="43">
        <f>SUMIF('R1'!$V$7:$AA$7,B24,'R1'!$V$46:$AA$46)</f>
        <v>0.93231395090361513</v>
      </c>
      <c r="E24" s="35">
        <f>SUMIF('R1'!$V$7:$AA$7,B24,'R1'!$V$47:$AA$47)</f>
        <v>0.98848865179879042</v>
      </c>
      <c r="F24" s="50">
        <f t="shared" si="13"/>
        <v>1.0602529875700453</v>
      </c>
      <c r="G24" s="58">
        <f t="shared" si="15"/>
        <v>4.2469411353822269E-2</v>
      </c>
      <c r="H24" s="4">
        <f>SUMIF('R1'!$V$7:$AA$7,B24,'R1'!$V$44:$AA$44)</f>
        <v>0.96078943915232329</v>
      </c>
      <c r="I24" s="5">
        <f>SUMIF('R1'!$V$7:$AA$7,B24,'R1'!$V$45:$AA$45)</f>
        <v>1</v>
      </c>
      <c r="J24" s="5">
        <f t="shared" si="14"/>
        <v>1.0408107741923882</v>
      </c>
      <c r="K24" s="58">
        <f t="shared" si="16"/>
        <v>-7.6883653613364286E-2</v>
      </c>
      <c r="L24" s="27">
        <f>SUMIF('R1'!$V$7:$AA$7,B24,'R1'!$V$36:$AA$36)</f>
        <v>1.7238185418140439</v>
      </c>
      <c r="M24" s="24">
        <f>SUMIF('R1'!$V$7:$AA$7,B24,'R1'!$V$37:$AA$37)</f>
        <v>30.890858701000528</v>
      </c>
      <c r="N24" s="24">
        <f t="shared" si="0"/>
        <v>32.614677242814572</v>
      </c>
      <c r="O24" s="58"/>
      <c r="P24" s="40">
        <f t="shared" si="1"/>
        <v>17.920017653652124</v>
      </c>
      <c r="Q24" s="58">
        <f t="shared" si="17"/>
        <v>9.6481631443925183E-3</v>
      </c>
      <c r="R24" s="27">
        <f>SUMIF('R1'!$V$7:$AA$7,B24,'R1'!$V$40:$AA$40)</f>
        <v>437086.60022649379</v>
      </c>
      <c r="S24" s="58">
        <f t="shared" si="18"/>
        <v>2.7292097308155478E-2</v>
      </c>
      <c r="T24" s="27">
        <f>SUMIF('R1'!$V$7:$AA$7,B24,'R1'!$V$41:$AA$41)</f>
        <v>556476.18581308331</v>
      </c>
      <c r="U24" s="58">
        <f t="shared" si="19"/>
        <v>-1.4559001808941947E-2</v>
      </c>
      <c r="V24" s="24">
        <f t="shared" si="2"/>
        <v>1.2731485831977531</v>
      </c>
      <c r="W24" s="58">
        <f t="shared" si="20"/>
        <v>-4.073923981967853E-2</v>
      </c>
      <c r="X24" s="27">
        <f>SUMIF('R1'!$V$7:$AA$7,B24,'R1'!$V$52:$AA$52)</f>
        <v>325521.0425169614</v>
      </c>
      <c r="Y24" s="58">
        <f t="shared" si="21"/>
        <v>-2.5559806005302148E-2</v>
      </c>
      <c r="Z24" s="27">
        <f>SUMIF('R1'!$V$7:$AA$7,B24,'R1'!$V$35:$AA$35)</f>
        <v>10616763.73743522</v>
      </c>
      <c r="AA24" s="58">
        <f t="shared" si="22"/>
        <v>-2.631387582861331E-2</v>
      </c>
    </row>
    <row r="25" spans="1:27" ht="15.75" thickBot="1" x14ac:dyDescent="0.3">
      <c r="A25" s="102"/>
      <c r="B25" s="32">
        <v>2100</v>
      </c>
      <c r="C25" s="9">
        <f>SUMIF('R1'!$V$7:$AA$7,B25,'R1'!$V$42:$AA$42)</f>
        <v>19.139150000000001</v>
      </c>
      <c r="D25" s="44">
        <f>SUMIF('R1'!$V$7:$AA$7,B25,'R1'!$V$46:$AA$46)</f>
        <v>0.91693862656807257</v>
      </c>
      <c r="E25" s="36">
        <f>SUMIF('R1'!$V$7:$AA$7,B25,'R1'!$V$47:$AA$47)</f>
        <v>0.98197288977586894</v>
      </c>
      <c r="F25" s="51">
        <f t="shared" si="13"/>
        <v>1.0709254265481294</v>
      </c>
      <c r="G25" s="59">
        <f t="shared" si="15"/>
        <v>5.2962841987478394E-2</v>
      </c>
      <c r="H25" s="7">
        <f>SUMIF('R1'!$V$7:$AA$7,B25,'R1'!$V$44:$AA$44)</f>
        <v>0.98019867330675492</v>
      </c>
      <c r="I25" s="8">
        <f>SUMIF('R1'!$V$7:$AA$7,B25,'R1'!$V$45:$AA$45)</f>
        <v>1</v>
      </c>
      <c r="J25" s="8">
        <f t="shared" si="14"/>
        <v>1.0202013400267562</v>
      </c>
      <c r="K25" s="59">
        <f t="shared" si="16"/>
        <v>-9.5162581964040122E-2</v>
      </c>
      <c r="L25" s="28">
        <f>SUMIF('R1'!$V$7:$AA$7,B25,'R1'!$V$36:$AA$36)</f>
        <v>1.4976946245213401</v>
      </c>
      <c r="M25" s="25">
        <f>SUMIF('R1'!$V$7:$AA$7,B25,'R1'!$V$37:$AA$37)</f>
        <v>49.930137248594278</v>
      </c>
      <c r="N25" s="25">
        <f t="shared" si="0"/>
        <v>51.427831873115615</v>
      </c>
      <c r="O25" s="59"/>
      <c r="P25" s="41">
        <f t="shared" si="1"/>
        <v>33.337995897896633</v>
      </c>
      <c r="Q25" s="59">
        <f t="shared" si="17"/>
        <v>1.2171490786571555E-2</v>
      </c>
      <c r="R25" s="33">
        <f>SUMIF('R1'!$V$7:$AA$7,B25,'R1'!$V$40:$AA$40)</f>
        <v>576148.78168112785</v>
      </c>
      <c r="S25" s="59">
        <f t="shared" si="18"/>
        <v>3.1876473691943685E-2</v>
      </c>
      <c r="T25" s="28">
        <f>SUMIF('R1'!$V$7:$AA$7,B25,'R1'!$V$41:$AA$41)</f>
        <v>726212.99143524247</v>
      </c>
      <c r="U25" s="59">
        <f t="shared" si="19"/>
        <v>-2.0025747780172569E-2</v>
      </c>
      <c r="V25" s="25">
        <f t="shared" si="2"/>
        <v>1.2604608644944915</v>
      </c>
      <c r="W25" s="59">
        <f t="shared" si="20"/>
        <v>-5.0298870839079843E-2</v>
      </c>
      <c r="X25" s="28">
        <f>SUMIF('R1'!$V$7:$AA$7,B25,'R1'!$V$52:$AA$52)</f>
        <v>424643.30963540048</v>
      </c>
      <c r="Y25" s="59">
        <f t="shared" si="21"/>
        <v>-3.7388688334556323E-2</v>
      </c>
      <c r="Z25" s="28">
        <f>SUMIF('R1'!$V$7:$AA$7,B25,'R1'!$V$35:$AA$35)</f>
        <v>21838484.733972751</v>
      </c>
      <c r="AA25" s="59">
        <f t="shared" si="22"/>
        <v>-3.822001953348194E-2</v>
      </c>
    </row>
    <row r="26" spans="1:27" ht="15" customHeight="1" x14ac:dyDescent="0.25">
      <c r="A26" s="97" t="s">
        <v>6</v>
      </c>
      <c r="B26" s="21">
        <v>2000</v>
      </c>
      <c r="C26" s="3">
        <f>SUMIF('R2'!$V$7:$AA$7,B26,'R2'!$V$17:$AA$17)</f>
        <v>17.447839999999999</v>
      </c>
      <c r="D26" s="42">
        <f>SUMIF('R2'!$V$7:$AA$7,B26,'R2'!$V$21:$AA$21)</f>
        <v>1</v>
      </c>
      <c r="E26" s="34">
        <f>SUMIF('R2'!$V$7:$AA$7,B26,'R2'!$V$22:$AA$22)</f>
        <v>1</v>
      </c>
      <c r="F26" s="45">
        <f>E26/D26</f>
        <v>1</v>
      </c>
      <c r="G26" s="53"/>
      <c r="H26" s="1">
        <f>SUMIF('R2'!$V$7:$AA$7,B26,'R2'!$V$19:$AA$19)</f>
        <v>0.92311634638663587</v>
      </c>
      <c r="I26" s="2">
        <f>SUMIF('R2'!$V$7:$AA$7,B26,'R2'!$V$20:$AA$20)</f>
        <v>1</v>
      </c>
      <c r="J26" s="2">
        <f>I26/H26</f>
        <v>1.0832870676749584</v>
      </c>
      <c r="K26" s="53"/>
      <c r="L26" s="26">
        <f>SUMIF('R2'!$V$7:$AA$7,B26,'R2'!$V$11:$AA$11)</f>
        <v>0.23874911168999999</v>
      </c>
      <c r="M26" s="24">
        <f>SUMIF('R2'!$V$7:$AA$7,B26,'R2'!$V$12:$AA$12)</f>
        <v>0.35730745699799998</v>
      </c>
      <c r="N26" s="23">
        <f t="shared" si="0"/>
        <v>0.59605656868799994</v>
      </c>
      <c r="O26" s="53"/>
      <c r="P26" s="38">
        <f t="shared" si="1"/>
        <v>1.4965813044026743</v>
      </c>
      <c r="Q26" s="53"/>
      <c r="R26" s="26">
        <f>SUMIF('R2'!$V$7:$AA$7,B26,'R2'!$V$15:$AA$15)</f>
        <v>45393.77360074802</v>
      </c>
      <c r="S26" s="53"/>
      <c r="T26" s="26">
        <f>SUMIF('R2'!$V$7:$AA$7,B26,'R2'!$V$16:$AA$16)</f>
        <v>59185.639391343168</v>
      </c>
      <c r="U26" s="53"/>
      <c r="V26" s="23">
        <f t="shared" si="2"/>
        <v>1.3038272585993573</v>
      </c>
      <c r="W26" s="53"/>
      <c r="X26" s="26">
        <f>SUMIF('R2'!$V$7:$AA$7,B26,'R2'!$V$27:$AA$27)</f>
        <v>18427.26254075639</v>
      </c>
      <c r="Y26" s="53"/>
      <c r="Z26" s="26">
        <f>SUMIF('R2'!$V$7:$AA$7,B26,'R2'!$V$10:$AA$10)</f>
        <v>19171.410103999999</v>
      </c>
      <c r="AA26" s="53"/>
    </row>
    <row r="27" spans="1:27" x14ac:dyDescent="0.25">
      <c r="A27" s="98"/>
      <c r="B27" s="31">
        <v>2020</v>
      </c>
      <c r="C27" s="14">
        <f>SUMIF('R2'!$V$7:$AA$7,B27,'R2'!$V$17:$AA$17)</f>
        <v>17.447839999999999</v>
      </c>
      <c r="D27" s="43">
        <f>SUMIF('R2'!$V$7:$AA$7,B27,'R2'!$V$21:$AA$21)</f>
        <v>0.96439833420871968</v>
      </c>
      <c r="E27" s="35">
        <f>SUMIF('R2'!$V$7:$AA$7,B27,'R2'!$V$22:$AA$22)</f>
        <v>0.99844694181596516</v>
      </c>
      <c r="F27" s="46">
        <f t="shared" ref="F27:F37" si="23">E27/D27</f>
        <v>1.0353055437773875</v>
      </c>
      <c r="G27" s="54"/>
      <c r="H27" s="4">
        <f>SUMIF('R2'!$V$7:$AA$7,B27,'R2'!$V$19:$AA$19)</f>
        <v>0.92311634638663587</v>
      </c>
      <c r="I27" s="5">
        <f>SUMIF('R2'!$V$7:$AA$7,B27,'R2'!$V$20:$AA$20)</f>
        <v>1</v>
      </c>
      <c r="J27" s="5">
        <f t="shared" ref="J27:J37" si="24">I27/H27</f>
        <v>1.0832870676749584</v>
      </c>
      <c r="K27" s="55"/>
      <c r="L27" s="27">
        <f>SUMIF('R2'!$V$7:$AA$7,B27,'R2'!$V$11:$AA$11)</f>
        <v>0.26514049931399603</v>
      </c>
      <c r="M27" s="24">
        <f>SUMIF('R2'!$V$7:$AA$7,B27,'R2'!$V$12:$AA$12)</f>
        <v>0.73636544419780237</v>
      </c>
      <c r="N27" s="24">
        <f t="shared" si="0"/>
        <v>1.0015059435117983</v>
      </c>
      <c r="O27" s="55"/>
      <c r="P27" s="39">
        <f t="shared" si="1"/>
        <v>2.7772650579712161</v>
      </c>
      <c r="Q27" s="55"/>
      <c r="R27" s="27">
        <f>SUMIF('R2'!$V$7:$AA$7,B27,'R2'!$V$15:$AA$15)</f>
        <v>109613.8268010399</v>
      </c>
      <c r="S27" s="55"/>
      <c r="T27" s="27">
        <f>SUMIF('R2'!$V$7:$AA$7,B27,'R2'!$V$16:$AA$16)</f>
        <v>142917.4953025846</v>
      </c>
      <c r="U27" s="55"/>
      <c r="V27" s="24">
        <f t="shared" si="2"/>
        <v>1.3038272585993571</v>
      </c>
      <c r="W27" s="55"/>
      <c r="X27" s="27">
        <f>SUMIF('R2'!$V$7:$AA$7,B27,'R2'!$V$27:$AA$27)</f>
        <v>79742.572044224056</v>
      </c>
      <c r="Y27" s="55"/>
      <c r="Z27" s="27">
        <f>SUMIF('R2'!$V$7:$AA$7,B27,'R2'!$V$10:$AA$10)</f>
        <v>79862.65985320817</v>
      </c>
      <c r="AA27" s="55"/>
    </row>
    <row r="28" spans="1:27" x14ac:dyDescent="0.25">
      <c r="A28" s="98"/>
      <c r="B28" s="31">
        <v>2040</v>
      </c>
      <c r="C28" s="6">
        <f>SUMIF('R2'!$V$7:$AA$7,B28,'R2'!$V$17:$AA$17)</f>
        <v>17.447839999999999</v>
      </c>
      <c r="D28" s="43">
        <f>SUMIF('R2'!$V$7:$AA$7,B28,'R2'!$V$21:$AA$21)</f>
        <v>0.96439833420871968</v>
      </c>
      <c r="E28" s="35">
        <f>SUMIF('R2'!$V$7:$AA$7,B28,'R2'!$V$22:$AA$22)</f>
        <v>0.99844694181596516</v>
      </c>
      <c r="F28" s="47">
        <f t="shared" si="23"/>
        <v>1.0353055437773875</v>
      </c>
      <c r="G28" s="55"/>
      <c r="H28" s="4">
        <f>SUMIF('R2'!$V$7:$AA$7,B28,'R2'!$V$19:$AA$19)</f>
        <v>0.92311634638663587</v>
      </c>
      <c r="I28" s="5">
        <f>SUMIF('R2'!$V$7:$AA$7,B28,'R2'!$V$20:$AA$20)</f>
        <v>1</v>
      </c>
      <c r="J28" s="5">
        <f t="shared" si="24"/>
        <v>1.0832870676749584</v>
      </c>
      <c r="K28" s="55"/>
      <c r="L28" s="27">
        <f>SUMIF('R2'!$V$7:$AA$7,B28,'R2'!$V$11:$AA$11)</f>
        <v>0.26588057151300443</v>
      </c>
      <c r="M28" s="24">
        <f>SUMIF('R2'!$V$7:$AA$7,B28,'R2'!$V$12:$AA$12)</f>
        <v>1.370316692992275</v>
      </c>
      <c r="N28" s="24">
        <f t="shared" si="0"/>
        <v>1.6361972645052794</v>
      </c>
      <c r="O28" s="55"/>
      <c r="P28" s="40">
        <f t="shared" si="1"/>
        <v>5.1538805005361281</v>
      </c>
      <c r="Q28" s="55"/>
      <c r="R28" s="27">
        <f>SUMIF('R2'!$V$7:$AA$7,B28,'R2'!$V$15:$AA$15)</f>
        <v>200497.62255490059</v>
      </c>
      <c r="S28" s="55"/>
      <c r="T28" s="27">
        <f>SUMIF('R2'!$V$7:$AA$7,B28,'R2'!$V$16:$AA$16)</f>
        <v>261414.26557144479</v>
      </c>
      <c r="U28" s="55"/>
      <c r="V28" s="24">
        <f t="shared" si="2"/>
        <v>1.3038272585993578</v>
      </c>
      <c r="W28" s="55"/>
      <c r="X28" s="27">
        <f>SUMIF('R2'!$V$7:$AA$7,B28,'R2'!$V$27:$AA$27)</f>
        <v>150009.25288880811</v>
      </c>
      <c r="Y28" s="55"/>
      <c r="Z28" s="27">
        <f>SUMIF('R2'!$V$7:$AA$7,B28,'R2'!$V$10:$AA$10)</f>
        <v>245444.7292271484</v>
      </c>
      <c r="AA28" s="55"/>
    </row>
    <row r="29" spans="1:27" x14ac:dyDescent="0.25">
      <c r="A29" s="98"/>
      <c r="B29" s="31">
        <v>2060</v>
      </c>
      <c r="C29" s="6">
        <f>SUMIF('R2'!$V$7:$AA$7,B29,'R2'!$V$17:$AA$17)</f>
        <v>17.447839999999999</v>
      </c>
      <c r="D29" s="43">
        <f>SUMIF('R2'!$V$7:$AA$7,B29,'R2'!$V$21:$AA$21)</f>
        <v>0.96439833420871968</v>
      </c>
      <c r="E29" s="35">
        <f>SUMIF('R2'!$V$7:$AA$7,B29,'R2'!$V$22:$AA$22)</f>
        <v>0.99844694181596516</v>
      </c>
      <c r="F29" s="47">
        <f t="shared" si="23"/>
        <v>1.0353055437773875</v>
      </c>
      <c r="G29" s="55"/>
      <c r="H29" s="4">
        <f>SUMIF('R2'!$V$7:$AA$7,B29,'R2'!$V$19:$AA$19)</f>
        <v>0.92311634638663587</v>
      </c>
      <c r="I29" s="5">
        <f>SUMIF('R2'!$V$7:$AA$7,B29,'R2'!$V$20:$AA$20)</f>
        <v>1</v>
      </c>
      <c r="J29" s="5">
        <f t="shared" si="24"/>
        <v>1.0832870676749584</v>
      </c>
      <c r="K29" s="55"/>
      <c r="L29" s="27">
        <f>SUMIF('R2'!$V$7:$AA$7,B29,'R2'!$V$11:$AA$11)</f>
        <v>0.24847291520447939</v>
      </c>
      <c r="M29" s="24">
        <f>SUMIF('R2'!$V$7:$AA$7,B29,'R2'!$V$12:$AA$12)</f>
        <v>2.3764594843888571</v>
      </c>
      <c r="N29" s="24">
        <f t="shared" si="0"/>
        <v>2.6249323995933365</v>
      </c>
      <c r="O29" s="55"/>
      <c r="P29" s="40">
        <f t="shared" si="1"/>
        <v>9.5642596797045787</v>
      </c>
      <c r="Q29" s="55"/>
      <c r="R29" s="27">
        <f>SUMIF('R2'!$V$7:$AA$7,B29,'R2'!$V$15:$AA$15)</f>
        <v>309898.18916546792</v>
      </c>
      <c r="S29" s="55"/>
      <c r="T29" s="27">
        <f>SUMIF('R2'!$V$7:$AA$7,B29,'R2'!$V$16:$AA$16)</f>
        <v>404053.70642451697</v>
      </c>
      <c r="U29" s="55"/>
      <c r="V29" s="24">
        <f t="shared" si="2"/>
        <v>1.3038272585993569</v>
      </c>
      <c r="W29" s="55"/>
      <c r="X29" s="27">
        <f>SUMIF('R2'!$V$7:$AA$7,B29,'R2'!$V$27:$AA$27)</f>
        <v>236117.14833106019</v>
      </c>
      <c r="Y29" s="55"/>
      <c r="Z29" s="27">
        <f>SUMIF('R2'!$V$7:$AA$7,B29,'R2'!$V$10:$AA$10)</f>
        <v>619791.55275378539</v>
      </c>
      <c r="AA29" s="55"/>
    </row>
    <row r="30" spans="1:27" x14ac:dyDescent="0.25">
      <c r="A30" s="98"/>
      <c r="B30" s="31">
        <v>2080</v>
      </c>
      <c r="C30" s="6">
        <f>SUMIF('R2'!$V$7:$AA$7,B30,'R2'!$V$17:$AA$17)</f>
        <v>17.447839999999999</v>
      </c>
      <c r="D30" s="43">
        <f>SUMIF('R2'!$V$7:$AA$7,B30,'R2'!$V$21:$AA$21)</f>
        <v>0.96439833420871968</v>
      </c>
      <c r="E30" s="35">
        <f>SUMIF('R2'!$V$7:$AA$7,B30,'R2'!$V$22:$AA$22)</f>
        <v>0.99844694181596516</v>
      </c>
      <c r="F30" s="47">
        <f t="shared" si="23"/>
        <v>1.0353055437773875</v>
      </c>
      <c r="G30" s="55"/>
      <c r="H30" s="4">
        <f>SUMIF('R2'!$V$7:$AA$7,B30,'R2'!$V$19:$AA$19)</f>
        <v>0.92311634638663587</v>
      </c>
      <c r="I30" s="5">
        <f>SUMIF('R2'!$V$7:$AA$7,B30,'R2'!$V$20:$AA$20)</f>
        <v>1</v>
      </c>
      <c r="J30" s="5">
        <f t="shared" si="24"/>
        <v>1.0832870676749584</v>
      </c>
      <c r="K30" s="55"/>
      <c r="L30" s="27">
        <f>SUMIF('R2'!$V$7:$AA$7,B30,'R2'!$V$11:$AA$11)</f>
        <v>0.2221700132517532</v>
      </c>
      <c r="M30" s="24">
        <f>SUMIF('R2'!$V$7:$AA$7,B30,'R2'!$V$12:$AA$12)</f>
        <v>3.9432454838370941</v>
      </c>
      <c r="N30" s="24">
        <f t="shared" si="0"/>
        <v>4.1654154970888468</v>
      </c>
      <c r="O30" s="55"/>
      <c r="P30" s="40">
        <f t="shared" si="1"/>
        <v>17.748774580882721</v>
      </c>
      <c r="Q30" s="55"/>
      <c r="R30" s="27">
        <f>SUMIF('R2'!$V$7:$AA$7,B30,'R2'!$V$15:$AA$15)</f>
        <v>432120.26022089558</v>
      </c>
      <c r="S30" s="55"/>
      <c r="T30" s="27">
        <f>SUMIF('R2'!$V$7:$AA$7,B30,'R2'!$V$16:$AA$16)</f>
        <v>563410.17426905083</v>
      </c>
      <c r="U30" s="55"/>
      <c r="V30" s="24">
        <f t="shared" si="2"/>
        <v>1.3038272585993564</v>
      </c>
      <c r="W30" s="55"/>
      <c r="X30" s="27">
        <f>SUMIF('R2'!$V$7:$AA$7,B30,'R2'!$V$27:$AA$27)</f>
        <v>332855.22294734372</v>
      </c>
      <c r="Y30" s="55"/>
      <c r="Z30" s="27">
        <f>SUMIF('R2'!$V$7:$AA$7,B30,'R2'!$V$10:$AA$10)</f>
        <v>1386480.303951829</v>
      </c>
      <c r="AA30" s="55"/>
    </row>
    <row r="31" spans="1:27" ht="15.75" thickBot="1" x14ac:dyDescent="0.3">
      <c r="A31" s="99"/>
      <c r="B31" s="32">
        <v>2100</v>
      </c>
      <c r="C31" s="9">
        <f>SUMIF('R2'!$V$7:$AA$7,B31,'R2'!$V$17:$AA$17)</f>
        <v>17.447839999999999</v>
      </c>
      <c r="D31" s="44">
        <f>SUMIF('R2'!$V$7:$AA$7,B31,'R2'!$V$21:$AA$21)</f>
        <v>0.96439833420871968</v>
      </c>
      <c r="E31" s="36">
        <f>SUMIF('R2'!$V$7:$AA$7,B31,'R2'!$V$22:$AA$22)</f>
        <v>0.99844694181596516</v>
      </c>
      <c r="F31" s="48">
        <f t="shared" si="23"/>
        <v>1.0353055437773875</v>
      </c>
      <c r="G31" s="56"/>
      <c r="H31" s="7">
        <f>SUMIF('R2'!$V$7:$AA$7,B31,'R2'!$V$19:$AA$19)</f>
        <v>0.92311634638663587</v>
      </c>
      <c r="I31" s="8">
        <f>SUMIF('R2'!$V$7:$AA$7,B31,'R2'!$V$20:$AA$20)</f>
        <v>1</v>
      </c>
      <c r="J31" s="8">
        <f t="shared" si="24"/>
        <v>1.0832870676749584</v>
      </c>
      <c r="K31" s="56"/>
      <c r="L31" s="28">
        <f>SUMIF('R2'!$V$7:$AA$7,B31,'R2'!$V$11:$AA$11)</f>
        <v>0.1935564824648765</v>
      </c>
      <c r="M31" s="25">
        <f>SUMIF('R2'!$V$7:$AA$7,B31,'R2'!$V$12:$AA$12)</f>
        <v>6.3751896562615151</v>
      </c>
      <c r="N31" s="25">
        <f t="shared" si="0"/>
        <v>6.5687461387263912</v>
      </c>
      <c r="O31" s="56"/>
      <c r="P31" s="41">
        <f t="shared" si="1"/>
        <v>32.937102261188187</v>
      </c>
      <c r="Q31" s="56"/>
      <c r="R31" s="28">
        <f>SUMIF('R2'!$V$7:$AA$7,B31,'R2'!$V$15:$AA$15)</f>
        <v>567655.96896973415</v>
      </c>
      <c r="S31" s="56"/>
      <c r="T31" s="28">
        <f>SUMIF('R2'!$V$7:$AA$7,B31,'R2'!$V$16:$AA$16)</f>
        <v>740125.32584936998</v>
      </c>
      <c r="U31" s="56"/>
      <c r="V31" s="25">
        <f t="shared" si="2"/>
        <v>1.3038272585993567</v>
      </c>
      <c r="W31" s="56"/>
      <c r="X31" s="28">
        <f>SUMIF('R2'!$V$7:$AA$7,B31,'R2'!$V$27:$AA$27)</f>
        <v>439999.32611759641</v>
      </c>
      <c r="Y31" s="56"/>
      <c r="Z31" s="28">
        <f>SUMIF('R2'!$V$7:$AA$7,B31,'R2'!$V$10:$AA$10)</f>
        <v>2890243.874477176</v>
      </c>
      <c r="AA31" s="56"/>
    </row>
    <row r="32" spans="1:27" ht="15" customHeight="1" x14ac:dyDescent="0.25">
      <c r="A32" s="97" t="str">
        <f>'R2'!B1</f>
        <v>Northern Cape</v>
      </c>
      <c r="B32" s="21">
        <v>2000</v>
      </c>
      <c r="C32" s="3">
        <f>SUMIF('R2'!$V$7:$AA$7,B32,'R2'!$V$42:$AA$42)</f>
        <v>17.447839999999999</v>
      </c>
      <c r="D32" s="42">
        <f>SUMIF('R2'!$V$7:$AA$7,B32,'R2'!$V$46:$AA$46)</f>
        <v>1</v>
      </c>
      <c r="E32" s="34">
        <f>SUMIF('R2'!$V$7:$AA$7,B32,'R2'!$V$47:$AA$47)</f>
        <v>1</v>
      </c>
      <c r="F32" s="49">
        <f t="shared" si="23"/>
        <v>1</v>
      </c>
      <c r="G32" s="57">
        <f t="shared" ref="G32:G37" si="25">(F32-$F26)/$F26</f>
        <v>0</v>
      </c>
      <c r="H32" s="1">
        <f>SUMIF('R2'!$V$7:$AA$7,B32,'R2'!$V$44:$AA$44)</f>
        <v>0.92311634638663587</v>
      </c>
      <c r="I32" s="2">
        <f>SUMIF('R2'!$V$7:$AA$7,B32,'R2'!$V$45:$AA$45)</f>
        <v>1</v>
      </c>
      <c r="J32" s="2">
        <f t="shared" si="24"/>
        <v>1.0832870676749584</v>
      </c>
      <c r="K32" s="57">
        <f t="shared" ref="K32:K37" si="26">(J32-$J26)/$J26</f>
        <v>0</v>
      </c>
      <c r="L32" s="26">
        <f>SUMIF('R2'!$V$7:$AA$7,B32,'R2'!$V$36:$AA$36)</f>
        <v>0.23874911168999999</v>
      </c>
      <c r="M32" s="23">
        <f>SUMIF('R2'!$V$7:$AA$7,B32,'R2'!$V$37:$AA$37)</f>
        <v>0.35730745699799998</v>
      </c>
      <c r="N32" s="23">
        <f t="shared" si="0"/>
        <v>0.59605656868799994</v>
      </c>
      <c r="O32" s="57"/>
      <c r="P32" s="38">
        <f t="shared" si="1"/>
        <v>1.4965813044026743</v>
      </c>
      <c r="Q32" s="57">
        <f t="shared" ref="Q32:Q37" si="27">(P32-$P26)/$P26</f>
        <v>0</v>
      </c>
      <c r="R32" s="26">
        <f>SUMIF('R2'!$V$7:$AA$7,B32,'R2'!$V$40:$AA$40)</f>
        <v>45393.77360074802</v>
      </c>
      <c r="S32" s="57">
        <f t="shared" ref="S32:S37" si="28">(R32-$R26)/$R26</f>
        <v>0</v>
      </c>
      <c r="T32" s="26">
        <f>SUMIF('R2'!$V$7:$AA$7,B32,'R2'!$V$41:$AA$41)</f>
        <v>59185.639391343168</v>
      </c>
      <c r="U32" s="57">
        <f t="shared" ref="U32:U37" si="29">(T32-$T26)/$T26</f>
        <v>0</v>
      </c>
      <c r="V32" s="23">
        <f t="shared" si="2"/>
        <v>1.3038272585993573</v>
      </c>
      <c r="W32" s="57">
        <f t="shared" ref="W32:W37" si="30">(V32-$V26)/$V26</f>
        <v>0</v>
      </c>
      <c r="X32" s="26">
        <f>SUMIF('R2'!$V$7:$AA$7,B32,'R2'!$V$52:$AA$52)</f>
        <v>18427.26254075639</v>
      </c>
      <c r="Y32" s="57">
        <f t="shared" ref="Y32:Y37" si="31">(X32-$X26)/$X26</f>
        <v>0</v>
      </c>
      <c r="Z32" s="26">
        <f>SUMIF('R2'!$V$7:$AA$7,B32,'R2'!$V$35:$AA$35)</f>
        <v>19171.410103999999</v>
      </c>
      <c r="AA32" s="57">
        <f t="shared" ref="AA32:AA37" si="32">(Z32-$Z26)/$Z26</f>
        <v>0</v>
      </c>
    </row>
    <row r="33" spans="1:30" x14ac:dyDescent="0.25">
      <c r="A33" s="98"/>
      <c r="B33" s="31">
        <v>2020</v>
      </c>
      <c r="C33" s="14">
        <f>SUMIF('R2'!$V$7:$AA$7,B33,'R2'!$V$42:$AA$42)</f>
        <v>18.638359999999999</v>
      </c>
      <c r="D33" s="43">
        <f>SUMIF('R2'!$V$7:$AA$7,B33,'R2'!$V$46:$AA$46)</f>
        <v>0.93231395090361513</v>
      </c>
      <c r="E33" s="35">
        <f>SUMIF('R2'!$V$7:$AA$7,B33,'R2'!$V$47:$AA$47)</f>
        <v>0.98848865179879042</v>
      </c>
      <c r="F33" s="50">
        <f t="shared" si="23"/>
        <v>1.0602529875700453</v>
      </c>
      <c r="G33" s="58">
        <f t="shared" si="25"/>
        <v>2.4096696808591622E-2</v>
      </c>
      <c r="H33" s="4">
        <f>SUMIF('R2'!$V$7:$AA$7,B33,'R2'!$V$44:$AA$44)</f>
        <v>0.96078943915232329</v>
      </c>
      <c r="I33" s="5">
        <f>SUMIF('R2'!$V$7:$AA$7,B33,'R2'!$V$45:$AA$45)</f>
        <v>1</v>
      </c>
      <c r="J33" s="13">
        <f t="shared" si="24"/>
        <v>1.0408107741923882</v>
      </c>
      <c r="K33" s="58">
        <f t="shared" si="26"/>
        <v>-3.9210560847676684E-2</v>
      </c>
      <c r="L33" s="27">
        <f>SUMIF('R2'!$V$7:$AA$7,B33,'R2'!$V$36:$AA$36)</f>
        <v>0.26429436439050619</v>
      </c>
      <c r="M33" s="24">
        <f>SUMIF('R2'!$V$7:$AA$7,B33,'R2'!$V$37:$AA$37)</f>
        <v>0.73699227600343076</v>
      </c>
      <c r="N33" s="24">
        <f t="shared" si="0"/>
        <v>1.0012866403939369</v>
      </c>
      <c r="O33" s="58"/>
      <c r="P33" s="39">
        <f t="shared" si="1"/>
        <v>2.788528153837186</v>
      </c>
      <c r="Q33" s="58">
        <f t="shared" si="27"/>
        <v>4.0554630655950099E-3</v>
      </c>
      <c r="R33" s="27">
        <f>SUMIF('R2'!$V$7:$AA$7,B33,'R2'!$V$40:$AA$40)</f>
        <v>110021.48111141731</v>
      </c>
      <c r="S33" s="58">
        <f t="shared" si="28"/>
        <v>3.7190044565941073E-3</v>
      </c>
      <c r="T33" s="27">
        <f>SUMIF('R2'!$V$7:$AA$7,B33,'R2'!$V$41:$AA$41)</f>
        <v>140073.69279831921</v>
      </c>
      <c r="U33" s="58">
        <f t="shared" si="29"/>
        <v>-1.9898211189921133E-2</v>
      </c>
      <c r="V33" s="24">
        <f t="shared" si="2"/>
        <v>1.2731485831977523</v>
      </c>
      <c r="W33" s="58">
        <f t="shared" si="30"/>
        <v>-2.3529708555534854E-2</v>
      </c>
      <c r="X33" s="27">
        <f>SUMIF('R2'!$V$7:$AA$7,B33,'R2'!$V$52:$AA$52)</f>
        <v>77393.275450719404</v>
      </c>
      <c r="Y33" s="58">
        <f t="shared" si="31"/>
        <v>-2.9461008508751975E-2</v>
      </c>
      <c r="Z33" s="27">
        <f>SUMIF('R2'!$V$7:$AA$7,B33,'R2'!$V$35:$AA$35)</f>
        <v>77492.852765133386</v>
      </c>
      <c r="AA33" s="58">
        <f t="shared" si="32"/>
        <v>-2.9673530689193366E-2</v>
      </c>
    </row>
    <row r="34" spans="1:30" x14ac:dyDescent="0.25">
      <c r="A34" s="98"/>
      <c r="B34" s="31">
        <v>2040</v>
      </c>
      <c r="C34" s="6">
        <f>SUMIF('R2'!$V$7:$AA$7,B34,'R2'!$V$42:$AA$42)</f>
        <v>19.118860000000002</v>
      </c>
      <c r="D34" s="43">
        <f>SUMIF('R2'!$V$7:$AA$7,B34,'R2'!$V$46:$AA$46)</f>
        <v>0.91693862656807257</v>
      </c>
      <c r="E34" s="35">
        <f>SUMIF('R2'!$V$7:$AA$7,B34,'R2'!$V$47:$AA$47)</f>
        <v>0.98197288977586894</v>
      </c>
      <c r="F34" s="50">
        <f t="shared" si="23"/>
        <v>1.0709254265481294</v>
      </c>
      <c r="G34" s="58">
        <f t="shared" si="25"/>
        <v>3.4405188868959567E-2</v>
      </c>
      <c r="H34" s="4">
        <f>SUMIF('R2'!$V$7:$AA$7,B34,'R2'!$V$44:$AA$44)</f>
        <v>0.98019867330675492</v>
      </c>
      <c r="I34" s="5">
        <f>SUMIF('R2'!$V$7:$AA$7,B34,'R2'!$V$45:$AA$45)</f>
        <v>1</v>
      </c>
      <c r="J34" s="5">
        <f t="shared" si="24"/>
        <v>1.0202013400267562</v>
      </c>
      <c r="K34" s="58">
        <f t="shared" si="26"/>
        <v>-5.8235466415750788E-2</v>
      </c>
      <c r="L34" s="27">
        <f>SUMIF('R2'!$V$7:$AA$7,B34,'R2'!$V$36:$AA$36)</f>
        <v>0.26430529684738058</v>
      </c>
      <c r="M34" s="24">
        <f>SUMIF('R2'!$V$7:$AA$7,B34,'R2'!$V$37:$AA$37)</f>
        <v>1.371140490670383</v>
      </c>
      <c r="N34" s="24">
        <f t="shared" si="0"/>
        <v>1.6354457875177637</v>
      </c>
      <c r="O34" s="58"/>
      <c r="P34" s="40">
        <f t="shared" si="1"/>
        <v>5.1877147640447365</v>
      </c>
      <c r="Q34" s="58">
        <f t="shared" si="27"/>
        <v>6.5648133489103651E-3</v>
      </c>
      <c r="R34" s="27">
        <f>SUMIF('R2'!$V$7:$AA$7,B34,'R2'!$V$40:$AA$40)</f>
        <v>202234.81071981101</v>
      </c>
      <c r="S34" s="58">
        <f t="shared" si="28"/>
        <v>8.6643828628678032E-3</v>
      </c>
      <c r="T34" s="27">
        <f>SUMIF('R2'!$V$7:$AA$7,B34,'R2'!$V$41:$AA$41)</f>
        <v>254909.06435077291</v>
      </c>
      <c r="U34" s="58">
        <f t="shared" si="29"/>
        <v>-2.488464509177293E-2</v>
      </c>
      <c r="V34" s="24">
        <f t="shared" si="2"/>
        <v>1.2604608644944919</v>
      </c>
      <c r="W34" s="58">
        <f t="shared" si="30"/>
        <v>-3.3260843274171469E-2</v>
      </c>
      <c r="X34" s="27">
        <f>SUMIF('R2'!$V$7:$AA$7,B34,'R2'!$V$52:$AA$52)</f>
        <v>143897.40119490621</v>
      </c>
      <c r="Y34" s="58">
        <f t="shared" si="31"/>
        <v>-4.0743164679529549E-2</v>
      </c>
      <c r="Z34" s="27">
        <f>SUMIF('R2'!$V$7:$AA$7,B34,'R2'!$V$35:$AA$35)</f>
        <v>235336.39861896291</v>
      </c>
      <c r="AA34" s="58">
        <f t="shared" si="32"/>
        <v>-4.1183734684441635E-2</v>
      </c>
    </row>
    <row r="35" spans="1:30" x14ac:dyDescent="0.25">
      <c r="A35" s="98"/>
      <c r="B35" s="31">
        <v>2060</v>
      </c>
      <c r="C35" s="6">
        <f>SUMIF('R2'!$V$7:$AA$7,B35,'R2'!$V$42:$AA$42)</f>
        <v>19.971399999999999</v>
      </c>
      <c r="D35" s="43">
        <f>SUMIF('R2'!$V$7:$AA$7,B35,'R2'!$V$46:$AA$46)</f>
        <v>0.88225365744265238</v>
      </c>
      <c r="E35" s="35">
        <f>SUMIF('R2'!$V$7:$AA$7,B35,'R2'!$V$47:$AA$47)</f>
        <v>0.96476277921532627</v>
      </c>
      <c r="F35" s="50">
        <f t="shared" si="23"/>
        <v>1.0935208611226834</v>
      </c>
      <c r="G35" s="58">
        <f t="shared" si="25"/>
        <v>5.623008366486007E-2</v>
      </c>
      <c r="H35" s="4">
        <f>SUMIF('R2'!$V$7:$AA$7,B35,'R2'!$V$44:$AA$44)</f>
        <v>0.99004983374916744</v>
      </c>
      <c r="I35" s="5">
        <f>SUMIF('R2'!$V$7:$AA$7,B35,'R2'!$V$45:$AA$45)</f>
        <v>1</v>
      </c>
      <c r="J35" s="5">
        <f t="shared" si="24"/>
        <v>1.0100501670841686</v>
      </c>
      <c r="K35" s="58">
        <f t="shared" si="26"/>
        <v>-6.760618009405113E-2</v>
      </c>
      <c r="L35" s="27">
        <f>SUMIF('R2'!$V$7:$AA$7,B35,'R2'!$V$36:$AA$36)</f>
        <v>0.24747890534728209</v>
      </c>
      <c r="M35" s="24">
        <f>SUMIF('R2'!$V$7:$AA$7,B35,'R2'!$V$37:$AA$37)</f>
        <v>2.3760198564035768</v>
      </c>
      <c r="N35" s="24">
        <f t="shared" si="0"/>
        <v>2.6234987617508589</v>
      </c>
      <c r="O35" s="58"/>
      <c r="P35" s="40">
        <f t="shared" si="1"/>
        <v>9.600898521307732</v>
      </c>
      <c r="Q35" s="58">
        <f t="shared" si="27"/>
        <v>3.8308079067427663E-3</v>
      </c>
      <c r="R35" s="27">
        <f>SUMIF('R2'!$V$7:$AA$7,B35,'R2'!$V$40:$AA$40)</f>
        <v>313757.78652920359</v>
      </c>
      <c r="S35" s="58">
        <f t="shared" si="28"/>
        <v>1.2454404377544978E-2</v>
      </c>
      <c r="T35" s="27">
        <f>SUMIF('R2'!$V$7:$AA$7,B35,'R2'!$V$41:$AA$41)</f>
        <v>387307.61507487617</v>
      </c>
      <c r="U35" s="58">
        <f t="shared" si="29"/>
        <v>-4.1445211573054121E-2</v>
      </c>
      <c r="V35" s="24">
        <f t="shared" si="2"/>
        <v>1.2344159466424167</v>
      </c>
      <c r="W35" s="58">
        <f t="shared" si="30"/>
        <v>-5.3236585981110432E-2</v>
      </c>
      <c r="X35" s="27">
        <f>SUMIF('R2'!$V$7:$AA$7,B35,'R2'!$V$52:$AA$52)</f>
        <v>218714.59732881151</v>
      </c>
      <c r="Y35" s="58">
        <f t="shared" si="31"/>
        <v>-7.3703037349276065E-2</v>
      </c>
      <c r="Z35" s="27">
        <f>SUMIF('R2'!$V$7:$AA$7,B35,'R2'!$V$35:$AA$35)</f>
        <v>573797.47526897478</v>
      </c>
      <c r="AA35" s="58">
        <f t="shared" si="32"/>
        <v>-7.420894537922483E-2</v>
      </c>
    </row>
    <row r="36" spans="1:30" x14ac:dyDescent="0.25">
      <c r="A36" s="98"/>
      <c r="B36" s="31">
        <v>2080</v>
      </c>
      <c r="C36" s="6">
        <f>SUMIF('R2'!$V$7:$AA$7,B36,'R2'!$V$42:$AA$42)</f>
        <v>20.8019</v>
      </c>
      <c r="D36" s="43">
        <f>SUMIF('R2'!$V$7:$AA$7,B36,'R2'!$V$46:$AA$46)</f>
        <v>0.84289864993793617</v>
      </c>
      <c r="E36" s="35">
        <f>SUMIF('R2'!$V$7:$AA$7,B36,'R2'!$V$47:$AA$47)</f>
        <v>0.94223331790392795</v>
      </c>
      <c r="F36" s="50">
        <f t="shared" si="23"/>
        <v>1.117848887257449</v>
      </c>
      <c r="G36" s="58">
        <f t="shared" si="25"/>
        <v>7.9728485929763449E-2</v>
      </c>
      <c r="H36" s="4">
        <f>SUMIF('R2'!$V$7:$AA$7,B36,'R2'!$V$44:$AA$44)</f>
        <v>1</v>
      </c>
      <c r="I36" s="5">
        <f>SUMIF('R2'!$V$7:$AA$7,B36,'R2'!$V$45:$AA$45)</f>
        <v>1</v>
      </c>
      <c r="J36" s="5">
        <f t="shared" si="24"/>
        <v>1</v>
      </c>
      <c r="K36" s="58">
        <f t="shared" si="26"/>
        <v>-7.6883653613364092E-2</v>
      </c>
      <c r="L36" s="27">
        <f>SUMIF('R2'!$V$7:$AA$7,B36,'R2'!$V$36:$AA$36)</f>
        <v>0.22187340044525761</v>
      </c>
      <c r="M36" s="24">
        <f>SUMIF('R2'!$V$7:$AA$7,B36,'R2'!$V$37:$AA$37)</f>
        <v>3.9412216783657952</v>
      </c>
      <c r="N36" s="24">
        <f t="shared" si="0"/>
        <v>4.163095078811053</v>
      </c>
      <c r="O36" s="58"/>
      <c r="P36" s="40">
        <f t="shared" si="1"/>
        <v>17.763380695732408</v>
      </c>
      <c r="Q36" s="58">
        <f t="shared" si="27"/>
        <v>8.2293652348370942E-4</v>
      </c>
      <c r="R36" s="27">
        <f>SUMIF('R2'!$V$7:$AA$7,B36,'R2'!$V$40:$AA$40)</f>
        <v>437527.32738715142</v>
      </c>
      <c r="S36" s="58">
        <f t="shared" si="28"/>
        <v>1.2512875845006217E-2</v>
      </c>
      <c r="T36" s="27">
        <f>SUMIF('R2'!$V$7:$AA$7,B36,'R2'!$V$41:$AA$41)</f>
        <v>528336.58022670832</v>
      </c>
      <c r="U36" s="58">
        <f t="shared" si="29"/>
        <v>-6.2252326358581987E-2</v>
      </c>
      <c r="V36" s="24">
        <f t="shared" si="2"/>
        <v>1.2075510423128455</v>
      </c>
      <c r="W36" s="58">
        <f t="shared" si="30"/>
        <v>-7.3841235985460371E-2</v>
      </c>
      <c r="X36" s="27">
        <f>SUMIF('R2'!$V$7:$AA$7,B36,'R2'!$V$52:$AA$52)</f>
        <v>294563.93740845408</v>
      </c>
      <c r="Y36" s="58">
        <f t="shared" si="31"/>
        <v>-0.1150388604385732</v>
      </c>
      <c r="Z36" s="27">
        <f>SUMIF('R2'!$V$7:$AA$7,B36,'R2'!$V$35:$AA$35)</f>
        <v>1226297.6782203419</v>
      </c>
      <c r="AA36" s="58">
        <f t="shared" si="32"/>
        <v>-0.11553184367273374</v>
      </c>
    </row>
    <row r="37" spans="1:30" ht="15.75" thickBot="1" x14ac:dyDescent="0.3">
      <c r="A37" s="99"/>
      <c r="B37" s="32">
        <v>2100</v>
      </c>
      <c r="C37" s="9">
        <f>SUMIF('R2'!$V$7:$AA$7,B37,'R2'!$V$42:$AA$42)</f>
        <v>21.297689999999999</v>
      </c>
      <c r="D37" s="44">
        <f>SUMIF('R2'!$V$7:$AA$7,B37,'R2'!$V$46:$AA$46)</f>
        <v>0.82170053132997734</v>
      </c>
      <c r="E37" s="36">
        <f>SUMIF('R2'!$V$7:$AA$7,B37,'R2'!$V$47:$AA$47)</f>
        <v>0.929093029196988</v>
      </c>
      <c r="F37" s="51">
        <f t="shared" si="23"/>
        <v>1.1306954222034988</v>
      </c>
      <c r="G37" s="59">
        <f t="shared" si="25"/>
        <v>9.2136933873718532E-2</v>
      </c>
      <c r="H37" s="7">
        <f>SUMIF('R2'!$V$7:$AA$7,B37,'R2'!$V$44:$AA$44)</f>
        <v>1</v>
      </c>
      <c r="I37" s="8">
        <f>SUMIF('R2'!$V$7:$AA$7,B37,'R2'!$V$45:$AA$45)</f>
        <v>1</v>
      </c>
      <c r="J37" s="8">
        <f t="shared" si="24"/>
        <v>1</v>
      </c>
      <c r="K37" s="59">
        <f t="shared" si="26"/>
        <v>-7.6883653613364092E-2</v>
      </c>
      <c r="L37" s="28">
        <f>SUMIF('R2'!$V$7:$AA$7,B37,'R2'!$V$36:$AA$36)</f>
        <v>0.19383386468255931</v>
      </c>
      <c r="M37" s="25">
        <f>SUMIF('R2'!$V$7:$AA$7,B37,'R2'!$V$37:$AA$37)</f>
        <v>6.3713528765942433</v>
      </c>
      <c r="N37" s="25">
        <f t="shared" si="0"/>
        <v>6.5651867412768024</v>
      </c>
      <c r="O37" s="59"/>
      <c r="P37" s="41">
        <f t="shared" si="1"/>
        <v>32.870174089695702</v>
      </c>
      <c r="Q37" s="59">
        <f t="shared" si="27"/>
        <v>-2.0319993836054777E-3</v>
      </c>
      <c r="R37" s="33">
        <f>SUMIF('R2'!$V$7:$AA$7,B37,'R2'!$V$40:$AA$40)</f>
        <v>574582.28377392644</v>
      </c>
      <c r="S37" s="59">
        <f t="shared" si="28"/>
        <v>1.2201606576538218E-2</v>
      </c>
      <c r="T37" s="28">
        <f>SUMIF('R2'!$V$7:$AA$7,B37,'R2'!$V$41:$AA$41)</f>
        <v>685954.31640199444</v>
      </c>
      <c r="U37" s="59">
        <f t="shared" si="29"/>
        <v>-7.3191671133816069E-2</v>
      </c>
      <c r="V37" s="25">
        <f t="shared" si="2"/>
        <v>1.1938313027971605</v>
      </c>
      <c r="W37" s="59">
        <f t="shared" si="30"/>
        <v>-8.4363902562030996E-2</v>
      </c>
      <c r="X37" s="28">
        <f>SUMIF('R2'!$V$7:$AA$7,B37,'R2'!$V$52:$AA$52)</f>
        <v>379463.09567673597</v>
      </c>
      <c r="Y37" s="59">
        <f t="shared" si="31"/>
        <v>-0.13758255262573113</v>
      </c>
      <c r="Z37" s="28">
        <f>SUMIF('R2'!$V$7:$AA$7,B37,'R2'!$V$35:$AA$35)</f>
        <v>2491246.0845407578</v>
      </c>
      <c r="AA37" s="59">
        <f t="shared" si="32"/>
        <v>-0.13804986958361565</v>
      </c>
    </row>
    <row r="38" spans="1:30" x14ac:dyDescent="0.25">
      <c r="A38" s="94" t="s">
        <v>6</v>
      </c>
      <c r="B38" s="21">
        <v>2000</v>
      </c>
      <c r="C38" s="3">
        <f>SUMIF('R3'!$V$7:$AA$7,B38,'R3'!$V$17:$AA$17)</f>
        <v>15.19354</v>
      </c>
      <c r="D38" s="42">
        <f>SUMIF('R3'!$V$7:$AA$7,B38,'R3'!$V$21:$AA$21)</f>
        <v>1</v>
      </c>
      <c r="E38" s="34">
        <f>SUMIF('R3'!$V$7:$AA$7,B38,'R3'!$V$22:$AA$22)</f>
        <v>1</v>
      </c>
      <c r="F38" s="45">
        <f>E38/D38</f>
        <v>1</v>
      </c>
      <c r="G38" s="53"/>
      <c r="H38" s="1">
        <f>SUMIF('R3'!$V$7:$AA$7,B38,'R3'!$V$19:$AA$19)</f>
        <v>0.81873075307798171</v>
      </c>
      <c r="I38" s="2">
        <f>SUMIF('R3'!$V$7:$AA$7,B38,'R3'!$V$20:$AA$20)</f>
        <v>1</v>
      </c>
      <c r="J38" s="2">
        <f>I38/H38</f>
        <v>1.2214027581601701</v>
      </c>
      <c r="K38" s="53"/>
      <c r="L38" s="26">
        <f>SUMIF('R3'!$V$7:$AA$7,B38,'R3'!$V$11:$AA$11)</f>
        <v>0.75821948022449992</v>
      </c>
      <c r="M38" s="24">
        <f>SUMIF('R3'!$V$7:$AA$7,B38,'R3'!$V$12:$AA$12)</f>
        <v>1.1347370987379</v>
      </c>
      <c r="N38" s="23">
        <f t="shared" si="0"/>
        <v>1.8929565789623999</v>
      </c>
      <c r="O38" s="53"/>
      <c r="P38" s="38">
        <f t="shared" si="1"/>
        <v>1.4965813044026746</v>
      </c>
      <c r="Q38" s="53"/>
      <c r="R38" s="26">
        <f>SUMIF('R3'!$V$7:$AA$7,B38,'R3'!$V$15:$AA$15)</f>
        <v>44364.207815122681</v>
      </c>
      <c r="S38" s="53"/>
      <c r="T38" s="26">
        <f>SUMIF('R3'!$V$7:$AA$7,B38,'R3'!$V$16:$AA$16)</f>
        <v>60345.050465605484</v>
      </c>
      <c r="U38" s="53"/>
      <c r="V38" s="23">
        <f t="shared" si="2"/>
        <v>1.3602192721907529</v>
      </c>
      <c r="W38" s="53"/>
      <c r="X38" s="26">
        <f>SUMIF('R3'!$V$7:$AA$7,B38,'R3'!$V$27:$AA$27)</f>
        <v>18427.26254075639</v>
      </c>
      <c r="Y38" s="53"/>
      <c r="Z38" s="26">
        <f>SUMIF('R3'!$V$7:$AA$7,B38,'R3'!$V$10:$AA$10)</f>
        <v>60884.568329200003</v>
      </c>
      <c r="AA38" s="53"/>
      <c r="AB38" s="5"/>
      <c r="AC38" s="5"/>
      <c r="AD38" s="5"/>
    </row>
    <row r="39" spans="1:30" s="10" customFormat="1" x14ac:dyDescent="0.25">
      <c r="A39" s="95"/>
      <c r="B39" s="31">
        <v>2020</v>
      </c>
      <c r="C39" s="14">
        <f>SUMIF('R3'!$V$7:$AA$7,B39,'R3'!$V$17:$AA$17)</f>
        <v>15.19354</v>
      </c>
      <c r="D39" s="43">
        <f>SUMIF('R3'!$V$7:$AA$7,B39,'R3'!$V$21:$AA$21)</f>
        <v>0.99826693183986537</v>
      </c>
      <c r="E39" s="35">
        <f>SUMIF('R3'!$V$7:$AA$7,B39,'R3'!$V$22:$AA$22)</f>
        <v>0.99066394502072841</v>
      </c>
      <c r="F39" s="46">
        <f t="shared" ref="F39:F49" si="33">E39/D39</f>
        <v>0.99238381381107732</v>
      </c>
      <c r="G39" s="54"/>
      <c r="H39" s="4">
        <f>SUMIF('R3'!$V$7:$AA$7,B39,'R3'!$V$19:$AA$19)</f>
        <v>0.81873075307798171</v>
      </c>
      <c r="I39" s="5">
        <f>SUMIF('R3'!$V$7:$AA$7,B39,'R3'!$V$20:$AA$20)</f>
        <v>1</v>
      </c>
      <c r="J39" s="5">
        <f t="shared" ref="J39:J49" si="34">I39/H39</f>
        <v>1.2214027581601701</v>
      </c>
      <c r="K39" s="55"/>
      <c r="L39" s="27">
        <f>SUMIF('R3'!$V$7:$AA$7,B39,'R3'!$V$11:$AA$11)</f>
        <v>0.84203325471364565</v>
      </c>
      <c r="M39" s="24">
        <f>SUMIF('R3'!$V$7:$AA$7,B39,'R3'!$V$12:$AA$12)</f>
        <v>2.3385495359659849</v>
      </c>
      <c r="N39" s="24">
        <f t="shared" si="0"/>
        <v>3.1805827906796305</v>
      </c>
      <c r="O39" s="55"/>
      <c r="P39" s="39">
        <f t="shared" si="1"/>
        <v>2.7772650579712161</v>
      </c>
      <c r="Q39" s="55"/>
      <c r="R39" s="27">
        <f>SUMIF('R3'!$V$7:$AA$7,B39,'R3'!$V$15:$AA$15)</f>
        <v>108634.0552435243</v>
      </c>
      <c r="S39" s="55"/>
      <c r="T39" s="27">
        <f>SUMIF('R3'!$V$7:$AA$7,B39,'R3'!$V$16:$AA$16)</f>
        <v>147766.1355584767</v>
      </c>
      <c r="U39" s="55"/>
      <c r="V39" s="24">
        <f t="shared" si="2"/>
        <v>1.3602192721907531</v>
      </c>
      <c r="W39" s="55"/>
      <c r="X39" s="27">
        <f>SUMIF('R3'!$V$7:$AA$7,B39,'R3'!$V$27:$AA$27)</f>
        <v>81805.240320235811</v>
      </c>
      <c r="Y39" s="55"/>
      <c r="Z39" s="27">
        <f>SUMIF('R3'!$V$7:$AA$7,B39,'R3'!$V$10:$AA$10)</f>
        <v>260188.3395499535</v>
      </c>
      <c r="AA39" s="55"/>
      <c r="AB39" s="13"/>
      <c r="AC39" s="13"/>
      <c r="AD39" s="13"/>
    </row>
    <row r="40" spans="1:30" x14ac:dyDescent="0.25">
      <c r="A40" s="95"/>
      <c r="B40" s="31">
        <v>2040</v>
      </c>
      <c r="C40" s="6">
        <f>SUMIF('R3'!$V$7:$AA$7,B40,'R3'!$V$17:$AA$17)</f>
        <v>15.19354</v>
      </c>
      <c r="D40" s="43">
        <f>SUMIF('R3'!$V$7:$AA$7,B40,'R3'!$V$21:$AA$21)</f>
        <v>0.99826693183986537</v>
      </c>
      <c r="E40" s="35">
        <f>SUMIF('R3'!$V$7:$AA$7,B40,'R3'!$V$22:$AA$22)</f>
        <v>0.99066394502072841</v>
      </c>
      <c r="F40" s="47">
        <f t="shared" si="33"/>
        <v>0.99238381381107732</v>
      </c>
      <c r="G40" s="55"/>
      <c r="H40" s="4">
        <f>SUMIF('R3'!$V$7:$AA$7,B40,'R3'!$V$19:$AA$19)</f>
        <v>0.81873075307798171</v>
      </c>
      <c r="I40" s="5">
        <f>SUMIF('R3'!$V$7:$AA$7,B40,'R3'!$V$20:$AA$20)</f>
        <v>1</v>
      </c>
      <c r="J40" s="5">
        <f t="shared" si="34"/>
        <v>1.2214027581601701</v>
      </c>
      <c r="K40" s="55"/>
      <c r="L40" s="27">
        <f>SUMIF('R3'!$V$7:$AA$7,B40,'R3'!$V$11:$AA$11)</f>
        <v>0.84438357616233595</v>
      </c>
      <c r="M40" s="24">
        <f>SUMIF('R3'!$V$7:$AA$7,B40,'R3'!$V$12:$AA$12)</f>
        <v>4.3518520481560241</v>
      </c>
      <c r="N40" s="24">
        <f t="shared" si="0"/>
        <v>5.1962356243183603</v>
      </c>
      <c r="O40" s="55"/>
      <c r="P40" s="40">
        <f t="shared" si="1"/>
        <v>5.1538805005361263</v>
      </c>
      <c r="Q40" s="55"/>
      <c r="R40" s="27">
        <f>SUMIF('R3'!$V$7:$AA$7,B40,'R3'!$V$15:$AA$15)</f>
        <v>196040.7048850698</v>
      </c>
      <c r="S40" s="55"/>
      <c r="T40" s="27">
        <f>SUMIF('R3'!$V$7:$AA$7,B40,'R3'!$V$16:$AA$16)</f>
        <v>266658.34491853189</v>
      </c>
      <c r="U40" s="55"/>
      <c r="V40" s="24">
        <f t="shared" si="2"/>
        <v>1.3602192721907531</v>
      </c>
      <c r="W40" s="55"/>
      <c r="X40" s="27">
        <f>SUMIF('R3'!$V$7:$AA$7,B40,'R3'!$V$27:$AA$27)</f>
        <v>151825.70616905531</v>
      </c>
      <c r="Y40" s="55"/>
      <c r="Z40" s="27">
        <f>SUMIF('R3'!$V$7:$AA$7,B40,'R3'!$V$10:$AA$10)</f>
        <v>788922.14308293711</v>
      </c>
      <c r="AA40" s="55"/>
      <c r="AB40" s="5"/>
      <c r="AC40" s="5"/>
      <c r="AD40" s="5"/>
    </row>
    <row r="41" spans="1:30" x14ac:dyDescent="0.25">
      <c r="A41" s="95"/>
      <c r="B41" s="31">
        <v>2060</v>
      </c>
      <c r="C41" s="6">
        <f>SUMIF('R3'!$V$7:$AA$7,B41,'R3'!$V$17:$AA$17)</f>
        <v>15.19354</v>
      </c>
      <c r="D41" s="43">
        <f>SUMIF('R3'!$V$7:$AA$7,B41,'R3'!$V$21:$AA$21)</f>
        <v>0.99826693183986537</v>
      </c>
      <c r="E41" s="35">
        <f>SUMIF('R3'!$V$7:$AA$7,B41,'R3'!$V$22:$AA$22)</f>
        <v>0.99066394502072841</v>
      </c>
      <c r="F41" s="47">
        <f t="shared" si="33"/>
        <v>0.99238381381107732</v>
      </c>
      <c r="G41" s="55"/>
      <c r="H41" s="4">
        <f>SUMIF('R3'!$V$7:$AA$7,B41,'R3'!$V$19:$AA$19)</f>
        <v>0.81873075307798171</v>
      </c>
      <c r="I41" s="5">
        <f>SUMIF('R3'!$V$7:$AA$7,B41,'R3'!$V$20:$AA$20)</f>
        <v>1</v>
      </c>
      <c r="J41" s="5">
        <f t="shared" si="34"/>
        <v>1.2214027581601701</v>
      </c>
      <c r="K41" s="55"/>
      <c r="L41" s="27">
        <f>SUMIF('R3'!$V$7:$AA$7,B41,'R3'!$V$11:$AA$11)</f>
        <v>0.78910033751592634</v>
      </c>
      <c r="M41" s="24">
        <f>SUMIF('R3'!$V$7:$AA$7,B41,'R3'!$V$12:$AA$12)</f>
        <v>7.547160541344847</v>
      </c>
      <c r="N41" s="24">
        <f t="shared" si="0"/>
        <v>8.3362608788607737</v>
      </c>
      <c r="O41" s="55"/>
      <c r="P41" s="40">
        <f t="shared" si="1"/>
        <v>9.5642596797045769</v>
      </c>
      <c r="Q41" s="55"/>
      <c r="R41" s="27">
        <f>SUMIF('R3'!$V$7:$AA$7,B41,'R3'!$V$15:$AA$15)</f>
        <v>300439.14844479109</v>
      </c>
      <c r="S41" s="55"/>
      <c r="T41" s="27">
        <f>SUMIF('R3'!$V$7:$AA$7,B41,'R3'!$V$16:$AA$16)</f>
        <v>408663.11983518308</v>
      </c>
      <c r="U41" s="55"/>
      <c r="V41" s="24">
        <f t="shared" si="2"/>
        <v>1.3602192721907522</v>
      </c>
      <c r="W41" s="55"/>
      <c r="X41" s="27">
        <f>SUMIF('R3'!$V$7:$AA$7,B41,'R3'!$V$27:$AA$27)</f>
        <v>236949.20004547</v>
      </c>
      <c r="Y41" s="55"/>
      <c r="Z41" s="27">
        <f>SUMIF('R3'!$V$7:$AA$7,B41,'R3'!$V$10:$AA$10)</f>
        <v>1975270.3466164069</v>
      </c>
      <c r="AA41" s="55"/>
      <c r="AB41" s="5"/>
      <c r="AC41" s="5"/>
      <c r="AD41" s="5"/>
    </row>
    <row r="42" spans="1:30" x14ac:dyDescent="0.25">
      <c r="A42" s="95"/>
      <c r="B42" s="31">
        <v>2080</v>
      </c>
      <c r="C42" s="6">
        <f>SUMIF('R3'!$V$7:$AA$7,B42,'R3'!$V$17:$AA$17)</f>
        <v>15.19354</v>
      </c>
      <c r="D42" s="43">
        <f>SUMIF('R3'!$V$7:$AA$7,B42,'R3'!$V$21:$AA$21)</f>
        <v>0.99826693183986537</v>
      </c>
      <c r="E42" s="35">
        <f>SUMIF('R3'!$V$7:$AA$7,B42,'R3'!$V$22:$AA$22)</f>
        <v>0.99066394502072841</v>
      </c>
      <c r="F42" s="47">
        <f t="shared" si="33"/>
        <v>0.99238381381107732</v>
      </c>
      <c r="G42" s="55"/>
      <c r="H42" s="4">
        <f>SUMIF('R3'!$V$7:$AA$7,B42,'R3'!$V$19:$AA$19)</f>
        <v>0.81873075307798171</v>
      </c>
      <c r="I42" s="5">
        <f>SUMIF('R3'!$V$7:$AA$7,B42,'R3'!$V$20:$AA$20)</f>
        <v>1</v>
      </c>
      <c r="J42" s="5">
        <f t="shared" si="34"/>
        <v>1.2214027581601701</v>
      </c>
      <c r="K42" s="55"/>
      <c r="L42" s="27">
        <f>SUMIF('R3'!$V$7:$AA$7,B42,'R3'!$V$11:$AA$11)</f>
        <v>0.70556757584061891</v>
      </c>
      <c r="M42" s="24">
        <f>SUMIF('R3'!$V$7:$AA$7,B42,'R3'!$V$12:$AA$12)</f>
        <v>12.522959855175021</v>
      </c>
      <c r="N42" s="24">
        <f t="shared" si="0"/>
        <v>13.228527431015639</v>
      </c>
      <c r="O42" s="55"/>
      <c r="P42" s="40">
        <f t="shared" si="1"/>
        <v>17.748774580882724</v>
      </c>
      <c r="Q42" s="55"/>
      <c r="R42" s="27">
        <f>SUMIF('R3'!$V$7:$AA$7,B42,'R3'!$V$15:$AA$15)</f>
        <v>416829.90615871153</v>
      </c>
      <c r="S42" s="55"/>
      <c r="T42" s="27">
        <f>SUMIF('R3'!$V$7:$AA$7,B42,'R3'!$V$16:$AA$16)</f>
        <v>566980.07158254273</v>
      </c>
      <c r="U42" s="55"/>
      <c r="V42" s="24">
        <f t="shared" si="2"/>
        <v>1.3602192721907536</v>
      </c>
      <c r="W42" s="55"/>
      <c r="X42" s="27">
        <f>SUMIF('R3'!$V$7:$AA$7,B42,'R3'!$V$27:$AA$27)</f>
        <v>332353.18970149761</v>
      </c>
      <c r="Y42" s="55"/>
      <c r="Z42" s="27">
        <f>SUMIF('R3'!$V$7:$AA$7,B42,'R3'!$V$10:$AA$10)</f>
        <v>4396543.2867518058</v>
      </c>
      <c r="AA42" s="55"/>
      <c r="AB42" s="5"/>
      <c r="AC42" s="5"/>
      <c r="AD42" s="5"/>
    </row>
    <row r="43" spans="1:30" ht="15.75" thickBot="1" x14ac:dyDescent="0.3">
      <c r="A43" s="96"/>
      <c r="B43" s="32">
        <v>2100</v>
      </c>
      <c r="C43" s="9">
        <f>SUMIF('R3'!$V$7:$AA$7,B43,'R3'!$V$17:$AA$17)</f>
        <v>15.19354</v>
      </c>
      <c r="D43" s="44">
        <f>SUMIF('R3'!$V$7:$AA$7,B43,'R3'!$V$21:$AA$21)</f>
        <v>0.99826693183986537</v>
      </c>
      <c r="E43" s="36">
        <f>SUMIF('R3'!$V$7:$AA$7,B43,'R3'!$V$22:$AA$22)</f>
        <v>0.99066394502072841</v>
      </c>
      <c r="F43" s="48">
        <f t="shared" si="33"/>
        <v>0.99238381381107732</v>
      </c>
      <c r="G43" s="56"/>
      <c r="H43" s="7">
        <f>SUMIF('R3'!$V$7:$AA$7,B43,'R3'!$V$19:$AA$19)</f>
        <v>0.81873075307798171</v>
      </c>
      <c r="I43" s="8">
        <f>SUMIF('R3'!$V$7:$AA$7,B43,'R3'!$V$20:$AA$20)</f>
        <v>1</v>
      </c>
      <c r="J43" s="8">
        <f t="shared" si="34"/>
        <v>1.2214027581601701</v>
      </c>
      <c r="K43" s="56"/>
      <c r="L43" s="28">
        <f>SUMIF('R3'!$V$7:$AA$7,B43,'R3'!$V$11:$AA$11)</f>
        <v>0.61469671861714426</v>
      </c>
      <c r="M43" s="25">
        <f>SUMIF('R3'!$V$7:$AA$7,B43,'R3'!$V$12:$AA$12)</f>
        <v>20.246328680709709</v>
      </c>
      <c r="N43" s="25">
        <f t="shared" si="0"/>
        <v>20.861025399326852</v>
      </c>
      <c r="O43" s="56"/>
      <c r="P43" s="41">
        <f t="shared" si="1"/>
        <v>32.937102261188201</v>
      </c>
      <c r="Q43" s="56"/>
      <c r="R43" s="28">
        <f>SUMIF('R3'!$V$7:$AA$7,B43,'R3'!$V$15:$AA$15)</f>
        <v>546011.19105995714</v>
      </c>
      <c r="S43" s="56"/>
      <c r="T43" s="28">
        <f>SUMIF('R3'!$V$7:$AA$7,B43,'R3'!$V$16:$AA$16)</f>
        <v>742694.94491158111</v>
      </c>
      <c r="U43" s="56"/>
      <c r="V43" s="25">
        <f t="shared" si="2"/>
        <v>1.3602192721907531</v>
      </c>
      <c r="W43" s="56"/>
      <c r="X43" s="28">
        <f>SUMIF('R3'!$V$7:$AA$7,B43,'R3'!$V$27:$AA$27)</f>
        <v>438085.19861956878</v>
      </c>
      <c r="Y43" s="56"/>
      <c r="Z43" s="28">
        <f>SUMIF('R3'!$V$7:$AA$7,B43,'R3'!$V$10:$AA$10)</f>
        <v>9138906.4554719739</v>
      </c>
      <c r="AA43" s="56"/>
      <c r="AB43" s="5"/>
      <c r="AC43" s="5"/>
      <c r="AD43" s="5"/>
    </row>
    <row r="44" spans="1:30" x14ac:dyDescent="0.25">
      <c r="A44" s="94" t="str">
        <f>'R3'!B1</f>
        <v>Free State</v>
      </c>
      <c r="B44" s="21">
        <v>2000</v>
      </c>
      <c r="C44" s="3">
        <f>SUMIF('R3'!$V$7:$AA$7,B44,'R3'!$V$42:$AA$42)</f>
        <v>15.19354</v>
      </c>
      <c r="D44" s="42">
        <f>SUMIF('R3'!$V$7:$AA$7,B44,'R3'!$V$46:$AA$46)</f>
        <v>1</v>
      </c>
      <c r="E44" s="34">
        <f>SUMIF('R3'!$V$7:$AA$7,B44,'R3'!$V$47:$AA$47)</f>
        <v>1</v>
      </c>
      <c r="F44" s="49">
        <f t="shared" si="33"/>
        <v>1</v>
      </c>
      <c r="G44" s="57">
        <f t="shared" ref="G44:G49" si="35">(F44-$F38)/$F38</f>
        <v>0</v>
      </c>
      <c r="H44" s="1">
        <f>SUMIF('R3'!$V$7:$AA$7,B44,'R3'!$V$44:$AA$44)</f>
        <v>0.81873075307798171</v>
      </c>
      <c r="I44" s="2">
        <f>SUMIF('R3'!$V$7:$AA$7,B44,'R3'!$V$45:$AA$45)</f>
        <v>1</v>
      </c>
      <c r="J44" s="2">
        <f t="shared" si="34"/>
        <v>1.2214027581601701</v>
      </c>
      <c r="K44" s="57">
        <f t="shared" ref="K44:K49" si="36">(J44-$J38)/$J38</f>
        <v>0</v>
      </c>
      <c r="L44" s="26">
        <f>SUMIF('R3'!$V$7:$AA$7,B44,'R3'!$V$36:$AA$36)</f>
        <v>0.75821948022449992</v>
      </c>
      <c r="M44" s="23">
        <f>SUMIF('R3'!$V$7:$AA$7,B44,'R3'!$V$37:$AA$37)</f>
        <v>1.1347370987379</v>
      </c>
      <c r="N44" s="23">
        <f t="shared" si="0"/>
        <v>1.8929565789623999</v>
      </c>
      <c r="O44" s="57"/>
      <c r="P44" s="38">
        <f t="shared" si="1"/>
        <v>1.4965813044026746</v>
      </c>
      <c r="Q44" s="57">
        <f t="shared" ref="Q44:Q49" si="37">(P44-$P38)/$P38</f>
        <v>0</v>
      </c>
      <c r="R44" s="26">
        <f>SUMIF('R3'!$V$7:$AA$7,B44,'R3'!$V$40:$AA$40)</f>
        <v>44364.207815122681</v>
      </c>
      <c r="S44" s="57">
        <f t="shared" ref="S44:S49" si="38">(R44-$R38)/$R38</f>
        <v>0</v>
      </c>
      <c r="T44" s="26">
        <f>SUMIF('R3'!$V$7:$AA$7,B44,'R3'!$V$41:$AA$41)</f>
        <v>60345.050465605484</v>
      </c>
      <c r="U44" s="57">
        <f t="shared" ref="U44:U49" si="39">(T44-$T38)/$T38</f>
        <v>0</v>
      </c>
      <c r="V44" s="23">
        <f t="shared" si="2"/>
        <v>1.3602192721907529</v>
      </c>
      <c r="W44" s="57">
        <f t="shared" ref="W44:W49" si="40">(V44-$V38)/$V38</f>
        <v>0</v>
      </c>
      <c r="X44" s="26">
        <f>SUMIF('R3'!$V$7:$AA$7,B44,'R3'!$V$52:$AA$52)</f>
        <v>18427.26254075639</v>
      </c>
      <c r="Y44" s="57">
        <f t="shared" ref="Y44:Y49" si="41">(X44-$X38)/$X38</f>
        <v>0</v>
      </c>
      <c r="Z44" s="26">
        <f>SUMIF('R3'!$V$7:$AA$7,B44,'R3'!$V$35:$AA$35)</f>
        <v>60884.568329200003</v>
      </c>
      <c r="AA44" s="57">
        <f t="shared" ref="AA44:AA49" si="42">(Z44-$Z38)/$Z38</f>
        <v>0</v>
      </c>
      <c r="AB44" s="5"/>
      <c r="AC44" s="5"/>
      <c r="AD44" s="5"/>
    </row>
    <row r="45" spans="1:30" x14ac:dyDescent="0.25">
      <c r="A45" s="95"/>
      <c r="B45" s="31">
        <v>2020</v>
      </c>
      <c r="C45" s="14">
        <f>SUMIF('R3'!$V$7:$AA$7,B45,'R3'!$V$42:$AA$42)</f>
        <v>16.158560000000001</v>
      </c>
      <c r="D45" s="43">
        <f>SUMIF('R3'!$V$7:$AA$7,B45,'R3'!$V$46:$AA$46)</f>
        <v>0.98981601150395304</v>
      </c>
      <c r="E45" s="35">
        <f>SUMIF('R3'!$V$7:$AA$7,B45,'R3'!$V$47:$AA$47)</f>
        <v>0.99821170661870895</v>
      </c>
      <c r="F45" s="50">
        <f t="shared" si="33"/>
        <v>1.0084820764840925</v>
      </c>
      <c r="G45" s="58">
        <f t="shared" si="35"/>
        <v>1.6221811005958067E-2</v>
      </c>
      <c r="H45" s="4">
        <f>SUMIF('R3'!$V$7:$AA$7,B45,'R3'!$V$44:$AA$44)</f>
        <v>0.8693582353988053</v>
      </c>
      <c r="I45" s="5">
        <f>SUMIF('R3'!$V$7:$AA$7,B45,'R3'!$V$45:$AA$45)</f>
        <v>1</v>
      </c>
      <c r="J45" s="13">
        <f t="shared" si="34"/>
        <v>1.150273798857228</v>
      </c>
      <c r="K45" s="58">
        <f t="shared" si="36"/>
        <v>-5.8235466415750857E-2</v>
      </c>
      <c r="L45" s="27">
        <f>SUMIF('R3'!$V$7:$AA$7,B45,'R3'!$V$36:$AA$36)</f>
        <v>0.83475971578066432</v>
      </c>
      <c r="M45" s="24">
        <f>SUMIF('R3'!$V$7:$AA$7,B45,'R3'!$V$37:$AA$37)</f>
        <v>2.3439379030172631</v>
      </c>
      <c r="N45" s="24">
        <f t="shared" si="0"/>
        <v>3.1786976187979272</v>
      </c>
      <c r="O45" s="58"/>
      <c r="P45" s="39">
        <f t="shared" si="1"/>
        <v>2.807919283485333</v>
      </c>
      <c r="Q45" s="58">
        <f t="shared" si="37"/>
        <v>1.1037558488029125E-2</v>
      </c>
      <c r="R45" s="27">
        <f>SUMIF('R3'!$V$7:$AA$7,B45,'R3'!$V$40:$AA$40)</f>
        <v>110516.915352968</v>
      </c>
      <c r="S45" s="58">
        <f t="shared" si="38"/>
        <v>1.7332134984953913E-2</v>
      </c>
      <c r="T45" s="27">
        <f>SUMIF('R3'!$V$7:$AA$7,B45,'R3'!$V$41:$AA$41)</f>
        <v>147927.58484230161</v>
      </c>
      <c r="U45" s="58">
        <f t="shared" si="39"/>
        <v>1.0926000278394083E-3</v>
      </c>
      <c r="V45" s="24">
        <f t="shared" si="2"/>
        <v>1.3385062763455868</v>
      </c>
      <c r="W45" s="58">
        <f t="shared" si="40"/>
        <v>-1.5962864435963762E-2</v>
      </c>
      <c r="X45" s="27">
        <f>SUMIF('R3'!$V$7:$AA$7,B45,'R3'!$V$52:$AA$52)</f>
        <v>82567.505809254057</v>
      </c>
      <c r="Y45" s="58">
        <f t="shared" si="41"/>
        <v>9.3180520714109729E-3</v>
      </c>
      <c r="Z45" s="27">
        <f>SUMIF('R3'!$V$7:$AA$7,B45,'R3'!$V$35:$AA$35)</f>
        <v>262457.13410595991</v>
      </c>
      <c r="AA45" s="58">
        <f t="shared" si="42"/>
        <v>8.7198164219454786E-3</v>
      </c>
      <c r="AB45" s="5"/>
      <c r="AC45" s="5"/>
      <c r="AD45" s="5"/>
    </row>
    <row r="46" spans="1:30" x14ac:dyDescent="0.25">
      <c r="A46" s="95"/>
      <c r="B46" s="31">
        <v>2040</v>
      </c>
      <c r="C46" s="6">
        <f>SUMIF('R3'!$V$7:$AA$7,B46,'R3'!$V$42:$AA$42)</f>
        <v>16.665310000000002</v>
      </c>
      <c r="D46" s="43">
        <f>SUMIF('R3'!$V$7:$AA$7,B46,'R3'!$V$46:$AA$46)</f>
        <v>0.98300570279749855</v>
      </c>
      <c r="E46" s="35">
        <f>SUMIF('R3'!$V$7:$AA$7,B46,'R3'!$V$47:$AA$47)</f>
        <v>0.99977488244563673</v>
      </c>
      <c r="F46" s="50">
        <f t="shared" si="33"/>
        <v>1.0170590868398988</v>
      </c>
      <c r="G46" s="58">
        <f t="shared" si="35"/>
        <v>2.4864646808436294E-2</v>
      </c>
      <c r="H46" s="4">
        <f>SUMIF('R3'!$V$7:$AA$7,B46,'R3'!$V$44:$AA$44)</f>
        <v>0.88692043671715748</v>
      </c>
      <c r="I46" s="5">
        <f>SUMIF('R3'!$V$7:$AA$7,B46,'R3'!$V$45:$AA$45)</f>
        <v>1</v>
      </c>
      <c r="J46" s="5">
        <f t="shared" si="34"/>
        <v>1.1274968515793757</v>
      </c>
      <c r="K46" s="58">
        <f t="shared" si="36"/>
        <v>-7.6883653613364342E-2</v>
      </c>
      <c r="L46" s="27">
        <f>SUMIF('R3'!$V$7:$AA$7,B46,'R3'!$V$36:$AA$36)</f>
        <v>0.83370984947490479</v>
      </c>
      <c r="M46" s="24">
        <f>SUMIF('R3'!$V$7:$AA$7,B46,'R3'!$V$37:$AA$37)</f>
        <v>4.3568091745379789</v>
      </c>
      <c r="N46" s="24">
        <f t="shared" si="0"/>
        <v>5.1905190240128833</v>
      </c>
      <c r="O46" s="58"/>
      <c r="P46" s="40">
        <f t="shared" si="1"/>
        <v>5.2258098873151448</v>
      </c>
      <c r="Q46" s="58">
        <f t="shared" si="37"/>
        <v>1.3956355171901275E-2</v>
      </c>
      <c r="R46" s="27">
        <f>SUMIF('R3'!$V$7:$AA$7,B46,'R3'!$V$40:$AA$40)</f>
        <v>201565.7684916592</v>
      </c>
      <c r="S46" s="58">
        <f t="shared" si="38"/>
        <v>2.8183246993671536E-2</v>
      </c>
      <c r="T46" s="27">
        <f>SUMIF('R3'!$V$7:$AA$7,B46,'R3'!$V$41:$AA$41)</f>
        <v>267521.80765538878</v>
      </c>
      <c r="U46" s="58">
        <f t="shared" si="39"/>
        <v>3.2380863127335902E-3</v>
      </c>
      <c r="V46" s="24">
        <f t="shared" si="2"/>
        <v>1.3272184540921137</v>
      </c>
      <c r="W46" s="58">
        <f t="shared" si="40"/>
        <v>-2.4261395771498436E-2</v>
      </c>
      <c r="X46" s="27">
        <f>SUMIF('R3'!$V$7:$AA$7,B46,'R3'!$V$52:$AA$52)</f>
        <v>153796.2499241904</v>
      </c>
      <c r="Y46" s="58">
        <f t="shared" si="41"/>
        <v>1.2978986265612525E-2</v>
      </c>
      <c r="Z46" s="27">
        <f>SUMIF('R3'!$V$7:$AA$7,B46,'R3'!$V$35:$AA$35)</f>
        <v>798282.36105335015</v>
      </c>
      <c r="AA46" s="58">
        <f t="shared" si="42"/>
        <v>1.1864564903496475E-2</v>
      </c>
      <c r="AB46" s="5"/>
      <c r="AC46" s="5"/>
      <c r="AD46" s="5"/>
    </row>
    <row r="47" spans="1:30" x14ac:dyDescent="0.25">
      <c r="A47" s="95"/>
      <c r="B47" s="31">
        <v>2060</v>
      </c>
      <c r="C47" s="6">
        <f>SUMIF('R3'!$V$7:$AA$7,B47,'R3'!$V$42:$AA$42)</f>
        <v>17.403829999999999</v>
      </c>
      <c r="D47" s="43">
        <f>SUMIF('R3'!$V$7:$AA$7,B47,'R3'!$V$46:$AA$46)</f>
        <v>0.96439833420871968</v>
      </c>
      <c r="E47" s="35">
        <f>SUMIF('R3'!$V$7:$AA$7,B47,'R3'!$V$47:$AA$47)</f>
        <v>0.99844694181596516</v>
      </c>
      <c r="F47" s="50">
        <f t="shared" si="33"/>
        <v>1.0353055437773875</v>
      </c>
      <c r="G47" s="58">
        <f t="shared" si="35"/>
        <v>4.3251138691467295E-2</v>
      </c>
      <c r="H47" s="4">
        <f>SUMIF('R3'!$V$7:$AA$7,B47,'R3'!$V$44:$AA$44)</f>
        <v>0.92311634638663587</v>
      </c>
      <c r="I47" s="5">
        <f>SUMIF('R3'!$V$7:$AA$7,B47,'R3'!$V$45:$AA$45)</f>
        <v>1</v>
      </c>
      <c r="J47" s="5">
        <f t="shared" si="34"/>
        <v>1.0832870676749584</v>
      </c>
      <c r="K47" s="58">
        <f t="shared" si="36"/>
        <v>-0.11307956328284277</v>
      </c>
      <c r="L47" s="27">
        <f>SUMIF('R3'!$V$7:$AA$7,B47,'R3'!$V$36:$AA$36)</f>
        <v>0.77414670423804177</v>
      </c>
      <c r="M47" s="24">
        <f>SUMIF('R3'!$V$7:$AA$7,B47,'R3'!$V$37:$AA$37)</f>
        <v>7.5492923850096716</v>
      </c>
      <c r="N47" s="24">
        <f t="shared" si="0"/>
        <v>8.3234390892477137</v>
      </c>
      <c r="O47" s="58"/>
      <c r="P47" s="40">
        <f t="shared" si="1"/>
        <v>9.7517593805945406</v>
      </c>
      <c r="Q47" s="58">
        <f t="shared" si="37"/>
        <v>1.9604204315765216E-2</v>
      </c>
      <c r="R47" s="27">
        <f>SUMIF('R3'!$V$7:$AA$7,B47,'R3'!$V$40:$AA$40)</f>
        <v>314047.99201545783</v>
      </c>
      <c r="S47" s="58">
        <f t="shared" si="38"/>
        <v>4.529650560225678E-2</v>
      </c>
      <c r="T47" s="27">
        <f>SUMIF('R3'!$V$7:$AA$7,B47,'R3'!$V$41:$AA$41)</f>
        <v>409464.33249814733</v>
      </c>
      <c r="U47" s="58">
        <f t="shared" si="39"/>
        <v>1.9605700247367062E-3</v>
      </c>
      <c r="V47" s="24">
        <f t="shared" si="2"/>
        <v>1.3038272585993576</v>
      </c>
      <c r="W47" s="58">
        <f t="shared" si="40"/>
        <v>-4.145803161616024E-2</v>
      </c>
      <c r="X47" s="27">
        <f>SUMIF('R3'!$V$7:$AA$7,B47,'R3'!$V$52:$AA$52)</f>
        <v>239383.90897525891</v>
      </c>
      <c r="Y47" s="58">
        <f t="shared" si="41"/>
        <v>1.0275235912683766E-2</v>
      </c>
      <c r="Z47" s="27">
        <f>SUMIF('R3'!$V$7:$AA$7,B47,'R3'!$V$35:$AA$35)</f>
        <v>1992497.385301586</v>
      </c>
      <c r="AA47" s="58">
        <f t="shared" si="42"/>
        <v>8.7213574155500326E-3</v>
      </c>
      <c r="AB47" s="5"/>
      <c r="AC47" s="5"/>
      <c r="AD47" s="5"/>
    </row>
    <row r="48" spans="1:30" x14ac:dyDescent="0.25">
      <c r="A48" s="95"/>
      <c r="B48" s="31">
        <v>2080</v>
      </c>
      <c r="C48" s="6">
        <f>SUMIF('R3'!$V$7:$AA$7,B48,'R3'!$V$42:$AA$42)</f>
        <v>18.285209999999999</v>
      </c>
      <c r="D48" s="43">
        <f>SUMIF('R3'!$V$7:$AA$7,B48,'R3'!$V$46:$AA$46)</f>
        <v>0.94627095271536965</v>
      </c>
      <c r="E48" s="35">
        <f>SUMIF('R3'!$V$7:$AA$7,B48,'R3'!$V$47:$AA$47)</f>
        <v>0.99356517912022047</v>
      </c>
      <c r="F48" s="50">
        <f t="shared" si="33"/>
        <v>1.0499795817140301</v>
      </c>
      <c r="G48" s="58">
        <f t="shared" si="35"/>
        <v>5.8037794552257167E-2</v>
      </c>
      <c r="H48" s="4">
        <f>SUMIF('R3'!$V$7:$AA$7,B48,'R3'!$V$44:$AA$44)</f>
        <v>0.95122942450071424</v>
      </c>
      <c r="I48" s="5">
        <f>SUMIF('R3'!$V$7:$AA$7,B48,'R3'!$V$45:$AA$45)</f>
        <v>1</v>
      </c>
      <c r="J48" s="5">
        <f t="shared" si="34"/>
        <v>1.0512710963760239</v>
      </c>
      <c r="K48" s="58">
        <f t="shared" si="36"/>
        <v>-0.13929202357494247</v>
      </c>
      <c r="L48" s="27">
        <f>SUMIF('R3'!$V$7:$AA$7,B48,'R3'!$V$36:$AA$36)</f>
        <v>0.68882982783638391</v>
      </c>
      <c r="M48" s="24">
        <f>SUMIF('R3'!$V$7:$AA$7,B48,'R3'!$V$37:$AA$37)</f>
        <v>12.51529428557517</v>
      </c>
      <c r="N48" s="24">
        <f t="shared" si="0"/>
        <v>13.204124113411554</v>
      </c>
      <c r="O48" s="58"/>
      <c r="P48" s="40">
        <f t="shared" si="1"/>
        <v>18.168920362937445</v>
      </c>
      <c r="Q48" s="58">
        <f t="shared" si="37"/>
        <v>2.3671819152363448E-2</v>
      </c>
      <c r="R48" s="27">
        <f>SUMIF('R3'!$V$7:$AA$7,B48,'R3'!$V$40:$AA$40)</f>
        <v>440383.61051326769</v>
      </c>
      <c r="S48" s="58">
        <f t="shared" si="38"/>
        <v>5.6506752530342409E-2</v>
      </c>
      <c r="T48" s="27">
        <f>SUMIF('R3'!$V$7:$AA$7,B48,'R3'!$V$41:$AA$41)</f>
        <v>566159.61855180003</v>
      </c>
      <c r="U48" s="58">
        <f t="shared" si="39"/>
        <v>-1.4470579688148012E-3</v>
      </c>
      <c r="V48" s="24">
        <f t="shared" si="2"/>
        <v>1.2856055607790222</v>
      </c>
      <c r="W48" s="58">
        <f t="shared" si="40"/>
        <v>-5.4854178982157303E-2</v>
      </c>
      <c r="X48" s="27">
        <f>SUMIF('R3'!$V$7:$AA$7,B48,'R3'!$V$52:$AA$52)</f>
        <v>332946.43192497501</v>
      </c>
      <c r="Y48" s="58">
        <f t="shared" si="41"/>
        <v>1.7849752668545708E-3</v>
      </c>
      <c r="Z48" s="27">
        <f>SUMIF('R3'!$V$7:$AA$7,B48,'R3'!$V$35:$AA$35)</f>
        <v>4396266.0102549018</v>
      </c>
      <c r="AA48" s="58">
        <f t="shared" si="42"/>
        <v>-6.3066932091739847E-5</v>
      </c>
      <c r="AB48" s="5"/>
      <c r="AC48" s="5"/>
      <c r="AD48" s="5"/>
    </row>
    <row r="49" spans="1:30" ht="15.75" thickBot="1" x14ac:dyDescent="0.3">
      <c r="A49" s="96"/>
      <c r="B49" s="32">
        <v>2100</v>
      </c>
      <c r="C49" s="9">
        <f>SUMIF('R3'!$V$7:$AA$7,B49,'R3'!$V$42:$AA$42)</f>
        <v>18.743490000000001</v>
      </c>
      <c r="D49" s="44">
        <f>SUMIF('R3'!$V$7:$AA$7,B49,'R3'!$V$46:$AA$46)</f>
        <v>0.93231395090361513</v>
      </c>
      <c r="E49" s="36">
        <f>SUMIF('R3'!$V$7:$AA$7,B49,'R3'!$V$47:$AA$47)</f>
        <v>0.98848865179879042</v>
      </c>
      <c r="F49" s="51">
        <f t="shared" si="33"/>
        <v>1.0602529875700453</v>
      </c>
      <c r="G49" s="59">
        <f t="shared" si="35"/>
        <v>6.8390045075733555E-2</v>
      </c>
      <c r="H49" s="7">
        <f>SUMIF('R3'!$V$7:$AA$7,B49,'R3'!$V$44:$AA$44)</f>
        <v>0.97044553354850793</v>
      </c>
      <c r="I49" s="8">
        <f>SUMIF('R3'!$V$7:$AA$7,B49,'R3'!$V$45:$AA$45)</f>
        <v>1</v>
      </c>
      <c r="J49" s="8">
        <f t="shared" si="34"/>
        <v>1.0304545339535172</v>
      </c>
      <c r="K49" s="59">
        <f t="shared" si="36"/>
        <v>-0.15633518340361624</v>
      </c>
      <c r="L49" s="28">
        <f>SUMIF('R3'!$V$7:$AA$7,B49,'R3'!$V$36:$AA$36)</f>
        <v>0.59817578652012982</v>
      </c>
      <c r="M49" s="25">
        <f>SUMIF('R3'!$V$7:$AA$7,B49,'R3'!$V$37:$AA$37)</f>
        <v>20.220378220360839</v>
      </c>
      <c r="N49" s="25">
        <f t="shared" si="0"/>
        <v>20.818554006880969</v>
      </c>
      <c r="O49" s="59"/>
      <c r="P49" s="41">
        <f t="shared" si="1"/>
        <v>33.80340474493677</v>
      </c>
      <c r="Q49" s="59">
        <f t="shared" si="37"/>
        <v>2.6301721289227878E-2</v>
      </c>
      <c r="R49" s="33">
        <f>SUMIF('R3'!$V$7:$AA$7,B49,'R3'!$V$40:$AA$40)</f>
        <v>580431.6653801651</v>
      </c>
      <c r="S49" s="59">
        <f t="shared" si="38"/>
        <v>6.3039869665287254E-2</v>
      </c>
      <c r="T49" s="28">
        <f>SUMIF('R3'!$V$7:$AA$7,B49,'R3'!$V$41:$AA$41)</f>
        <v>738975.75242186955</v>
      </c>
      <c r="U49" s="59">
        <f t="shared" si="39"/>
        <v>-5.0076986725072475E-3</v>
      </c>
      <c r="V49" s="25">
        <f t="shared" si="2"/>
        <v>1.2731485831977531</v>
      </c>
      <c r="W49" s="59">
        <f t="shared" si="40"/>
        <v>-6.4012244770480967E-2</v>
      </c>
      <c r="X49" s="28">
        <f>SUMIF('R3'!$V$7:$AA$7,B49,'R3'!$V$52:$AA$52)</f>
        <v>435017.58912013529</v>
      </c>
      <c r="Y49" s="59">
        <f t="shared" si="41"/>
        <v>-7.0023125846289634E-3</v>
      </c>
      <c r="Z49" s="28">
        <f>SUMIF('R3'!$V$7:$AA$7,B49,'R3'!$V$35:$AA$35)</f>
        <v>9056437.1730406936</v>
      </c>
      <c r="AA49" s="59">
        <f t="shared" si="42"/>
        <v>-9.0239770844684902E-3</v>
      </c>
      <c r="AB49" s="5"/>
      <c r="AC49" s="5"/>
      <c r="AD49" s="5"/>
    </row>
    <row r="50" spans="1:30" x14ac:dyDescent="0.25">
      <c r="A50" s="103" t="s">
        <v>6</v>
      </c>
      <c r="B50" s="21">
        <v>2000</v>
      </c>
      <c r="C50" s="3">
        <f>SUMIF('R4'!$V$7:$AA$7,B50,'R4'!$V$17:$AA$17)</f>
        <v>19.07366</v>
      </c>
      <c r="D50" s="42">
        <f>SUMIF('R4'!$V$7:$AA$7,B50,'R4'!$V$21:$AA$21)</f>
        <v>1</v>
      </c>
      <c r="E50" s="34">
        <f>SUMIF('R4'!$V$7:$AA$7,B50,'R4'!$V$22:$AA$22)</f>
        <v>1</v>
      </c>
      <c r="F50" s="45">
        <f>E50/D50</f>
        <v>1</v>
      </c>
      <c r="G50" s="53"/>
      <c r="H50" s="1">
        <f>SUMIF('R4'!$V$7:$AA$7,B50,'R4'!$V$19:$AA$19)</f>
        <v>0.97044553354850793</v>
      </c>
      <c r="I50" s="2">
        <f>SUMIF('R4'!$V$7:$AA$7,B50,'R4'!$V$20:$AA$20)</f>
        <v>1</v>
      </c>
      <c r="J50" s="2">
        <f>I50/H50</f>
        <v>1.0304545339535172</v>
      </c>
      <c r="K50" s="53"/>
      <c r="L50" s="26">
        <f>SUMIF('R4'!$V$7:$AA$7,B50,'R4'!$V$11:$AA$11)</f>
        <v>2.4328473815880001</v>
      </c>
      <c r="M50" s="24">
        <f>SUMIF('R4'!$V$7:$AA$7,B50,'R4'!$V$12:$AA$12)</f>
        <v>3.6409539077496</v>
      </c>
      <c r="N50" s="23">
        <f t="shared" si="0"/>
        <v>6.0738012893376006</v>
      </c>
      <c r="O50" s="53"/>
      <c r="P50" s="38">
        <f t="shared" si="1"/>
        <v>1.4965813044026743</v>
      </c>
      <c r="Q50" s="53"/>
      <c r="R50" s="26">
        <f>SUMIF('R4'!$V$7:$AA$7,B50,'R4'!$V$15:$AA$15)</f>
        <v>46919.594157542197</v>
      </c>
      <c r="S50" s="53"/>
      <c r="T50" s="26">
        <f>SUMIF('R4'!$V$7:$AA$7,B50,'R4'!$V$16:$AA$16)</f>
        <v>59140.312213546342</v>
      </c>
      <c r="U50" s="53"/>
      <c r="V50" s="23">
        <f t="shared" si="2"/>
        <v>1.2604608644944917</v>
      </c>
      <c r="W50" s="53"/>
      <c r="X50" s="26">
        <f>SUMIF('R4'!$V$7:$AA$7,B50,'R4'!$V$27:$AA$27)</f>
        <v>18427.26254075639</v>
      </c>
      <c r="Y50" s="53"/>
      <c r="Z50" s="26">
        <f>SUMIF('R4'!$V$7:$AA$7,B50,'R4'!$V$10:$AA$10)</f>
        <v>195356.1818208</v>
      </c>
      <c r="AA50" s="53"/>
      <c r="AB50" s="5"/>
      <c r="AC50" s="5"/>
      <c r="AD50" s="5"/>
    </row>
    <row r="51" spans="1:30" s="10" customFormat="1" x14ac:dyDescent="0.25">
      <c r="A51" s="104"/>
      <c r="B51" s="31">
        <v>2020</v>
      </c>
      <c r="C51" s="14">
        <f>SUMIF('R4'!$V$7:$AA$7,B51,'R4'!$V$17:$AA$17)</f>
        <v>19.07366</v>
      </c>
      <c r="D51" s="43">
        <f>SUMIF('R4'!$V$7:$AA$7,B51,'R4'!$V$21:$AA$21)</f>
        <v>0.91693862656807257</v>
      </c>
      <c r="E51" s="35">
        <f>SUMIF('R4'!$V$7:$AA$7,B51,'R4'!$V$22:$AA$22)</f>
        <v>0.98197288977586894</v>
      </c>
      <c r="F51" s="46">
        <f t="shared" ref="F51:F61" si="43">E51/D51</f>
        <v>1.0709254265481294</v>
      </c>
      <c r="G51" s="54"/>
      <c r="H51" s="4">
        <f>SUMIF('R4'!$V$7:$AA$7,B51,'R4'!$V$19:$AA$19)</f>
        <v>0.97044553354850793</v>
      </c>
      <c r="I51" s="5">
        <f>SUMIF('R4'!$V$7:$AA$7,B51,'R4'!$V$20:$AA$20)</f>
        <v>1</v>
      </c>
      <c r="J51" s="5">
        <f t="shared" ref="J51:J61" si="44">I51/H51</f>
        <v>1.0304545339535172</v>
      </c>
      <c r="K51" s="55"/>
      <c r="L51" s="27">
        <f>SUMIF('R4'!$V$7:$AA$7,B51,'R4'!$V$11:$AA$11)</f>
        <v>2.701774950880405</v>
      </c>
      <c r="M51" s="24">
        <f>SUMIF('R4'!$V$7:$AA$7,B51,'R4'!$V$12:$AA$12)</f>
        <v>7.5035451655820484</v>
      </c>
      <c r="N51" s="24">
        <f t="shared" si="0"/>
        <v>10.205320116462453</v>
      </c>
      <c r="O51" s="55"/>
      <c r="P51" s="39">
        <f t="shared" si="1"/>
        <v>2.7772650579712166</v>
      </c>
      <c r="Q51" s="55"/>
      <c r="R51" s="27">
        <f>SUMIF('R4'!$V$7:$AA$7,B51,'R4'!$V$15:$AA$15)</f>
        <v>111385.2807478568</v>
      </c>
      <c r="S51" s="55"/>
      <c r="T51" s="27">
        <f>SUMIF('R4'!$V$7:$AA$7,B51,'R4'!$V$16:$AA$16)</f>
        <v>140396.78726340531</v>
      </c>
      <c r="U51" s="55"/>
      <c r="V51" s="24">
        <f t="shared" si="2"/>
        <v>1.2604608644944924</v>
      </c>
      <c r="W51" s="55"/>
      <c r="X51" s="27">
        <f>SUMIF('R4'!$V$7:$AA$7,B51,'R4'!$V$27:$AA$27)</f>
        <v>77043.59148459624</v>
      </c>
      <c r="Y51" s="55"/>
      <c r="Z51" s="27">
        <f>SUMIF('R4'!$V$7:$AA$7,B51,'R4'!$V$10:$AA$10)</f>
        <v>786254.51402226533</v>
      </c>
      <c r="AA51" s="55"/>
      <c r="AB51" s="13"/>
      <c r="AC51" s="13"/>
      <c r="AD51" s="13"/>
    </row>
    <row r="52" spans="1:30" x14ac:dyDescent="0.25">
      <c r="A52" s="104"/>
      <c r="B52" s="31">
        <v>2040</v>
      </c>
      <c r="C52" s="6">
        <f>SUMIF('R4'!$V$7:$AA$7,B52,'R4'!$V$17:$AA$17)</f>
        <v>19.07366</v>
      </c>
      <c r="D52" s="43">
        <f>SUMIF('R4'!$V$7:$AA$7,B52,'R4'!$V$21:$AA$21)</f>
        <v>0.91693862656807257</v>
      </c>
      <c r="E52" s="35">
        <f>SUMIF('R4'!$V$7:$AA$7,B52,'R4'!$V$22:$AA$22)</f>
        <v>0.98197288977586894</v>
      </c>
      <c r="F52" s="47">
        <f t="shared" si="43"/>
        <v>1.0709254265481294</v>
      </c>
      <c r="G52" s="55"/>
      <c r="H52" s="4">
        <f>SUMIF('R4'!$V$7:$AA$7,B52,'R4'!$V$19:$AA$19)</f>
        <v>0.97044553354850793</v>
      </c>
      <c r="I52" s="5">
        <f>SUMIF('R4'!$V$7:$AA$7,B52,'R4'!$V$20:$AA$20)</f>
        <v>1</v>
      </c>
      <c r="J52" s="5">
        <f t="shared" si="44"/>
        <v>1.0304545339535172</v>
      </c>
      <c r="K52" s="55"/>
      <c r="L52" s="27">
        <f>SUMIF('R4'!$V$7:$AA$7,B52,'R4'!$V$11:$AA$11)</f>
        <v>2.7093162677833198</v>
      </c>
      <c r="M52" s="24">
        <f>SUMIF('R4'!$V$7:$AA$7,B52,'R4'!$V$12:$AA$12)</f>
        <v>13.963492282313769</v>
      </c>
      <c r="N52" s="24">
        <f t="shared" si="0"/>
        <v>16.672808550097088</v>
      </c>
      <c r="O52" s="55"/>
      <c r="P52" s="40">
        <f t="shared" si="1"/>
        <v>5.1538805005361272</v>
      </c>
      <c r="Q52" s="55"/>
      <c r="R52" s="27">
        <f>SUMIF('R4'!$V$7:$AA$7,B52,'R4'!$V$15:$AA$15)</f>
        <v>205202.7093355548</v>
      </c>
      <c r="S52" s="55"/>
      <c r="T52" s="27">
        <f>SUMIF('R4'!$V$7:$AA$7,B52,'R4'!$V$16:$AA$16)</f>
        <v>258649.9844057055</v>
      </c>
      <c r="U52" s="55"/>
      <c r="V52" s="24">
        <f t="shared" si="2"/>
        <v>1.2604608644944926</v>
      </c>
      <c r="W52" s="55"/>
      <c r="X52" s="27">
        <f>SUMIF('R4'!$V$7:$AA$7,B52,'R4'!$V$27:$AA$27)</f>
        <v>145974.07363833889</v>
      </c>
      <c r="Y52" s="55"/>
      <c r="Z52" s="27">
        <f>SUMIF('R4'!$V$7:$AA$7,B52,'R4'!$V$10:$AA$10)</f>
        <v>2433797.783049799</v>
      </c>
      <c r="AA52" s="55"/>
      <c r="AB52" s="5"/>
      <c r="AC52" s="5"/>
      <c r="AD52" s="5"/>
    </row>
    <row r="53" spans="1:30" x14ac:dyDescent="0.25">
      <c r="A53" s="104"/>
      <c r="B53" s="31">
        <v>2060</v>
      </c>
      <c r="C53" s="6">
        <f>SUMIF('R4'!$V$7:$AA$7,B53,'R4'!$V$17:$AA$17)</f>
        <v>19.07366</v>
      </c>
      <c r="D53" s="43">
        <f>SUMIF('R4'!$V$7:$AA$7,B53,'R4'!$V$21:$AA$21)</f>
        <v>0.91693862656807257</v>
      </c>
      <c r="E53" s="35">
        <f>SUMIF('R4'!$V$7:$AA$7,B53,'R4'!$V$22:$AA$22)</f>
        <v>0.98197288977586894</v>
      </c>
      <c r="F53" s="47">
        <f t="shared" si="43"/>
        <v>1.0709254265481294</v>
      </c>
      <c r="G53" s="55"/>
      <c r="H53" s="4">
        <f>SUMIF('R4'!$V$7:$AA$7,B53,'R4'!$V$19:$AA$19)</f>
        <v>0.97044553354850793</v>
      </c>
      <c r="I53" s="5">
        <f>SUMIF('R4'!$V$7:$AA$7,B53,'R4'!$V$20:$AA$20)</f>
        <v>1</v>
      </c>
      <c r="J53" s="5">
        <f t="shared" si="44"/>
        <v>1.0304545339535172</v>
      </c>
      <c r="K53" s="55"/>
      <c r="L53" s="27">
        <f>SUMIF('R4'!$V$7:$AA$7,B53,'R4'!$V$11:$AA$11)</f>
        <v>2.5319326923220289</v>
      </c>
      <c r="M53" s="24">
        <f>SUMIF('R4'!$V$7:$AA$7,B53,'R4'!$V$12:$AA$12)</f>
        <v>24.21606176090145</v>
      </c>
      <c r="N53" s="24">
        <f t="shared" si="0"/>
        <v>26.74799445322348</v>
      </c>
      <c r="O53" s="55"/>
      <c r="P53" s="40">
        <f t="shared" si="1"/>
        <v>9.5642596797045822</v>
      </c>
      <c r="Q53" s="55"/>
      <c r="R53" s="27">
        <f>SUMIF('R4'!$V$7:$AA$7,B53,'R4'!$V$15:$AA$15)</f>
        <v>318615.70184212731</v>
      </c>
      <c r="S53" s="55"/>
      <c r="T53" s="27">
        <f>SUMIF('R4'!$V$7:$AA$7,B53,'R4'!$V$16:$AA$16)</f>
        <v>401602.62298544688</v>
      </c>
      <c r="U53" s="55"/>
      <c r="V53" s="24">
        <f t="shared" si="2"/>
        <v>1.2604608644944912</v>
      </c>
      <c r="W53" s="55"/>
      <c r="X53" s="27">
        <f>SUMIF('R4'!$V$7:$AA$7,B53,'R4'!$V$27:$AA$27)</f>
        <v>230812.58346790471</v>
      </c>
      <c r="Y53" s="55"/>
      <c r="Z53" s="27">
        <f>SUMIF('R4'!$V$7:$AA$7,B53,'R4'!$V$10:$AA$10)</f>
        <v>6173773.7023336971</v>
      </c>
      <c r="AA53" s="55"/>
      <c r="AB53" s="5"/>
      <c r="AC53" s="5"/>
      <c r="AD53" s="5"/>
    </row>
    <row r="54" spans="1:30" x14ac:dyDescent="0.25">
      <c r="A54" s="104"/>
      <c r="B54" s="31">
        <v>2080</v>
      </c>
      <c r="C54" s="6">
        <f>SUMIF('R4'!$V$7:$AA$7,B54,'R4'!$V$17:$AA$17)</f>
        <v>19.07366</v>
      </c>
      <c r="D54" s="43">
        <f>SUMIF('R4'!$V$7:$AA$7,B54,'R4'!$V$21:$AA$21)</f>
        <v>0.91693862656807257</v>
      </c>
      <c r="E54" s="35">
        <f>SUMIF('R4'!$V$7:$AA$7,B54,'R4'!$V$22:$AA$22)</f>
        <v>0.98197288977586894</v>
      </c>
      <c r="F54" s="47">
        <f t="shared" si="43"/>
        <v>1.0709254265481294</v>
      </c>
      <c r="G54" s="55"/>
      <c r="H54" s="4">
        <f>SUMIF('R4'!$V$7:$AA$7,B54,'R4'!$V$19:$AA$19)</f>
        <v>0.97044553354850793</v>
      </c>
      <c r="I54" s="5">
        <f>SUMIF('R4'!$V$7:$AA$7,B54,'R4'!$V$20:$AA$20)</f>
        <v>1</v>
      </c>
      <c r="J54" s="5">
        <f t="shared" si="44"/>
        <v>1.0304545339535172</v>
      </c>
      <c r="K54" s="55"/>
      <c r="L54" s="27">
        <f>SUMIF('R4'!$V$7:$AA$7,B54,'R4'!$V$11:$AA$11)</f>
        <v>2.263906789771474</v>
      </c>
      <c r="M54" s="24">
        <f>SUMIF('R4'!$V$7:$AA$7,B54,'R4'!$V$12:$AA$12)</f>
        <v>40.181571283783732</v>
      </c>
      <c r="N54" s="24">
        <f t="shared" si="0"/>
        <v>42.445478073555208</v>
      </c>
      <c r="O54" s="55"/>
      <c r="P54" s="40">
        <f t="shared" si="1"/>
        <v>17.748774580882717</v>
      </c>
      <c r="Q54" s="55"/>
      <c r="R54" s="27">
        <f>SUMIF('R4'!$V$7:$AA$7,B54,'R4'!$V$15:$AA$15)</f>
        <v>445473.58636310161</v>
      </c>
      <c r="S54" s="55"/>
      <c r="T54" s="27">
        <f>SUMIF('R4'!$V$7:$AA$7,B54,'R4'!$V$16:$AA$16)</f>
        <v>561502.02177669655</v>
      </c>
      <c r="U54" s="55"/>
      <c r="V54" s="24">
        <f t="shared" si="2"/>
        <v>1.2604608644944915</v>
      </c>
      <c r="W54" s="55"/>
      <c r="X54" s="27">
        <f>SUMIF('R4'!$V$7:$AA$7,B54,'R4'!$V$27:$AA$27)</f>
        <v>326254.50848547119</v>
      </c>
      <c r="Y54" s="55"/>
      <c r="Z54" s="27">
        <f>SUMIF('R4'!$V$7:$AA$7,B54,'R4'!$V$10:$AA$10)</f>
        <v>13848028.586318601</v>
      </c>
      <c r="AA54" s="55"/>
      <c r="AB54" s="5"/>
      <c r="AC54" s="5"/>
      <c r="AD54" s="5"/>
    </row>
    <row r="55" spans="1:30" ht="15.75" thickBot="1" x14ac:dyDescent="0.3">
      <c r="A55" s="105"/>
      <c r="B55" s="32">
        <v>2100</v>
      </c>
      <c r="C55" s="9">
        <f>SUMIF('R4'!$V$7:$AA$7,B55,'R4'!$V$17:$AA$17)</f>
        <v>19.07366</v>
      </c>
      <c r="D55" s="44">
        <f>SUMIF('R4'!$V$7:$AA$7,B55,'R4'!$V$21:$AA$21)</f>
        <v>0.91693862656807257</v>
      </c>
      <c r="E55" s="36">
        <f>SUMIF('R4'!$V$7:$AA$7,B55,'R4'!$V$22:$AA$22)</f>
        <v>0.98197288977586894</v>
      </c>
      <c r="F55" s="48">
        <f t="shared" si="43"/>
        <v>1.0709254265481294</v>
      </c>
      <c r="G55" s="56"/>
      <c r="H55" s="7">
        <f>SUMIF('R4'!$V$7:$AA$7,B55,'R4'!$V$19:$AA$19)</f>
        <v>0.97044553354850793</v>
      </c>
      <c r="I55" s="8">
        <f>SUMIF('R4'!$V$7:$AA$7,B55,'R4'!$V$20:$AA$20)</f>
        <v>1</v>
      </c>
      <c r="J55" s="8">
        <f t="shared" si="44"/>
        <v>1.0304545339535172</v>
      </c>
      <c r="K55" s="56"/>
      <c r="L55" s="28">
        <f>SUMIF('R4'!$V$7:$AA$7,B55,'R4'!$V$11:$AA$11)</f>
        <v>1.9723356381132111</v>
      </c>
      <c r="M55" s="25">
        <f>SUMIF('R4'!$V$7:$AA$7,B55,'R4'!$V$12:$AA$12)</f>
        <v>64.96302060592069</v>
      </c>
      <c r="N55" s="25">
        <f t="shared" si="0"/>
        <v>66.935356244033898</v>
      </c>
      <c r="O55" s="56"/>
      <c r="P55" s="41">
        <f t="shared" si="1"/>
        <v>32.937102261188187</v>
      </c>
      <c r="Q55" s="56"/>
      <c r="R55" s="28">
        <f>SUMIF('R4'!$V$7:$AA$7,B55,'R4'!$V$15:$AA$15)</f>
        <v>586093.40474029782</v>
      </c>
      <c r="S55" s="56"/>
      <c r="T55" s="28">
        <f>SUMIF('R4'!$V$7:$AA$7,B55,'R4'!$V$16:$AA$16)</f>
        <v>738747.79961347592</v>
      </c>
      <c r="U55" s="56"/>
      <c r="V55" s="25">
        <f t="shared" si="2"/>
        <v>1.2604608644944919</v>
      </c>
      <c r="W55" s="56"/>
      <c r="X55" s="28">
        <f>SUMIF('R4'!$V$7:$AA$7,B55,'R4'!$V$27:$AA$27)</f>
        <v>431934.06172673282</v>
      </c>
      <c r="Y55" s="56"/>
      <c r="Z55" s="28">
        <f>SUMIF('R4'!$V$7:$AA$7,B55,'R4'!$V$10:$AA$10)</f>
        <v>28911660.295611389</v>
      </c>
      <c r="AA55" s="56"/>
      <c r="AB55" s="5"/>
      <c r="AC55" s="5"/>
      <c r="AD55" s="5"/>
    </row>
    <row r="56" spans="1:30" x14ac:dyDescent="0.25">
      <c r="A56" s="103" t="str">
        <f>'R4'!B1</f>
        <v>KwaZulu-Natal</v>
      </c>
      <c r="B56" s="21">
        <v>2000</v>
      </c>
      <c r="C56" s="3">
        <f>SUMIF('R4'!$V$7:$AA$7,B56,'R4'!$V$42:$AA$42)</f>
        <v>19.07366</v>
      </c>
      <c r="D56" s="42">
        <f>SUMIF('R4'!$V$7:$AA$7,B56,'R4'!$V$46:$AA$46)</f>
        <v>1</v>
      </c>
      <c r="E56" s="34">
        <f>SUMIF('R4'!$V$7:$AA$7,B56,'R4'!$V$47:$AA$47)</f>
        <v>1</v>
      </c>
      <c r="F56" s="49">
        <f t="shared" si="43"/>
        <v>1</v>
      </c>
      <c r="G56" s="57">
        <f t="shared" ref="G56:G61" si="45">(F56-$F50)/$F50</f>
        <v>0</v>
      </c>
      <c r="H56" s="1">
        <f>SUMIF('R4'!$V$7:$AA$7,B56,'R4'!$V$44:$AA$44)</f>
        <v>0.97044553354850793</v>
      </c>
      <c r="I56" s="2">
        <f>SUMIF('R4'!$V$7:$AA$7,B56,'R4'!$V$45:$AA$45)</f>
        <v>1</v>
      </c>
      <c r="J56" s="2">
        <f t="shared" si="44"/>
        <v>1.0304545339535172</v>
      </c>
      <c r="K56" s="57">
        <f t="shared" ref="K56:K61" si="46">(J56-$J50)/$J50</f>
        <v>0</v>
      </c>
      <c r="L56" s="26">
        <f>SUMIF('R4'!$V$7:$AA$7,B56,'R4'!$V$36:$AA$36)</f>
        <v>2.4328473815880001</v>
      </c>
      <c r="M56" s="23">
        <f>SUMIF('R4'!$V$7:$AA$7,B56,'R4'!$V$37:$AA$37)</f>
        <v>3.6409539077496</v>
      </c>
      <c r="N56" s="23">
        <f t="shared" si="0"/>
        <v>6.0738012893376006</v>
      </c>
      <c r="O56" s="57"/>
      <c r="P56" s="38">
        <f t="shared" si="1"/>
        <v>1.4965813044026743</v>
      </c>
      <c r="Q56" s="57">
        <f t="shared" ref="Q56:Q61" si="47">(P56-$P50)/$P50</f>
        <v>0</v>
      </c>
      <c r="R56" s="26">
        <f>SUMIF('R4'!$V$7:$AA$7,B56,'R4'!$V$40:$AA$40)</f>
        <v>46919.594157542197</v>
      </c>
      <c r="S56" s="57">
        <f t="shared" ref="S56:S61" si="48">(R56-$R50)/$R50</f>
        <v>0</v>
      </c>
      <c r="T56" s="26">
        <f>SUMIF('R4'!$V$7:$AA$7,B56,'R4'!$V$41:$AA$41)</f>
        <v>59140.312213546342</v>
      </c>
      <c r="U56" s="57">
        <f t="shared" ref="U56:U61" si="49">(T56-$T50)/$T50</f>
        <v>0</v>
      </c>
      <c r="V56" s="23">
        <f t="shared" si="2"/>
        <v>1.2604608644944917</v>
      </c>
      <c r="W56" s="57">
        <f t="shared" ref="W56:W61" si="50">(V56-$V50)/$V50</f>
        <v>0</v>
      </c>
      <c r="X56" s="26">
        <f>SUMIF('R4'!$V$7:$AA$7,B56,'R4'!$V$52:$AA$52)</f>
        <v>18427.26254075639</v>
      </c>
      <c r="Y56" s="57">
        <f t="shared" ref="Y56:Y61" si="51">(X56-$X50)/$X50</f>
        <v>0</v>
      </c>
      <c r="Z56" s="26">
        <f>SUMIF('R4'!$V$7:$AA$7,B56,'R4'!$V$35:$AA$35)</f>
        <v>195356.1818208</v>
      </c>
      <c r="AA56" s="57">
        <f t="shared" ref="AA56:AA61" si="52">(Z56-$Z50)/$Z50</f>
        <v>0</v>
      </c>
      <c r="AB56" s="5"/>
      <c r="AC56" s="5"/>
      <c r="AD56" s="5"/>
    </row>
    <row r="57" spans="1:30" x14ac:dyDescent="0.25">
      <c r="A57" s="104"/>
      <c r="B57" s="31">
        <v>2020</v>
      </c>
      <c r="C57" s="14">
        <f>SUMIF('R4'!$V$7:$AA$7,B57,'R4'!$V$42:$AA$42)</f>
        <v>19.79382</v>
      </c>
      <c r="D57" s="43">
        <f>SUMIF('R4'!$V$7:$AA$7,B57,'R4'!$V$46:$AA$46)</f>
        <v>0.89139111669784621</v>
      </c>
      <c r="E57" s="35">
        <f>SUMIF('R4'!$V$7:$AA$7,B57,'R4'!$V$47:$AA$47)</f>
        <v>0.96957624782154495</v>
      </c>
      <c r="F57" s="50">
        <f t="shared" si="43"/>
        <v>1.0877113644719001</v>
      </c>
      <c r="G57" s="58">
        <f t="shared" si="45"/>
        <v>1.5674236046366117E-2</v>
      </c>
      <c r="H57" s="4">
        <f>SUMIF('R4'!$V$7:$AA$7,B57,'R4'!$V$44:$AA$44)</f>
        <v>0.99004983374916744</v>
      </c>
      <c r="I57" s="5">
        <f>SUMIF('R4'!$V$7:$AA$7,B57,'R4'!$V$45:$AA$45)</f>
        <v>1</v>
      </c>
      <c r="J57" s="13">
        <f t="shared" si="44"/>
        <v>1.0100501670841686</v>
      </c>
      <c r="K57" s="58">
        <f t="shared" si="46"/>
        <v>-1.9801326693244446E-2</v>
      </c>
      <c r="L57" s="27">
        <f>SUMIF('R4'!$V$7:$AA$7,B57,'R4'!$V$36:$AA$36)</f>
        <v>2.699404338105206</v>
      </c>
      <c r="M57" s="24">
        <f>SUMIF('R4'!$V$7:$AA$7,B57,'R4'!$V$37:$AA$37)</f>
        <v>7.5053013577035061</v>
      </c>
      <c r="N57" s="24">
        <f t="shared" si="0"/>
        <v>10.204705695808713</v>
      </c>
      <c r="O57" s="58"/>
      <c r="P57" s="39">
        <f t="shared" si="1"/>
        <v>2.7803546329675477</v>
      </c>
      <c r="Q57" s="58">
        <f t="shared" si="47"/>
        <v>1.1124523341636096E-3</v>
      </c>
      <c r="R57" s="27">
        <f>SUMIF('R4'!$V$7:$AA$7,B57,'R4'!$V$40:$AA$40)</f>
        <v>110955.3013910344</v>
      </c>
      <c r="S57" s="58">
        <f t="shared" si="48"/>
        <v>-3.8602888454870735E-3</v>
      </c>
      <c r="T57" s="27">
        <f>SUMIF('R4'!$V$7:$AA$7,B57,'R4'!$V$41:$AA$41)</f>
        <v>137696.52724085221</v>
      </c>
      <c r="U57" s="58">
        <f t="shared" si="49"/>
        <v>-1.9233061348383998E-2</v>
      </c>
      <c r="V57" s="24">
        <f t="shared" si="2"/>
        <v>1.241008996546952</v>
      </c>
      <c r="W57" s="58">
        <f t="shared" si="50"/>
        <v>-1.5432345815307452E-2</v>
      </c>
      <c r="X57" s="27">
        <f>SUMIF('R4'!$V$7:$AA$7,B57,'R4'!$V$52:$AA$52)</f>
        <v>74612.390578409511</v>
      </c>
      <c r="Y57" s="58">
        <f t="shared" si="51"/>
        <v>-3.1556173061750528E-2</v>
      </c>
      <c r="Z57" s="27">
        <f>SUMIF('R4'!$V$7:$AA$7,B57,'R4'!$V$35:$AA$35)</f>
        <v>761397.4871133999</v>
      </c>
      <c r="AA57" s="58">
        <f t="shared" si="52"/>
        <v>-3.1614479110210265E-2</v>
      </c>
      <c r="AB57" s="5"/>
      <c r="AC57" s="5"/>
      <c r="AD57" s="5"/>
    </row>
    <row r="58" spans="1:30" x14ac:dyDescent="0.25">
      <c r="A58" s="104"/>
      <c r="B58" s="31">
        <v>2040</v>
      </c>
      <c r="C58" s="6">
        <f>SUMIF('R4'!$V$7:$AA$7,B58,'R4'!$V$42:$AA$42)</f>
        <v>20.130880000000001</v>
      </c>
      <c r="D58" s="43">
        <f>SUMIF('R4'!$V$7:$AA$7,B58,'R4'!$V$46:$AA$46)</f>
        <v>0.87282505847383773</v>
      </c>
      <c r="E58" s="35">
        <f>SUMIF('R4'!$V$7:$AA$7,B58,'R4'!$V$47:$AA$47)</f>
        <v>0.95961542839364711</v>
      </c>
      <c r="F58" s="50">
        <f t="shared" si="43"/>
        <v>1.0994361574260541</v>
      </c>
      <c r="G58" s="58">
        <f t="shared" si="45"/>
        <v>2.6622517470541479E-2</v>
      </c>
      <c r="H58" s="4">
        <f>SUMIF('R4'!$V$7:$AA$7,B58,'R4'!$V$44:$AA$44)</f>
        <v>0.99004983374916744</v>
      </c>
      <c r="I58" s="5">
        <f>SUMIF('R4'!$V$7:$AA$7,B58,'R4'!$V$45:$AA$45)</f>
        <v>1</v>
      </c>
      <c r="J58" s="5">
        <f t="shared" si="44"/>
        <v>1.0100501670841686</v>
      </c>
      <c r="K58" s="58">
        <f t="shared" si="46"/>
        <v>-1.9801326693244446E-2</v>
      </c>
      <c r="L58" s="27">
        <f>SUMIF('R4'!$V$7:$AA$7,B58,'R4'!$V$36:$AA$36)</f>
        <v>2.7128707875106541</v>
      </c>
      <c r="M58" s="24">
        <f>SUMIF('R4'!$V$7:$AA$7,B58,'R4'!$V$37:$AA$37)</f>
        <v>13.95989750612455</v>
      </c>
      <c r="N58" s="24">
        <f t="shared" si="0"/>
        <v>16.672768293635205</v>
      </c>
      <c r="O58" s="58"/>
      <c r="P58" s="40">
        <f t="shared" si="1"/>
        <v>5.1458025831500187</v>
      </c>
      <c r="Q58" s="58">
        <f t="shared" si="47"/>
        <v>-1.567346659525425E-3</v>
      </c>
      <c r="R58" s="27">
        <f>SUMIF('R4'!$V$7:$AA$7,B58,'R4'!$V$40:$AA$40)</f>
        <v>204464.2633442877</v>
      </c>
      <c r="S58" s="58">
        <f t="shared" si="48"/>
        <v>-3.5986171608463884E-3</v>
      </c>
      <c r="T58" s="27">
        <f>SUMIF('R4'!$V$7:$AA$7,B58,'R4'!$V$41:$AA$41)</f>
        <v>251035.9920491082</v>
      </c>
      <c r="U58" s="58">
        <f t="shared" si="49"/>
        <v>-2.9437435977782124E-2</v>
      </c>
      <c r="V58" s="24">
        <f t="shared" si="2"/>
        <v>1.2277744185858073</v>
      </c>
      <c r="W58" s="58">
        <f t="shared" si="50"/>
        <v>-2.5932138656120981E-2</v>
      </c>
      <c r="X58" s="27">
        <f>SUMIF('R4'!$V$7:$AA$7,B58,'R4'!$V$52:$AA$52)</f>
        <v>138443.28264430669</v>
      </c>
      <c r="Y58" s="58">
        <f t="shared" si="51"/>
        <v>-5.1589921458863083E-2</v>
      </c>
      <c r="Z58" s="27">
        <f>SUMIF('R4'!$V$7:$AA$7,B58,'R4'!$V$35:$AA$35)</f>
        <v>2308232.7733387728</v>
      </c>
      <c r="AA58" s="58">
        <f t="shared" si="52"/>
        <v>-5.1592211393043645E-2</v>
      </c>
      <c r="AB58" s="5"/>
      <c r="AC58" s="5"/>
      <c r="AD58" s="5"/>
    </row>
    <row r="59" spans="1:30" x14ac:dyDescent="0.25">
      <c r="A59" s="104"/>
      <c r="B59" s="31">
        <v>2060</v>
      </c>
      <c r="C59" s="6">
        <f>SUMIF('R4'!$V$7:$AA$7,B59,'R4'!$V$42:$AA$42)</f>
        <v>20.70025</v>
      </c>
      <c r="D59" s="43">
        <f>SUMIF('R4'!$V$7:$AA$7,B59,'R4'!$V$46:$AA$46)</f>
        <v>0.85313575176011658</v>
      </c>
      <c r="E59" s="35">
        <f>SUMIF('R4'!$V$7:$AA$7,B59,'R4'!$V$47:$AA$47)</f>
        <v>0.94834437421114004</v>
      </c>
      <c r="F59" s="50">
        <f t="shared" si="43"/>
        <v>1.1115984440396469</v>
      </c>
      <c r="G59" s="58">
        <f t="shared" si="45"/>
        <v>3.7979318151607641E-2</v>
      </c>
      <c r="H59" s="4">
        <f>SUMIF('R4'!$V$7:$AA$7,B59,'R4'!$V$44:$AA$44)</f>
        <v>1</v>
      </c>
      <c r="I59" s="5">
        <f>SUMIF('R4'!$V$7:$AA$7,B59,'R4'!$V$45:$AA$45)</f>
        <v>1</v>
      </c>
      <c r="J59" s="5">
        <f t="shared" si="44"/>
        <v>1</v>
      </c>
      <c r="K59" s="58">
        <f t="shared" si="46"/>
        <v>-2.9554466451492109E-2</v>
      </c>
      <c r="L59" s="27">
        <f>SUMIF('R4'!$V$7:$AA$7,B59,'R4'!$V$36:$AA$36)</f>
        <v>2.5362043126668272</v>
      </c>
      <c r="M59" s="24">
        <f>SUMIF('R4'!$V$7:$AA$7,B59,'R4'!$V$37:$AA$37)</f>
        <v>24.2128342700431</v>
      </c>
      <c r="N59" s="24">
        <f t="shared" si="0"/>
        <v>26.749038582709929</v>
      </c>
      <c r="O59" s="58"/>
      <c r="P59" s="40">
        <f t="shared" si="1"/>
        <v>9.5468784392150265</v>
      </c>
      <c r="Q59" s="58">
        <f t="shared" si="47"/>
        <v>-1.8173116447725477E-3</v>
      </c>
      <c r="R59" s="27">
        <f>SUMIF('R4'!$V$7:$AA$7,B59,'R4'!$V$40:$AA$40)</f>
        <v>317610.900264022</v>
      </c>
      <c r="S59" s="58">
        <f t="shared" si="48"/>
        <v>-3.1536473949522604E-3</v>
      </c>
      <c r="T59" s="27">
        <f>SUMIF('R4'!$V$7:$AA$7,B59,'R4'!$V$41:$AA$41)</f>
        <v>385687.94475844281</v>
      </c>
      <c r="U59" s="58">
        <f t="shared" si="49"/>
        <v>-3.9627924012789084E-2</v>
      </c>
      <c r="V59" s="24">
        <f t="shared" si="2"/>
        <v>1.2143410205311911</v>
      </c>
      <c r="W59" s="58">
        <f t="shared" si="50"/>
        <v>-3.658966752751705E-2</v>
      </c>
      <c r="X59" s="27">
        <f>SUMIF('R4'!$V$7:$AA$7,B59,'R4'!$V$52:$AA$52)</f>
        <v>214065.94326338469</v>
      </c>
      <c r="Y59" s="58">
        <f t="shared" si="51"/>
        <v>-7.2555143887329268E-2</v>
      </c>
      <c r="Z59" s="27">
        <f>SUMIF('R4'!$V$7:$AA$7,B59,'R4'!$V$35:$AA$35)</f>
        <v>5726058.1755964709</v>
      </c>
      <c r="AA59" s="58">
        <f t="shared" si="52"/>
        <v>-7.2518940331095863E-2</v>
      </c>
      <c r="AB59" s="5"/>
      <c r="AC59" s="5"/>
      <c r="AD59" s="5"/>
    </row>
    <row r="60" spans="1:30" x14ac:dyDescent="0.25">
      <c r="A60" s="104"/>
      <c r="B60" s="31">
        <v>2080</v>
      </c>
      <c r="C60" s="6">
        <f>SUMIF('R4'!$V$7:$AA$7,B60,'R4'!$V$42:$AA$42)</f>
        <v>21.235320000000002</v>
      </c>
      <c r="D60" s="43">
        <f>SUMIF('R4'!$V$7:$AA$7,B60,'R4'!$V$46:$AA$46)</f>
        <v>0.83241565308735976</v>
      </c>
      <c r="E60" s="35">
        <f>SUMIF('R4'!$V$7:$AA$7,B60,'R4'!$V$47:$AA$47)</f>
        <v>0.93581367348848743</v>
      </c>
      <c r="F60" s="50">
        <f t="shared" si="43"/>
        <v>1.1242144114152985</v>
      </c>
      <c r="G60" s="58">
        <f t="shared" si="45"/>
        <v>4.9759753150070758E-2</v>
      </c>
      <c r="H60" s="4">
        <f>SUMIF('R4'!$V$7:$AA$7,B60,'R4'!$V$44:$AA$44)</f>
        <v>1</v>
      </c>
      <c r="I60" s="5">
        <f>SUMIF('R4'!$V$7:$AA$7,B60,'R4'!$V$45:$AA$45)</f>
        <v>1</v>
      </c>
      <c r="J60" s="5">
        <f t="shared" si="44"/>
        <v>1</v>
      </c>
      <c r="K60" s="58">
        <f t="shared" si="46"/>
        <v>-2.9554466451492109E-2</v>
      </c>
      <c r="L60" s="27">
        <f>SUMIF('R4'!$V$7:$AA$7,B60,'R4'!$V$36:$AA$36)</f>
        <v>2.2741014767038372</v>
      </c>
      <c r="M60" s="24">
        <f>SUMIF('R4'!$V$7:$AA$7,B60,'R4'!$V$37:$AA$37)</f>
        <v>40.175652866893593</v>
      </c>
      <c r="N60" s="24">
        <f t="shared" si="0"/>
        <v>42.449754343597434</v>
      </c>
      <c r="O60" s="58"/>
      <c r="P60" s="40">
        <f t="shared" si="1"/>
        <v>17.666605153049545</v>
      </c>
      <c r="Q60" s="58">
        <f t="shared" si="47"/>
        <v>-4.6295831556549816E-3</v>
      </c>
      <c r="R60" s="27">
        <f>SUMIF('R4'!$V$7:$AA$7,B60,'R4'!$V$40:$AA$40)</f>
        <v>443838.81416133279</v>
      </c>
      <c r="S60" s="58">
        <f t="shared" si="48"/>
        <v>-3.6697399168271506E-3</v>
      </c>
      <c r="T60" s="27">
        <f>SUMIF('R4'!$V$7:$AA$7,B60,'R4'!$V$41:$AA$41)</f>
        <v>532923.32242235204</v>
      </c>
      <c r="U60" s="58">
        <f t="shared" si="49"/>
        <v>-5.0896877029785584E-2</v>
      </c>
      <c r="V60" s="24">
        <f t="shared" si="2"/>
        <v>1.2007136496823767</v>
      </c>
      <c r="W60" s="58">
        <f t="shared" si="50"/>
        <v>-4.740108677319102E-2</v>
      </c>
      <c r="X60" s="27">
        <f>SUMIF('R4'!$V$7:$AA$7,B60,'R4'!$V$52:$AA$52)</f>
        <v>295075.4062448169</v>
      </c>
      <c r="Y60" s="58">
        <f t="shared" si="51"/>
        <v>-9.5566808824782148E-2</v>
      </c>
      <c r="Z60" s="27">
        <f>SUMIF('R4'!$V$7:$AA$7,B60,'R4'!$V$35:$AA$35)</f>
        <v>12525878.50792969</v>
      </c>
      <c r="AA60" s="58">
        <f t="shared" si="52"/>
        <v>-9.5475689564589128E-2</v>
      </c>
      <c r="AB60" s="5"/>
      <c r="AC60" s="5"/>
      <c r="AD60" s="5"/>
    </row>
    <row r="61" spans="1:30" ht="15.75" thickBot="1" x14ac:dyDescent="0.3">
      <c r="A61" s="105"/>
      <c r="B61" s="32">
        <v>2100</v>
      </c>
      <c r="C61" s="9">
        <f>SUMIF('R4'!$V$7:$AA$7,B61,'R4'!$V$42:$AA$42)</f>
        <v>21.62518</v>
      </c>
      <c r="D61" s="44">
        <f>SUMIF('R4'!$V$7:$AA$7,B61,'R4'!$V$46:$AA$46)</f>
        <v>0.81076508762715238</v>
      </c>
      <c r="E61" s="36">
        <f>SUMIF('R4'!$V$7:$AA$7,B61,'R4'!$V$47:$AA$47)</f>
        <v>0.92207897326159938</v>
      </c>
      <c r="F61" s="51">
        <f t="shared" si="43"/>
        <v>1.1372948679379211</v>
      </c>
      <c r="G61" s="59">
        <f t="shared" si="45"/>
        <v>6.1973915031336646E-2</v>
      </c>
      <c r="H61" s="7">
        <f>SUMIF('R4'!$V$7:$AA$7,B61,'R4'!$V$44:$AA$44)</f>
        <v>1</v>
      </c>
      <c r="I61" s="8">
        <f>SUMIF('R4'!$V$7:$AA$7,B61,'R4'!$V$45:$AA$45)</f>
        <v>1</v>
      </c>
      <c r="J61" s="8">
        <f t="shared" si="44"/>
        <v>1</v>
      </c>
      <c r="K61" s="59">
        <f t="shared" si="46"/>
        <v>-2.9554466451492109E-2</v>
      </c>
      <c r="L61" s="28">
        <f>SUMIF('R4'!$V$7:$AA$7,B61,'R4'!$V$36:$AA$36)</f>
        <v>1.987117754565721</v>
      </c>
      <c r="M61" s="25">
        <f>SUMIF('R4'!$V$7:$AA$7,B61,'R4'!$V$37:$AA$37)</f>
        <v>64.958761810292302</v>
      </c>
      <c r="N61" s="25">
        <f t="shared" si="0"/>
        <v>66.945879564858018</v>
      </c>
      <c r="O61" s="59"/>
      <c r="P61" s="41">
        <f t="shared" si="1"/>
        <v>32.689940825619999</v>
      </c>
      <c r="Q61" s="59">
        <f t="shared" si="47"/>
        <v>-7.5040431185542829E-3</v>
      </c>
      <c r="R61" s="33">
        <f>SUMIF('R4'!$V$7:$AA$7,B61,'R4'!$V$40:$AA$40)</f>
        <v>582817.98733354418</v>
      </c>
      <c r="S61" s="59">
        <f t="shared" si="48"/>
        <v>-5.5885587182217108E-3</v>
      </c>
      <c r="T61" s="28">
        <f>SUMIF('R4'!$V$7:$AA$7,B61,'R4'!$V$41:$AA$41)</f>
        <v>691748.87797098258</v>
      </c>
      <c r="U61" s="59">
        <f t="shared" si="49"/>
        <v>-6.3619711174887947E-2</v>
      </c>
      <c r="V61" s="25">
        <f t="shared" si="2"/>
        <v>1.1869037898706749</v>
      </c>
      <c r="W61" s="59">
        <f t="shared" si="50"/>
        <v>-5.8357285573731064E-2</v>
      </c>
      <c r="X61" s="28">
        <f>SUMIF('R4'!$V$7:$AA$7,B61,'R4'!$V$52:$AA$52)</f>
        <v>379764.02006757673</v>
      </c>
      <c r="Y61" s="59">
        <f t="shared" si="51"/>
        <v>-0.12078242093387385</v>
      </c>
      <c r="Z61" s="28">
        <f>SUMIF('R4'!$V$7:$AA$7,B61,'R4'!$V$35:$AA$35)</f>
        <v>25423636.35051031</v>
      </c>
      <c r="AA61" s="59">
        <f t="shared" si="52"/>
        <v>-0.12064419370721989</v>
      </c>
      <c r="AB61" s="5"/>
      <c r="AC61" s="5"/>
      <c r="AD61" s="5"/>
    </row>
    <row r="62" spans="1:30" x14ac:dyDescent="0.25">
      <c r="A62" s="106" t="s">
        <v>6</v>
      </c>
      <c r="B62" s="21">
        <v>2000</v>
      </c>
      <c r="C62" s="3">
        <f>SUMIF('R5'!$V$7:$AA$7,B62,'R5'!$V$17:$AA$17)</f>
        <v>17.39819</v>
      </c>
      <c r="D62" s="42">
        <f>SUMIF('R5'!$V$7:$AA$7,B62,'R5'!$V$21:$AA$21)</f>
        <v>1</v>
      </c>
      <c r="E62" s="34">
        <f>SUMIF('R5'!$V$7:$AA$7,B62,'R5'!$V$22:$AA$22)</f>
        <v>1</v>
      </c>
      <c r="F62" s="45">
        <f>E62/D62</f>
        <v>1</v>
      </c>
      <c r="G62" s="53"/>
      <c r="H62" s="1">
        <f>SUMIF('R5'!$V$7:$AA$7,B62,'R5'!$V$19:$AA$19)</f>
        <v>0.92311634638663587</v>
      </c>
      <c r="I62" s="2">
        <f>SUMIF('R5'!$V$7:$AA$7,B62,'R5'!$V$20:$AA$20)</f>
        <v>1</v>
      </c>
      <c r="J62" s="2">
        <f>I62/H62</f>
        <v>1.0832870676749584</v>
      </c>
      <c r="K62" s="53"/>
      <c r="L62" s="26">
        <f>SUMIF('R5'!$V$7:$AA$7,B62,'R5'!$V$11:$AA$11)</f>
        <v>0.97033136301899992</v>
      </c>
      <c r="M62" s="24">
        <f>SUMIF('R5'!$V$7:$AA$7,B62,'R5'!$V$12:$AA$12)</f>
        <v>1.4521797769697999</v>
      </c>
      <c r="N62" s="23">
        <f t="shared" si="0"/>
        <v>2.4225111399887997</v>
      </c>
      <c r="O62" s="53"/>
      <c r="P62" s="38">
        <f t="shared" si="1"/>
        <v>1.4965813044026746</v>
      </c>
      <c r="Q62" s="53"/>
      <c r="R62" s="26">
        <f>SUMIF('R5'!$V$7:$AA$7,B62,'R5'!$V$15:$AA$15)</f>
        <v>45393.773600747983</v>
      </c>
      <c r="S62" s="53"/>
      <c r="T62" s="26">
        <f>SUMIF('R5'!$V$7:$AA$7,B62,'R5'!$V$16:$AA$16)</f>
        <v>59185.639391343168</v>
      </c>
      <c r="U62" s="53"/>
      <c r="V62" s="23">
        <f t="shared" si="2"/>
        <v>1.3038272585993584</v>
      </c>
      <c r="W62" s="53"/>
      <c r="X62" s="26">
        <f>SUMIF('R5'!$V$7:$AA$7,B62,'R5'!$V$27:$AA$27)</f>
        <v>18427.26254075639</v>
      </c>
      <c r="Y62" s="53"/>
      <c r="Z62" s="26">
        <f>SUMIF('R5'!$V$7:$AA$7,B62,'R5'!$V$10:$AA$10)</f>
        <v>77917.024970400002</v>
      </c>
      <c r="AA62" s="53"/>
      <c r="AB62" s="5"/>
      <c r="AC62" s="5"/>
      <c r="AD62" s="5"/>
    </row>
    <row r="63" spans="1:30" s="10" customFormat="1" x14ac:dyDescent="0.25">
      <c r="A63" s="107"/>
      <c r="B63" s="31">
        <v>2020</v>
      </c>
      <c r="C63" s="14">
        <f>SUMIF('R5'!$V$7:$AA$7,B63,'R5'!$V$17:$AA$17)</f>
        <v>17.39819</v>
      </c>
      <c r="D63" s="43">
        <f>SUMIF('R5'!$V$7:$AA$7,B63,'R5'!$V$21:$AA$21)</f>
        <v>0.96439833420871968</v>
      </c>
      <c r="E63" s="35">
        <f>SUMIF('R5'!$V$7:$AA$7,B63,'R5'!$V$22:$AA$22)</f>
        <v>0.99844694181596516</v>
      </c>
      <c r="F63" s="46">
        <f t="shared" ref="F63:F73" si="53">E63/D63</f>
        <v>1.0353055437773875</v>
      </c>
      <c r="G63" s="54"/>
      <c r="H63" s="4">
        <f>SUMIF('R5'!$V$7:$AA$7,B63,'R5'!$V$19:$AA$19)</f>
        <v>0.92311634638663587</v>
      </c>
      <c r="I63" s="5">
        <f>SUMIF('R5'!$V$7:$AA$7,B63,'R5'!$V$20:$AA$20)</f>
        <v>1</v>
      </c>
      <c r="J63" s="5">
        <f t="shared" ref="J63:J73" si="54">I63/H63</f>
        <v>1.0832870676749584</v>
      </c>
      <c r="K63" s="55"/>
      <c r="L63" s="27">
        <f>SUMIF('R5'!$V$7:$AA$7,B63,'R5'!$V$11:$AA$11)</f>
        <v>1.077592039064595</v>
      </c>
      <c r="M63" s="24">
        <f>SUMIF('R5'!$V$7:$AA$7,B63,'R5'!$V$12:$AA$12)</f>
        <v>2.9927587168420549</v>
      </c>
      <c r="N63" s="24">
        <f t="shared" si="0"/>
        <v>4.0703507559066496</v>
      </c>
      <c r="O63" s="55"/>
      <c r="P63" s="39">
        <f t="shared" si="1"/>
        <v>2.7772650579712175</v>
      </c>
      <c r="Q63" s="55"/>
      <c r="R63" s="27">
        <f>SUMIF('R5'!$V$7:$AA$7,B63,'R5'!$V$15:$AA$15)</f>
        <v>109613.8268010399</v>
      </c>
      <c r="S63" s="55"/>
      <c r="T63" s="27">
        <f>SUMIF('R5'!$V$7:$AA$7,B63,'R5'!$V$16:$AA$16)</f>
        <v>142917.4953025846</v>
      </c>
      <c r="U63" s="55"/>
      <c r="V63" s="24">
        <f t="shared" si="2"/>
        <v>1.3038272585993571</v>
      </c>
      <c r="W63" s="55"/>
      <c r="X63" s="27">
        <f>SUMIF('R5'!$V$7:$AA$7,B63,'R5'!$V$27:$AA$27)</f>
        <v>79742.572044224056</v>
      </c>
      <c r="Y63" s="55"/>
      <c r="Z63" s="27">
        <f>SUMIF('R5'!$V$7:$AA$7,B63,'R5'!$V$10:$AA$10)</f>
        <v>324580.23839814792</v>
      </c>
      <c r="AA63" s="55"/>
      <c r="AB63" s="13"/>
      <c r="AC63" s="13"/>
      <c r="AD63" s="13"/>
    </row>
    <row r="64" spans="1:30" x14ac:dyDescent="0.25">
      <c r="A64" s="107"/>
      <c r="B64" s="31">
        <v>2040</v>
      </c>
      <c r="C64" s="6">
        <f>SUMIF('R5'!$V$7:$AA$7,B64,'R5'!$V$17:$AA$17)</f>
        <v>17.39819</v>
      </c>
      <c r="D64" s="43">
        <f>SUMIF('R5'!$V$7:$AA$7,B64,'R5'!$V$21:$AA$21)</f>
        <v>0.96439833420871968</v>
      </c>
      <c r="E64" s="35">
        <f>SUMIF('R5'!$V$7:$AA$7,B64,'R5'!$V$22:$AA$22)</f>
        <v>0.99844694181596516</v>
      </c>
      <c r="F64" s="47">
        <f t="shared" si="53"/>
        <v>1.0353055437773875</v>
      </c>
      <c r="G64" s="55"/>
      <c r="H64" s="4">
        <f>SUMIF('R5'!$V$7:$AA$7,B64,'R5'!$V$19:$AA$19)</f>
        <v>0.92311634638663587</v>
      </c>
      <c r="I64" s="5">
        <f>SUMIF('R5'!$V$7:$AA$7,B64,'R5'!$V$20:$AA$20)</f>
        <v>1</v>
      </c>
      <c r="J64" s="5">
        <f t="shared" si="54"/>
        <v>1.0832870676749584</v>
      </c>
      <c r="K64" s="55"/>
      <c r="L64" s="27">
        <f>SUMIF('R5'!$V$7:$AA$7,B64,'R5'!$V$11:$AA$11)</f>
        <v>1.0805998628864859</v>
      </c>
      <c r="M64" s="24">
        <f>SUMIF('R5'!$V$7:$AA$7,B64,'R5'!$V$12:$AA$12)</f>
        <v>5.5692825622126696</v>
      </c>
      <c r="N64" s="24">
        <f t="shared" si="0"/>
        <v>6.6498824250991557</v>
      </c>
      <c r="O64" s="55"/>
      <c r="P64" s="40">
        <f t="shared" si="1"/>
        <v>5.1538805005361246</v>
      </c>
      <c r="Q64" s="55"/>
      <c r="R64" s="27">
        <f>SUMIF('R5'!$V$7:$AA$7,B64,'R5'!$V$15:$AA$15)</f>
        <v>200497.62255490071</v>
      </c>
      <c r="S64" s="55"/>
      <c r="T64" s="27">
        <f>SUMIF('R5'!$V$7:$AA$7,B64,'R5'!$V$16:$AA$16)</f>
        <v>261414.26557144479</v>
      </c>
      <c r="U64" s="55"/>
      <c r="V64" s="24">
        <f t="shared" si="2"/>
        <v>1.3038272585993569</v>
      </c>
      <c r="W64" s="55"/>
      <c r="X64" s="27">
        <f>SUMIF('R5'!$V$7:$AA$7,B64,'R5'!$V$27:$AA$27)</f>
        <v>150009.25288880811</v>
      </c>
      <c r="Y64" s="55"/>
      <c r="Z64" s="27">
        <f>SUMIF('R5'!$V$7:$AA$7,B64,'R5'!$V$10:$AA$10)</f>
        <v>997543.89438753994</v>
      </c>
      <c r="AA64" s="55"/>
      <c r="AB64" s="5"/>
      <c r="AC64" s="5"/>
      <c r="AD64" s="5"/>
    </row>
    <row r="65" spans="1:30" x14ac:dyDescent="0.25">
      <c r="A65" s="107"/>
      <c r="B65" s="31">
        <v>2060</v>
      </c>
      <c r="C65" s="6">
        <f>SUMIF('R5'!$V$7:$AA$7,B65,'R5'!$V$17:$AA$17)</f>
        <v>17.39819</v>
      </c>
      <c r="D65" s="43">
        <f>SUMIF('R5'!$V$7:$AA$7,B65,'R5'!$V$21:$AA$21)</f>
        <v>0.96439833420871968</v>
      </c>
      <c r="E65" s="35">
        <f>SUMIF('R5'!$V$7:$AA$7,B65,'R5'!$V$22:$AA$22)</f>
        <v>0.99844694181596516</v>
      </c>
      <c r="F65" s="47">
        <f t="shared" si="53"/>
        <v>1.0353055437773875</v>
      </c>
      <c r="G65" s="55"/>
      <c r="H65" s="4">
        <f>SUMIF('R5'!$V$7:$AA$7,B65,'R5'!$V$19:$AA$19)</f>
        <v>0.92311634638663587</v>
      </c>
      <c r="I65" s="5">
        <f>SUMIF('R5'!$V$7:$AA$7,B65,'R5'!$V$20:$AA$20)</f>
        <v>1</v>
      </c>
      <c r="J65" s="5">
        <f t="shared" si="54"/>
        <v>1.0832870676749584</v>
      </c>
      <c r="K65" s="55"/>
      <c r="L65" s="27">
        <f>SUMIF('R5'!$V$7:$AA$7,B65,'R5'!$V$11:$AA$11)</f>
        <v>1.009851139453539</v>
      </c>
      <c r="M65" s="24">
        <f>SUMIF('R5'!$V$7:$AA$7,B65,'R5'!$V$12:$AA$12)</f>
        <v>9.6584785355792118</v>
      </c>
      <c r="N65" s="24">
        <f t="shared" si="0"/>
        <v>10.668329675032751</v>
      </c>
      <c r="O65" s="55"/>
      <c r="P65" s="40">
        <f t="shared" si="1"/>
        <v>9.5642596797045822</v>
      </c>
      <c r="Q65" s="55"/>
      <c r="R65" s="27">
        <f>SUMIF('R5'!$V$7:$AA$7,B65,'R5'!$V$15:$AA$15)</f>
        <v>309898.1891654678</v>
      </c>
      <c r="S65" s="55"/>
      <c r="T65" s="27">
        <f>SUMIF('R5'!$V$7:$AA$7,B65,'R5'!$V$16:$AA$16)</f>
        <v>404053.70642451692</v>
      </c>
      <c r="U65" s="55"/>
      <c r="V65" s="24">
        <f t="shared" si="2"/>
        <v>1.3038272585993573</v>
      </c>
      <c r="W65" s="55"/>
      <c r="X65" s="27">
        <f>SUMIF('R5'!$V$7:$AA$7,B65,'R5'!$V$27:$AA$27)</f>
        <v>236117.14833106019</v>
      </c>
      <c r="Y65" s="55"/>
      <c r="Z65" s="27">
        <f>SUMIF('R5'!$V$7:$AA$7,B65,'R5'!$V$10:$AA$10)</f>
        <v>2518975.5803243588</v>
      </c>
      <c r="AA65" s="55"/>
      <c r="AB65" s="5"/>
      <c r="AC65" s="5"/>
      <c r="AD65" s="5"/>
    </row>
    <row r="66" spans="1:30" x14ac:dyDescent="0.25">
      <c r="A66" s="107"/>
      <c r="B66" s="31">
        <v>2080</v>
      </c>
      <c r="C66" s="6">
        <f>SUMIF('R5'!$V$7:$AA$7,B66,'R5'!$V$17:$AA$17)</f>
        <v>17.39819</v>
      </c>
      <c r="D66" s="43">
        <f>SUMIF('R5'!$V$7:$AA$7,B66,'R5'!$V$21:$AA$21)</f>
        <v>0.96439833420871968</v>
      </c>
      <c r="E66" s="35">
        <f>SUMIF('R5'!$V$7:$AA$7,B66,'R5'!$V$22:$AA$22)</f>
        <v>0.99844694181596516</v>
      </c>
      <c r="F66" s="47">
        <f t="shared" si="53"/>
        <v>1.0353055437773875</v>
      </c>
      <c r="G66" s="55"/>
      <c r="H66" s="4">
        <f>SUMIF('R5'!$V$7:$AA$7,B66,'R5'!$V$19:$AA$19)</f>
        <v>0.92311634638663587</v>
      </c>
      <c r="I66" s="5">
        <f>SUMIF('R5'!$V$7:$AA$7,B66,'R5'!$V$20:$AA$20)</f>
        <v>1</v>
      </c>
      <c r="J66" s="5">
        <f t="shared" si="54"/>
        <v>1.0832870676749584</v>
      </c>
      <c r="K66" s="55"/>
      <c r="L66" s="27">
        <f>SUMIF('R5'!$V$7:$AA$7,B66,'R5'!$V$11:$AA$11)</f>
        <v>0.90295008955022826</v>
      </c>
      <c r="M66" s="24">
        <f>SUMIF('R5'!$V$7:$AA$7,B66,'R5'!$V$12:$AA$12)</f>
        <v>16.026257597214869</v>
      </c>
      <c r="N66" s="24">
        <f t="shared" ref="N66:N129" si="55">M66+L66</f>
        <v>16.929207686765096</v>
      </c>
      <c r="O66" s="55"/>
      <c r="P66" s="40">
        <f t="shared" ref="P66:P129" si="56">M66/L66</f>
        <v>17.748774580882721</v>
      </c>
      <c r="Q66" s="55"/>
      <c r="R66" s="27">
        <f>SUMIF('R5'!$V$7:$AA$7,B66,'R5'!$V$15:$AA$15)</f>
        <v>432120.26022089558</v>
      </c>
      <c r="S66" s="55"/>
      <c r="T66" s="27">
        <f>SUMIF('R5'!$V$7:$AA$7,B66,'R5'!$V$16:$AA$16)</f>
        <v>563410.17426905094</v>
      </c>
      <c r="U66" s="55"/>
      <c r="V66" s="24">
        <f t="shared" ref="V66:V129" si="57">T66/R66</f>
        <v>1.3038272585993567</v>
      </c>
      <c r="W66" s="55"/>
      <c r="X66" s="27">
        <f>SUMIF('R5'!$V$7:$AA$7,B66,'R5'!$V$27:$AA$27)</f>
        <v>332855.22294734378</v>
      </c>
      <c r="Y66" s="55"/>
      <c r="Z66" s="27">
        <f>SUMIF('R5'!$V$7:$AA$7,B66,'R5'!$V$10:$AA$10)</f>
        <v>5634975.1989000821</v>
      </c>
      <c r="AA66" s="55"/>
      <c r="AB66" s="5"/>
      <c r="AC66" s="5"/>
      <c r="AD66" s="5"/>
    </row>
    <row r="67" spans="1:30" ht="15.75" thickBot="1" x14ac:dyDescent="0.3">
      <c r="A67" s="108"/>
      <c r="B67" s="32">
        <v>2100</v>
      </c>
      <c r="C67" s="9">
        <f>SUMIF('R5'!$V$7:$AA$7,B67,'R5'!$V$17:$AA$17)</f>
        <v>17.39819</v>
      </c>
      <c r="D67" s="44">
        <f>SUMIF('R5'!$V$7:$AA$7,B67,'R5'!$V$21:$AA$21)</f>
        <v>0.96439833420871968</v>
      </c>
      <c r="E67" s="36">
        <f>SUMIF('R5'!$V$7:$AA$7,B67,'R5'!$V$22:$AA$22)</f>
        <v>0.99844694181596516</v>
      </c>
      <c r="F67" s="48">
        <f t="shared" si="53"/>
        <v>1.0353055437773875</v>
      </c>
      <c r="G67" s="56"/>
      <c r="H67" s="7">
        <f>SUMIF('R5'!$V$7:$AA$7,B67,'R5'!$V$19:$AA$19)</f>
        <v>0.92311634638663587</v>
      </c>
      <c r="I67" s="8">
        <f>SUMIF('R5'!$V$7:$AA$7,B67,'R5'!$V$20:$AA$20)</f>
        <v>1</v>
      </c>
      <c r="J67" s="8">
        <f t="shared" si="54"/>
        <v>1.0832870676749584</v>
      </c>
      <c r="K67" s="56"/>
      <c r="L67" s="28">
        <f>SUMIF('R5'!$V$7:$AA$7,B67,'R5'!$V$11:$AA$11)</f>
        <v>0.78665811203172464</v>
      </c>
      <c r="M67" s="25">
        <f>SUMIF('R5'!$V$7:$AA$7,B67,'R5'!$V$12:$AA$12)</f>
        <v>25.91023868058215</v>
      </c>
      <c r="N67" s="25">
        <f t="shared" si="55"/>
        <v>26.696896792613874</v>
      </c>
      <c r="O67" s="56"/>
      <c r="P67" s="41">
        <f t="shared" si="56"/>
        <v>32.937102261188187</v>
      </c>
      <c r="Q67" s="56"/>
      <c r="R67" s="28">
        <f>SUMIF('R5'!$V$7:$AA$7,B67,'R5'!$V$15:$AA$15)</f>
        <v>567655.96896973415</v>
      </c>
      <c r="S67" s="56"/>
      <c r="T67" s="28">
        <f>SUMIF('R5'!$V$7:$AA$7,B67,'R5'!$V$16:$AA$16)</f>
        <v>740125.32584936998</v>
      </c>
      <c r="U67" s="56"/>
      <c r="V67" s="25">
        <f t="shared" si="57"/>
        <v>1.3038272585993567</v>
      </c>
      <c r="W67" s="56"/>
      <c r="X67" s="28">
        <f>SUMIF('R5'!$V$7:$AA$7,B67,'R5'!$V$27:$AA$27)</f>
        <v>439999.32611759641</v>
      </c>
      <c r="Y67" s="56"/>
      <c r="Z67" s="28">
        <f>SUMIF('R5'!$V$7:$AA$7,B67,'R5'!$V$10:$AA$10)</f>
        <v>11746616.598181119</v>
      </c>
      <c r="AA67" s="56"/>
      <c r="AB67" s="5"/>
      <c r="AC67" s="5"/>
      <c r="AD67" s="5"/>
    </row>
    <row r="68" spans="1:30" x14ac:dyDescent="0.25">
      <c r="A68" s="106" t="str">
        <f>'R5'!B1</f>
        <v>North West</v>
      </c>
      <c r="B68" s="21">
        <v>2000</v>
      </c>
      <c r="C68" s="3">
        <f>SUMIF('R5'!$V$7:$AA$7,B68,'R5'!$V$42:$AA$42)</f>
        <v>17.39819</v>
      </c>
      <c r="D68" s="42">
        <f>SUMIF('R5'!$V$7:$AA$7,B68,'R5'!$V$46:$AA$46)</f>
        <v>1</v>
      </c>
      <c r="E68" s="34">
        <f>SUMIF('R5'!$V$7:$AA$7,B68,'R5'!$V$47:$AA$47)</f>
        <v>1</v>
      </c>
      <c r="F68" s="49">
        <f t="shared" si="53"/>
        <v>1</v>
      </c>
      <c r="G68" s="57">
        <f t="shared" ref="G68:G73" si="58">(F68-$F62)/$F62</f>
        <v>0</v>
      </c>
      <c r="H68" s="1">
        <f>SUMIF('R5'!$V$7:$AA$7,B68,'R5'!$V$44:$AA$44)</f>
        <v>0.92311634638663587</v>
      </c>
      <c r="I68" s="2">
        <f>SUMIF('R5'!$V$7:$AA$7,B68,'R5'!$V$45:$AA$45)</f>
        <v>1</v>
      </c>
      <c r="J68" s="2">
        <f t="shared" si="54"/>
        <v>1.0832870676749584</v>
      </c>
      <c r="K68" s="57">
        <f t="shared" ref="K68:K73" si="59">(J68-$J62)/$J62</f>
        <v>0</v>
      </c>
      <c r="L68" s="26">
        <f>SUMIF('R5'!$V$7:$AA$7,B68,'R5'!$V$36:$AA$36)</f>
        <v>0.97033136301899992</v>
      </c>
      <c r="M68" s="23">
        <f>SUMIF('R5'!$V$7:$AA$7,B68,'R5'!$V$37:$AA$37)</f>
        <v>1.4521797769697999</v>
      </c>
      <c r="N68" s="23">
        <f t="shared" si="55"/>
        <v>2.4225111399887997</v>
      </c>
      <c r="O68" s="57"/>
      <c r="P68" s="38">
        <f t="shared" si="56"/>
        <v>1.4965813044026746</v>
      </c>
      <c r="Q68" s="57">
        <f t="shared" ref="Q68:Q73" si="60">(P68-$P62)/$P62</f>
        <v>0</v>
      </c>
      <c r="R68" s="26">
        <f>SUMIF('R5'!$V$7:$AA$7,B68,'R5'!$V$40:$AA$40)</f>
        <v>45393.773600747983</v>
      </c>
      <c r="S68" s="57">
        <f t="shared" ref="S68:S73" si="61">(R68-$R62)/$R62</f>
        <v>0</v>
      </c>
      <c r="T68" s="26">
        <f>SUMIF('R5'!$V$7:$AA$7,B68,'R5'!$V$41:$AA$41)</f>
        <v>59185.639391343168</v>
      </c>
      <c r="U68" s="57">
        <f t="shared" ref="U68:U73" si="62">(T68-$T62)/$T62</f>
        <v>0</v>
      </c>
      <c r="V68" s="23">
        <f t="shared" si="57"/>
        <v>1.3038272585993584</v>
      </c>
      <c r="W68" s="57">
        <f t="shared" ref="W68:W73" si="63">(V68-$V62)/$V62</f>
        <v>0</v>
      </c>
      <c r="X68" s="26">
        <f>SUMIF('R5'!$V$7:$AA$7,B68,'R5'!$V$52:$AA$52)</f>
        <v>18427.26254075639</v>
      </c>
      <c r="Y68" s="57">
        <f t="shared" ref="Y68:Y73" si="64">(X68-$X62)/$X62</f>
        <v>0</v>
      </c>
      <c r="Z68" s="26">
        <f>SUMIF('R5'!$V$7:$AA$7,B68,'R5'!$V$35:$AA$35)</f>
        <v>77917.024970400002</v>
      </c>
      <c r="AA68" s="57">
        <f t="shared" ref="AA68:AA73" si="65">(Z68-$Z62)/$Z62</f>
        <v>0</v>
      </c>
      <c r="AB68" s="5"/>
      <c r="AC68" s="5"/>
      <c r="AD68" s="5"/>
    </row>
    <row r="69" spans="1:30" x14ac:dyDescent="0.25">
      <c r="A69" s="107"/>
      <c r="B69" s="31">
        <v>2020</v>
      </c>
      <c r="C69" s="14">
        <f>SUMIF('R5'!$V$7:$AA$7,B69,'R5'!$V$42:$AA$42)</f>
        <v>18.31606</v>
      </c>
      <c r="D69" s="43">
        <f>SUMIF('R5'!$V$7:$AA$7,B69,'R5'!$V$46:$AA$46)</f>
        <v>0.93947441413050536</v>
      </c>
      <c r="E69" s="35">
        <f>SUMIF('R5'!$V$7:$AA$7,B69,'R5'!$V$47:$AA$47)</f>
        <v>0.99120776832621305</v>
      </c>
      <c r="F69" s="50">
        <f t="shared" si="53"/>
        <v>1.0550662726068889</v>
      </c>
      <c r="G69" s="58">
        <f t="shared" si="58"/>
        <v>1.9086856965338912E-2</v>
      </c>
      <c r="H69" s="4">
        <f>SUMIF('R5'!$V$7:$AA$7,B69,'R5'!$V$44:$AA$44)</f>
        <v>0.96078943915232329</v>
      </c>
      <c r="I69" s="5">
        <f>SUMIF('R5'!$V$7:$AA$7,B69,'R5'!$V$45:$AA$45)</f>
        <v>1</v>
      </c>
      <c r="J69" s="13">
        <f t="shared" si="54"/>
        <v>1.0408107741923882</v>
      </c>
      <c r="K69" s="58">
        <f t="shared" si="59"/>
        <v>-3.9210560847676684E-2</v>
      </c>
      <c r="L69" s="27">
        <f>SUMIF('R5'!$V$7:$AA$7,B69,'R5'!$V$36:$AA$36)</f>
        <v>1.073113040507867</v>
      </c>
      <c r="M69" s="24">
        <f>SUMIF('R5'!$V$7:$AA$7,B69,'R5'!$V$37:$AA$37)</f>
        <v>2.9960768386625571</v>
      </c>
      <c r="N69" s="24">
        <f t="shared" si="55"/>
        <v>4.0691898791704242</v>
      </c>
      <c r="O69" s="58"/>
      <c r="P69" s="39">
        <f t="shared" si="56"/>
        <v>2.7919489611687305</v>
      </c>
      <c r="Q69" s="58">
        <f t="shared" si="60"/>
        <v>5.2871810543857652E-3</v>
      </c>
      <c r="R69" s="27">
        <f>SUMIF('R5'!$V$7:$AA$7,B69,'R5'!$V$40:$AA$40)</f>
        <v>110016.0402496614</v>
      </c>
      <c r="S69" s="58">
        <f t="shared" si="61"/>
        <v>3.6693678193678112E-3</v>
      </c>
      <c r="T69" s="27">
        <f>SUMIF('R5'!$V$7:$AA$7,B69,'R5'!$V$41:$AA$41)</f>
        <v>140755.33521040331</v>
      </c>
      <c r="U69" s="58">
        <f t="shared" si="62"/>
        <v>-1.5128729254620455E-2</v>
      </c>
      <c r="V69" s="24">
        <f t="shared" si="57"/>
        <v>1.2794073926945986</v>
      </c>
      <c r="W69" s="58">
        <f t="shared" si="63"/>
        <v>-1.8729372118659104E-2</v>
      </c>
      <c r="X69" s="27">
        <f>SUMIF('R5'!$V$7:$AA$7,B69,'R5'!$V$52:$AA$52)</f>
        <v>77988.989673238335</v>
      </c>
      <c r="Y69" s="58">
        <f t="shared" si="64"/>
        <v>-2.1990541890387114E-2</v>
      </c>
      <c r="Z69" s="27">
        <f>SUMIF('R5'!$V$7:$AA$7,B69,'R5'!$V$35:$AA$35)</f>
        <v>317352.00746506831</v>
      </c>
      <c r="AA69" s="58">
        <f t="shared" si="65"/>
        <v>-2.2269473239504706E-2</v>
      </c>
      <c r="AB69" s="5"/>
      <c r="AC69" s="5"/>
      <c r="AD69" s="5"/>
    </row>
    <row r="70" spans="1:30" x14ac:dyDescent="0.25">
      <c r="A70" s="107"/>
      <c r="B70" s="31">
        <v>2040</v>
      </c>
      <c r="C70" s="6">
        <f>SUMIF('R5'!$V$7:$AA$7,B70,'R5'!$V$42:$AA$42)</f>
        <v>18.960840000000001</v>
      </c>
      <c r="D70" s="43">
        <f>SUMIF('R5'!$V$7:$AA$7,B70,'R5'!$V$46:$AA$46)</f>
        <v>0.92479939883583451</v>
      </c>
      <c r="E70" s="35">
        <f>SUMIF('R5'!$V$7:$AA$7,B70,'R5'!$V$47:$AA$47)</f>
        <v>0.98540782953795247</v>
      </c>
      <c r="F70" s="50">
        <f t="shared" si="53"/>
        <v>1.0655368405066155</v>
      </c>
      <c r="G70" s="58">
        <f t="shared" si="58"/>
        <v>2.9200362067923341E-2</v>
      </c>
      <c r="H70" s="4">
        <f>SUMIF('R5'!$V$7:$AA$7,B70,'R5'!$V$44:$AA$44)</f>
        <v>0.97044553354850793</v>
      </c>
      <c r="I70" s="5">
        <f>SUMIF('R5'!$V$7:$AA$7,B70,'R5'!$V$45:$AA$45)</f>
        <v>1</v>
      </c>
      <c r="J70" s="5">
        <f t="shared" si="54"/>
        <v>1.0304545339535172</v>
      </c>
      <c r="K70" s="58">
        <f t="shared" si="59"/>
        <v>-4.8770575499285589E-2</v>
      </c>
      <c r="L70" s="27">
        <f>SUMIF('R5'!$V$7:$AA$7,B70,'R5'!$V$36:$AA$36)</f>
        <v>1.075291412096764</v>
      </c>
      <c r="M70" s="24">
        <f>SUMIF('R5'!$V$7:$AA$7,B70,'R5'!$V$37:$AA$37)</f>
        <v>5.5713984672697734</v>
      </c>
      <c r="N70" s="24">
        <f t="shared" si="55"/>
        <v>6.6466898793665372</v>
      </c>
      <c r="O70" s="58"/>
      <c r="P70" s="40">
        <f t="shared" si="56"/>
        <v>5.1812916987831485</v>
      </c>
      <c r="Q70" s="58">
        <f t="shared" si="60"/>
        <v>5.3185552602883542E-3</v>
      </c>
      <c r="R70" s="27">
        <f>SUMIF('R5'!$V$7:$AA$7,B70,'R5'!$V$40:$AA$40)</f>
        <v>202180.47743507181</v>
      </c>
      <c r="S70" s="58">
        <f t="shared" si="61"/>
        <v>8.3933906982378171E-3</v>
      </c>
      <c r="T70" s="27">
        <f>SUMIF('R5'!$V$7:$AA$7,B70,'R5'!$V$41:$AA$41)</f>
        <v>256129.34794039809</v>
      </c>
      <c r="U70" s="58">
        <f t="shared" si="62"/>
        <v>-2.0216638214039347E-2</v>
      </c>
      <c r="V70" s="24">
        <f t="shared" si="57"/>
        <v>1.2668352117362638</v>
      </c>
      <c r="W70" s="58">
        <f t="shared" si="63"/>
        <v>-2.8371892533395868E-2</v>
      </c>
      <c r="X70" s="27">
        <f>SUMIF('R5'!$V$7:$AA$7,B70,'R5'!$V$52:$AA$52)</f>
        <v>145085.42850926501</v>
      </c>
      <c r="Y70" s="58">
        <f t="shared" si="64"/>
        <v>-3.2823471117430392E-2</v>
      </c>
      <c r="Z70" s="27">
        <f>SUMIF('R5'!$V$7:$AA$7,B70,'R5'!$V$35:$AA$35)</f>
        <v>964337.84931608906</v>
      </c>
      <c r="AA70" s="58">
        <f t="shared" si="65"/>
        <v>-3.3287803432287384E-2</v>
      </c>
      <c r="AB70" s="5"/>
      <c r="AC70" s="5"/>
      <c r="AD70" s="5"/>
    </row>
    <row r="71" spans="1:30" x14ac:dyDescent="0.25">
      <c r="A71" s="107"/>
      <c r="B71" s="31">
        <v>2060</v>
      </c>
      <c r="C71" s="6">
        <f>SUMIF('R5'!$V$7:$AA$7,B71,'R5'!$V$42:$AA$42)</f>
        <v>19.620480000000001</v>
      </c>
      <c r="D71" s="43">
        <f>SUMIF('R5'!$V$7:$AA$7,B71,'R5'!$V$46:$AA$46)</f>
        <v>0.90022563327805616</v>
      </c>
      <c r="E71" s="35">
        <f>SUMIF('R5'!$V$7:$AA$7,B71,'R5'!$V$47:$AA$47)</f>
        <v>0.97405330480158026</v>
      </c>
      <c r="F71" s="50">
        <f t="shared" si="53"/>
        <v>1.0820101858849431</v>
      </c>
      <c r="G71" s="58">
        <f t="shared" si="58"/>
        <v>4.5111940516758341E-2</v>
      </c>
      <c r="H71" s="4">
        <f>SUMIF('R5'!$V$7:$AA$7,B71,'R5'!$V$44:$AA$44)</f>
        <v>0.99004983374916744</v>
      </c>
      <c r="I71" s="5">
        <f>SUMIF('R5'!$V$7:$AA$7,B71,'R5'!$V$45:$AA$45)</f>
        <v>1</v>
      </c>
      <c r="J71" s="5">
        <f t="shared" si="54"/>
        <v>1.0100501670841686</v>
      </c>
      <c r="K71" s="58">
        <f t="shared" si="59"/>
        <v>-6.760618009405113E-2</v>
      </c>
      <c r="L71" s="27">
        <f>SUMIF('R5'!$V$7:$AA$7,B71,'R5'!$V$36:$AA$36)</f>
        <v>1.0033228900202309</v>
      </c>
      <c r="M71" s="24">
        <f>SUMIF('R5'!$V$7:$AA$7,B71,'R5'!$V$37:$AA$37)</f>
        <v>9.6583186713290914</v>
      </c>
      <c r="N71" s="24">
        <f t="shared" si="55"/>
        <v>10.661641561349322</v>
      </c>
      <c r="O71" s="58"/>
      <c r="P71" s="40">
        <f t="shared" si="56"/>
        <v>9.6263314306866281</v>
      </c>
      <c r="Q71" s="58">
        <f t="shared" si="60"/>
        <v>6.4899692250893716E-3</v>
      </c>
      <c r="R71" s="27">
        <f>SUMIF('R5'!$V$7:$AA$7,B71,'R5'!$V$40:$AA$40)</f>
        <v>313943.21538569732</v>
      </c>
      <c r="S71" s="58">
        <f t="shared" si="61"/>
        <v>1.3052758491821007E-2</v>
      </c>
      <c r="T71" s="27">
        <f>SUMIF('R5'!$V$7:$AA$7,B71,'R5'!$V$41:$AA$41)</f>
        <v>391659.21467685862</v>
      </c>
      <c r="U71" s="58">
        <f t="shared" si="62"/>
        <v>-3.0675357138380224E-2</v>
      </c>
      <c r="V71" s="24">
        <f t="shared" si="57"/>
        <v>1.2475479497006576</v>
      </c>
      <c r="W71" s="58">
        <f t="shared" si="63"/>
        <v>-4.3164697261474663E-2</v>
      </c>
      <c r="X71" s="27">
        <f>SUMIF('R5'!$V$7:$AA$7,B71,'R5'!$V$52:$AA$52)</f>
        <v>223315.21613436291</v>
      </c>
      <c r="Y71" s="58">
        <f t="shared" si="64"/>
        <v>-5.4218561790978732E-2</v>
      </c>
      <c r="Z71" s="27">
        <f>SUMIF('R5'!$V$7:$AA$7,B71,'R5'!$V$35:$AA$35)</f>
        <v>2380906.78961983</v>
      </c>
      <c r="AA71" s="58">
        <f t="shared" si="65"/>
        <v>-5.4811484391901179E-2</v>
      </c>
      <c r="AB71" s="5"/>
      <c r="AC71" s="5"/>
      <c r="AD71" s="5"/>
    </row>
    <row r="72" spans="1:30" x14ac:dyDescent="0.25">
      <c r="A72" s="107"/>
      <c r="B72" s="31">
        <v>2080</v>
      </c>
      <c r="C72" s="6">
        <f>SUMIF('R5'!$V$7:$AA$7,B72,'R5'!$V$42:$AA$42)</f>
        <v>20.564869999999999</v>
      </c>
      <c r="D72" s="43">
        <f>SUMIF('R5'!$V$7:$AA$7,B72,'R5'!$V$46:$AA$46)</f>
        <v>0.86311515559253815</v>
      </c>
      <c r="E72" s="35">
        <f>SUMIF('R5'!$V$7:$AA$7,B72,'R5'!$V$47:$AA$47)</f>
        <v>0.95414178358867729</v>
      </c>
      <c r="F72" s="50">
        <f t="shared" si="53"/>
        <v>1.105462900757024</v>
      </c>
      <c r="G72" s="58">
        <f t="shared" si="58"/>
        <v>6.7764881006685554E-2</v>
      </c>
      <c r="H72" s="4">
        <f>SUMIF('R5'!$V$7:$AA$7,B72,'R5'!$V$44:$AA$44)</f>
        <v>1</v>
      </c>
      <c r="I72" s="5">
        <f>SUMIF('R5'!$V$7:$AA$7,B72,'R5'!$V$45:$AA$45)</f>
        <v>1</v>
      </c>
      <c r="J72" s="5">
        <f t="shared" si="54"/>
        <v>1</v>
      </c>
      <c r="K72" s="58">
        <f t="shared" si="59"/>
        <v>-7.6883653613364092E-2</v>
      </c>
      <c r="L72" s="27">
        <f>SUMIF('R5'!$V$7:$AA$7,B72,'R5'!$V$36:$AA$36)</f>
        <v>0.89926375406155623</v>
      </c>
      <c r="M72" s="24">
        <f>SUMIF('R5'!$V$7:$AA$7,B72,'R5'!$V$37:$AA$37)</f>
        <v>16.018522076697781</v>
      </c>
      <c r="N72" s="24">
        <f t="shared" si="55"/>
        <v>16.917785830759339</v>
      </c>
      <c r="O72" s="58"/>
      <c r="P72" s="40">
        <f t="shared" si="56"/>
        <v>17.812929748752317</v>
      </c>
      <c r="Q72" s="58">
        <f t="shared" si="60"/>
        <v>3.6146252000235921E-3</v>
      </c>
      <c r="R72" s="27">
        <f>SUMIF('R5'!$V$7:$AA$7,B72,'R5'!$V$40:$AA$40)</f>
        <v>438564.48204289417</v>
      </c>
      <c r="S72" s="58">
        <f t="shared" si="61"/>
        <v>1.4913028652496815E-2</v>
      </c>
      <c r="T72" s="27">
        <f>SUMIF('R5'!$V$7:$AA$7,B72,'R5'!$V$41:$AA$41)</f>
        <v>535522.69466095429</v>
      </c>
      <c r="U72" s="58">
        <f t="shared" si="62"/>
        <v>-4.949764999234689E-2</v>
      </c>
      <c r="V72" s="24">
        <f t="shared" si="57"/>
        <v>1.2210808594586031</v>
      </c>
      <c r="W72" s="58">
        <f t="shared" si="63"/>
        <v>-6.3464234694436669E-2</v>
      </c>
      <c r="X72" s="27">
        <f>SUMIF('R5'!$V$7:$AA$7,B72,'R5'!$V$52:$AA$52)</f>
        <v>302355.06946239242</v>
      </c>
      <c r="Y72" s="58">
        <f t="shared" si="64"/>
        <v>-9.1631890931080096E-2</v>
      </c>
      <c r="Z72" s="27">
        <f>SUMIF('R5'!$V$7:$AA$7,B72,'R5'!$V$35:$AA$35)</f>
        <v>5115178.3100091182</v>
      </c>
      <c r="AA72" s="58">
        <f t="shared" si="65"/>
        <v>-9.2244751847785522E-2</v>
      </c>
      <c r="AB72" s="5"/>
      <c r="AC72" s="5"/>
      <c r="AD72" s="5"/>
    </row>
    <row r="73" spans="1:30" ht="15.75" thickBot="1" x14ac:dyDescent="0.3">
      <c r="A73" s="108"/>
      <c r="B73" s="32">
        <v>2100</v>
      </c>
      <c r="C73" s="9">
        <f>SUMIF('R5'!$V$7:$AA$7,B73,'R5'!$V$42:$AA$42)</f>
        <v>20.97579</v>
      </c>
      <c r="D73" s="44">
        <f>SUMIF('R5'!$V$7:$AA$7,B73,'R5'!$V$46:$AA$46)</f>
        <v>0.84289864993793617</v>
      </c>
      <c r="E73" s="36">
        <f>SUMIF('R5'!$V$7:$AA$7,B73,'R5'!$V$47:$AA$47)</f>
        <v>0.94223331790392795</v>
      </c>
      <c r="F73" s="51">
        <f t="shared" si="53"/>
        <v>1.117848887257449</v>
      </c>
      <c r="G73" s="59">
        <f t="shared" si="58"/>
        <v>7.9728485929763449E-2</v>
      </c>
      <c r="H73" s="7">
        <f>SUMIF('R5'!$V$7:$AA$7,B73,'R5'!$V$44:$AA$44)</f>
        <v>1</v>
      </c>
      <c r="I73" s="8">
        <f>SUMIF('R5'!$V$7:$AA$7,B73,'R5'!$V$45:$AA$45)</f>
        <v>1</v>
      </c>
      <c r="J73" s="8">
        <f t="shared" si="54"/>
        <v>1</v>
      </c>
      <c r="K73" s="59">
        <f t="shared" si="59"/>
        <v>-7.6883653613364092E-2</v>
      </c>
      <c r="L73" s="28">
        <f>SUMIF('R5'!$V$7:$AA$7,B73,'R5'!$V$36:$AA$36)</f>
        <v>0.78549517339420716</v>
      </c>
      <c r="M73" s="25">
        <f>SUMIF('R5'!$V$7:$AA$7,B73,'R5'!$V$37:$AA$37)</f>
        <v>25.89322581187745</v>
      </c>
      <c r="N73" s="25">
        <f t="shared" si="55"/>
        <v>26.678720985271656</v>
      </c>
      <c r="O73" s="59"/>
      <c r="P73" s="41">
        <f t="shared" si="56"/>
        <v>32.964207405616641</v>
      </c>
      <c r="Q73" s="59">
        <f t="shared" si="60"/>
        <v>8.2293652348383595E-4</v>
      </c>
      <c r="R73" s="33">
        <f>SUMIF('R5'!$V$7:$AA$7,B73,'R5'!$V$40:$AA$40)</f>
        <v>576399.9723992123</v>
      </c>
      <c r="S73" s="59">
        <f t="shared" si="61"/>
        <v>1.5403702079180209E-2</v>
      </c>
      <c r="T73" s="28">
        <f>SUMIF('R5'!$V$7:$AA$7,B73,'R5'!$V$41:$AA$41)</f>
        <v>696032.38745976472</v>
      </c>
      <c r="U73" s="59">
        <f t="shared" si="62"/>
        <v>-5.9574962306558114E-2</v>
      </c>
      <c r="V73" s="25">
        <f t="shared" si="57"/>
        <v>1.2075510423128464</v>
      </c>
      <c r="W73" s="59">
        <f t="shared" si="63"/>
        <v>-7.3841235985459858E-2</v>
      </c>
      <c r="X73" s="28">
        <f>SUMIF('R5'!$V$7:$AA$7,B73,'R5'!$V$52:$AA$52)</f>
        <v>390492.16802785348</v>
      </c>
      <c r="Y73" s="59">
        <f t="shared" si="64"/>
        <v>-0.11251644071043738</v>
      </c>
      <c r="Z73" s="28">
        <f>SUMIF('R5'!$V$7:$AA$7,B73,'R5'!$V$35:$AA$35)</f>
        <v>10417831.59774892</v>
      </c>
      <c r="AA73" s="59">
        <f t="shared" si="65"/>
        <v>-0.11312065813384527</v>
      </c>
      <c r="AB73" s="5"/>
      <c r="AC73" s="5"/>
      <c r="AD73" s="5"/>
    </row>
    <row r="74" spans="1:30" x14ac:dyDescent="0.25">
      <c r="A74" s="94" t="s">
        <v>6</v>
      </c>
      <c r="B74" s="21">
        <v>2000</v>
      </c>
      <c r="C74" s="3">
        <f>SUMIF('R6'!$V$7:$AA$7,B74,'R6'!$V$17:$AA$17)</f>
        <v>16.019739999999999</v>
      </c>
      <c r="D74" s="42">
        <f>SUMIF('R6'!$V$7:$AA$7,B74,'R6'!$V$21:$AA$21)</f>
        <v>1</v>
      </c>
      <c r="E74" s="34">
        <f>SUMIF('R6'!$V$7:$AA$7,B74,'R6'!$V$22:$AA$22)</f>
        <v>1</v>
      </c>
      <c r="F74" s="45">
        <f>E74/D74</f>
        <v>1</v>
      </c>
      <c r="G74" s="53"/>
      <c r="H74" s="1">
        <f>SUMIF('R6'!$V$7:$AA$7,B74,'R6'!$V$19:$AA$19)</f>
        <v>0.86070797642505747</v>
      </c>
      <c r="I74" s="2">
        <f>SUMIF('R6'!$V$7:$AA$7,B74,'R6'!$V$20:$AA$20)</f>
        <v>1</v>
      </c>
      <c r="J74" s="2">
        <f>I74/H74</f>
        <v>1.1618342427282835</v>
      </c>
      <c r="K74" s="53"/>
      <c r="L74" s="26">
        <f>SUMIF('R6'!$V$7:$AA$7,B74,'R6'!$V$11:$AA$11)</f>
        <v>2.1370411467945001</v>
      </c>
      <c r="M74" s="24">
        <f>SUMIF('R6'!$V$7:$AA$7,B74,'R6'!$V$12:$AA$12)</f>
        <v>3.1982558270318999</v>
      </c>
      <c r="N74" s="23">
        <f t="shared" si="55"/>
        <v>5.3352969738264004</v>
      </c>
      <c r="O74" s="53"/>
      <c r="P74" s="38">
        <f t="shared" si="56"/>
        <v>1.4965813044026743</v>
      </c>
      <c r="Q74" s="53"/>
      <c r="R74" s="26">
        <f>SUMIF('R6'!$V$7:$AA$7,B74,'R6'!$V$15:$AA$15)</f>
        <v>44533.81267978299</v>
      </c>
      <c r="S74" s="53"/>
      <c r="T74" s="26">
        <f>SUMIF('R6'!$V$7:$AA$7,B74,'R6'!$V$16:$AA$16)</f>
        <v>59855.314921334641</v>
      </c>
      <c r="U74" s="53"/>
      <c r="V74" s="23">
        <f t="shared" si="57"/>
        <v>1.344042005828689</v>
      </c>
      <c r="W74" s="53"/>
      <c r="X74" s="26">
        <f>SUMIF('R6'!$V$7:$AA$7,B74,'R6'!$V$27:$AA$27)</f>
        <v>18427.262540756401</v>
      </c>
      <c r="Y74" s="53"/>
      <c r="Z74" s="26">
        <f>SUMIF('R6'!$V$7:$AA$7,B74,'R6'!$V$10:$AA$10)</f>
        <v>171603.1190412</v>
      </c>
      <c r="AA74" s="53"/>
      <c r="AB74" s="5"/>
      <c r="AC74" s="5"/>
      <c r="AD74" s="5"/>
    </row>
    <row r="75" spans="1:30" s="10" customFormat="1" x14ac:dyDescent="0.25">
      <c r="A75" s="95"/>
      <c r="B75" s="31">
        <v>2020</v>
      </c>
      <c r="C75" s="14">
        <f>SUMIF('R6'!$V$7:$AA$7,B75,'R6'!$V$17:$AA$17)</f>
        <v>16.019739999999999</v>
      </c>
      <c r="D75" s="43">
        <f>SUMIF('R6'!$V$7:$AA$7,B75,'R6'!$V$21:$AA$21)</f>
        <v>0.99257987162312367</v>
      </c>
      <c r="E75" s="35">
        <f>SUMIF('R6'!$V$7:$AA$7,B75,'R6'!$V$22:$AA$22)</f>
        <v>0.99687617775686799</v>
      </c>
      <c r="F75" s="46">
        <f t="shared" ref="F75:F85" si="66">E75/D75</f>
        <v>1.0043284235924699</v>
      </c>
      <c r="G75" s="54"/>
      <c r="H75" s="4">
        <f>SUMIF('R6'!$V$7:$AA$7,B75,'R6'!$V$19:$AA$19)</f>
        <v>0.86070797642505747</v>
      </c>
      <c r="I75" s="5">
        <f>SUMIF('R6'!$V$7:$AA$7,B75,'R6'!$V$20:$AA$20)</f>
        <v>1</v>
      </c>
      <c r="J75" s="5">
        <f t="shared" ref="J75:J85" si="67">I75/H75</f>
        <v>1.1618342427282835</v>
      </c>
      <c r="K75" s="55"/>
      <c r="L75" s="27">
        <f>SUMIF('R6'!$V$7:$AA$7,B75,'R6'!$V$11:$AA$11)</f>
        <v>2.3732702195405939</v>
      </c>
      <c r="M75" s="24">
        <f>SUMIF('R6'!$V$7:$AA$7,B75,'R6'!$V$12:$AA$12)</f>
        <v>6.5912004538537703</v>
      </c>
      <c r="N75" s="24">
        <f t="shared" si="55"/>
        <v>8.9644706733943647</v>
      </c>
      <c r="O75" s="55"/>
      <c r="P75" s="39">
        <f t="shared" si="56"/>
        <v>2.777265057971217</v>
      </c>
      <c r="Q75" s="55"/>
      <c r="R75" s="27">
        <f>SUMIF('R6'!$V$7:$AA$7,B75,'R6'!$V$15:$AA$15)</f>
        <v>108568.4832299315</v>
      </c>
      <c r="S75" s="55"/>
      <c r="T75" s="27">
        <f>SUMIF('R6'!$V$7:$AA$7,B75,'R6'!$V$16:$AA$16)</f>
        <v>145920.60197013541</v>
      </c>
      <c r="U75" s="55"/>
      <c r="V75" s="24">
        <f t="shared" si="57"/>
        <v>1.3440420058286879</v>
      </c>
      <c r="W75" s="55"/>
      <c r="X75" s="27">
        <f>SUMIF('R6'!$V$7:$AA$7,B75,'R6'!$V$27:$AA$27)</f>
        <v>81290.104600453633</v>
      </c>
      <c r="Y75" s="55"/>
      <c r="Z75" s="27">
        <f>SUMIF('R6'!$V$7:$AA$7,B75,'R6'!$V$10:$AA$10)</f>
        <v>728722.75872792688</v>
      </c>
      <c r="AA75" s="55"/>
      <c r="AB75" s="13"/>
      <c r="AC75" s="13"/>
      <c r="AD75" s="13"/>
    </row>
    <row r="76" spans="1:30" x14ac:dyDescent="0.25">
      <c r="A76" s="95"/>
      <c r="B76" s="31">
        <v>2040</v>
      </c>
      <c r="C76" s="6">
        <f>SUMIF('R6'!$V$7:$AA$7,B76,'R6'!$V$17:$AA$17)</f>
        <v>16.019739999999999</v>
      </c>
      <c r="D76" s="43">
        <f>SUMIF('R6'!$V$7:$AA$7,B76,'R6'!$V$21:$AA$21)</f>
        <v>0.99257987162312367</v>
      </c>
      <c r="E76" s="35">
        <f>SUMIF('R6'!$V$7:$AA$7,B76,'R6'!$V$22:$AA$22)</f>
        <v>0.99687617775686799</v>
      </c>
      <c r="F76" s="47">
        <f t="shared" si="66"/>
        <v>1.0043284235924699</v>
      </c>
      <c r="G76" s="55"/>
      <c r="H76" s="4">
        <f>SUMIF('R6'!$V$7:$AA$7,B76,'R6'!$V$19:$AA$19)</f>
        <v>0.86070797642505747</v>
      </c>
      <c r="I76" s="5">
        <f>SUMIF('R6'!$V$7:$AA$7,B76,'R6'!$V$20:$AA$20)</f>
        <v>1</v>
      </c>
      <c r="J76" s="5">
        <f t="shared" si="67"/>
        <v>1.1618342427282835</v>
      </c>
      <c r="K76" s="55"/>
      <c r="L76" s="27">
        <f>SUMIF('R6'!$V$7:$AA$7,B76,'R6'!$V$11:$AA$11)</f>
        <v>2.379894599123348</v>
      </c>
      <c r="M76" s="24">
        <f>SUMIF('R6'!$V$7:$AA$7,B76,'R6'!$V$12:$AA$12)</f>
        <v>12.26569236775306</v>
      </c>
      <c r="N76" s="24">
        <f t="shared" si="55"/>
        <v>14.645586966876408</v>
      </c>
      <c r="O76" s="55"/>
      <c r="P76" s="40">
        <f t="shared" si="56"/>
        <v>5.1538805005361246</v>
      </c>
      <c r="Q76" s="55"/>
      <c r="R76" s="27">
        <f>SUMIF('R6'!$V$7:$AA$7,B76,'R6'!$V$15:$AA$15)</f>
        <v>196923.44014454001</v>
      </c>
      <c r="S76" s="55"/>
      <c r="T76" s="27">
        <f>SUMIF('R6'!$V$7:$AA$7,B76,'R6'!$V$16:$AA$16)</f>
        <v>264673.3754865533</v>
      </c>
      <c r="U76" s="55"/>
      <c r="V76" s="24">
        <f t="shared" si="57"/>
        <v>1.3440420058286888</v>
      </c>
      <c r="W76" s="55"/>
      <c r="X76" s="27">
        <f>SUMIF('R6'!$V$7:$AA$7,B76,'R6'!$V$27:$AA$27)</f>
        <v>151640.51381148171</v>
      </c>
      <c r="Y76" s="55"/>
      <c r="Z76" s="27">
        <f>SUMIF('R6'!$V$7:$AA$7,B76,'R6'!$V$10:$AA$10)</f>
        <v>2220864.332727877</v>
      </c>
      <c r="AA76" s="55"/>
      <c r="AB76" s="5"/>
      <c r="AC76" s="5"/>
      <c r="AD76" s="5"/>
    </row>
    <row r="77" spans="1:30" x14ac:dyDescent="0.25">
      <c r="A77" s="95"/>
      <c r="B77" s="31">
        <v>2060</v>
      </c>
      <c r="C77" s="6">
        <f>SUMIF('R6'!$V$7:$AA$7,B77,'R6'!$V$17:$AA$17)</f>
        <v>16.019739999999999</v>
      </c>
      <c r="D77" s="43">
        <f>SUMIF('R6'!$V$7:$AA$7,B77,'R6'!$V$21:$AA$21)</f>
        <v>0.99257987162312367</v>
      </c>
      <c r="E77" s="35">
        <f>SUMIF('R6'!$V$7:$AA$7,B77,'R6'!$V$22:$AA$22)</f>
        <v>0.99687617775686799</v>
      </c>
      <c r="F77" s="47">
        <f t="shared" si="66"/>
        <v>1.0043284235924699</v>
      </c>
      <c r="G77" s="55"/>
      <c r="H77" s="4">
        <f>SUMIF('R6'!$V$7:$AA$7,B77,'R6'!$V$19:$AA$19)</f>
        <v>0.86070797642505747</v>
      </c>
      <c r="I77" s="5">
        <f>SUMIF('R6'!$V$7:$AA$7,B77,'R6'!$V$20:$AA$20)</f>
        <v>1</v>
      </c>
      <c r="J77" s="5">
        <f t="shared" si="67"/>
        <v>1.1618342427282835</v>
      </c>
      <c r="K77" s="55"/>
      <c r="L77" s="27">
        <f>SUMIF('R6'!$V$7:$AA$7,B77,'R6'!$V$11:$AA$11)</f>
        <v>2.2240788244080152</v>
      </c>
      <c r="M77" s="24">
        <f>SUMIF('R6'!$V$7:$AA$7,B77,'R6'!$V$12:$AA$12)</f>
        <v>21.271667424770332</v>
      </c>
      <c r="N77" s="24">
        <f t="shared" si="55"/>
        <v>23.495746249178346</v>
      </c>
      <c r="O77" s="55"/>
      <c r="P77" s="40">
        <f t="shared" si="56"/>
        <v>9.5642596797045751</v>
      </c>
      <c r="Q77" s="55"/>
      <c r="R77" s="27">
        <f>SUMIF('R6'!$V$7:$AA$7,B77,'R6'!$V$15:$AA$15)</f>
        <v>302761.75679711433</v>
      </c>
      <c r="S77" s="55"/>
      <c r="T77" s="27">
        <f>SUMIF('R6'!$V$7:$AA$7,B77,'R6'!$V$16:$AA$16)</f>
        <v>406924.51889381098</v>
      </c>
      <c r="U77" s="55"/>
      <c r="V77" s="24">
        <f t="shared" si="57"/>
        <v>1.3440420058286882</v>
      </c>
      <c r="W77" s="55"/>
      <c r="X77" s="27">
        <f>SUMIF('R6'!$V$7:$AA$7,B77,'R6'!$V$27:$AA$27)</f>
        <v>237420.66655761871</v>
      </c>
      <c r="Y77" s="55"/>
      <c r="Z77" s="27">
        <f>SUMIF('R6'!$V$7:$AA$7,B77,'R6'!$V$10:$AA$10)</f>
        <v>5578375.7357485928</v>
      </c>
      <c r="AA77" s="55"/>
      <c r="AB77" s="5"/>
      <c r="AC77" s="5"/>
      <c r="AD77" s="5"/>
    </row>
    <row r="78" spans="1:30" x14ac:dyDescent="0.25">
      <c r="A78" s="95"/>
      <c r="B78" s="31">
        <v>2080</v>
      </c>
      <c r="C78" s="6">
        <f>SUMIF('R6'!$V$7:$AA$7,B78,'R6'!$V$17:$AA$17)</f>
        <v>16.019739999999999</v>
      </c>
      <c r="D78" s="43">
        <f>SUMIF('R6'!$V$7:$AA$7,B78,'R6'!$V$21:$AA$21)</f>
        <v>0.99257987162312367</v>
      </c>
      <c r="E78" s="35">
        <f>SUMIF('R6'!$V$7:$AA$7,B78,'R6'!$V$22:$AA$22)</f>
        <v>0.99687617775686799</v>
      </c>
      <c r="F78" s="47">
        <f t="shared" si="66"/>
        <v>1.0043284235924699</v>
      </c>
      <c r="G78" s="55"/>
      <c r="H78" s="4">
        <f>SUMIF('R6'!$V$7:$AA$7,B78,'R6'!$V$19:$AA$19)</f>
        <v>0.86070797642505747</v>
      </c>
      <c r="I78" s="5">
        <f>SUMIF('R6'!$V$7:$AA$7,B78,'R6'!$V$20:$AA$20)</f>
        <v>1</v>
      </c>
      <c r="J78" s="5">
        <f t="shared" si="67"/>
        <v>1.1618342427282835</v>
      </c>
      <c r="K78" s="55"/>
      <c r="L78" s="27">
        <f>SUMIF('R6'!$V$7:$AA$7,B78,'R6'!$V$11:$AA$11)</f>
        <v>1.988641786107898</v>
      </c>
      <c r="M78" s="24">
        <f>SUMIF('R6'!$V$7:$AA$7,B78,'R6'!$V$12:$AA$12)</f>
        <v>35.295954783753068</v>
      </c>
      <c r="N78" s="24">
        <f t="shared" si="55"/>
        <v>37.284596569860966</v>
      </c>
      <c r="O78" s="55"/>
      <c r="P78" s="40">
        <f t="shared" si="56"/>
        <v>17.748774580882717</v>
      </c>
      <c r="Q78" s="55"/>
      <c r="R78" s="27">
        <f>SUMIF('R6'!$V$7:$AA$7,B78,'R6'!$V$15:$AA$15)</f>
        <v>420847.23599471513</v>
      </c>
      <c r="S78" s="55"/>
      <c r="T78" s="27">
        <f>SUMIF('R6'!$V$7:$AA$7,B78,'R6'!$V$16:$AA$16)</f>
        <v>565636.36321379628</v>
      </c>
      <c r="U78" s="55"/>
      <c r="V78" s="24">
        <f t="shared" si="57"/>
        <v>1.3440420058286884</v>
      </c>
      <c r="W78" s="55"/>
      <c r="X78" s="27">
        <f>SUMIF('R6'!$V$7:$AA$7,B78,'R6'!$V$27:$AA$27)</f>
        <v>333644.70634259499</v>
      </c>
      <c r="Y78" s="55"/>
      <c r="Z78" s="27">
        <f>SUMIF('R6'!$V$7:$AA$7,B78,'R6'!$V$10:$AA$10)</f>
        <v>12439808.27365339</v>
      </c>
      <c r="AA78" s="55"/>
      <c r="AB78" s="5"/>
      <c r="AC78" s="5"/>
      <c r="AD78" s="5"/>
    </row>
    <row r="79" spans="1:30" ht="15.75" thickBot="1" x14ac:dyDescent="0.3">
      <c r="A79" s="96"/>
      <c r="B79" s="32">
        <v>2100</v>
      </c>
      <c r="C79" s="9">
        <f>SUMIF('R6'!$V$7:$AA$7,B79,'R6'!$V$17:$AA$17)</f>
        <v>16.019739999999999</v>
      </c>
      <c r="D79" s="44">
        <f>SUMIF('R6'!$V$7:$AA$7,B79,'R6'!$V$21:$AA$21)</f>
        <v>0.99257987162312367</v>
      </c>
      <c r="E79" s="36">
        <f>SUMIF('R6'!$V$7:$AA$7,B79,'R6'!$V$22:$AA$22)</f>
        <v>0.99687617775686799</v>
      </c>
      <c r="F79" s="48">
        <f t="shared" si="66"/>
        <v>1.0043284235924699</v>
      </c>
      <c r="G79" s="56"/>
      <c r="H79" s="7">
        <f>SUMIF('R6'!$V$7:$AA$7,B79,'R6'!$V$19:$AA$19)</f>
        <v>0.86070797642505747</v>
      </c>
      <c r="I79" s="8">
        <f>SUMIF('R6'!$V$7:$AA$7,B79,'R6'!$V$20:$AA$20)</f>
        <v>1</v>
      </c>
      <c r="J79" s="8">
        <f t="shared" si="67"/>
        <v>1.1618342427282835</v>
      </c>
      <c r="K79" s="56"/>
      <c r="L79" s="28">
        <f>SUMIF('R6'!$V$7:$AA$7,B79,'R6'!$V$11:$AA$11)</f>
        <v>1.7325223299399359</v>
      </c>
      <c r="M79" s="25">
        <f>SUMIF('R6'!$V$7:$AA$7,B79,'R6'!$V$12:$AA$12)</f>
        <v>57.064265151023697</v>
      </c>
      <c r="N79" s="25">
        <f t="shared" si="55"/>
        <v>58.79678748096363</v>
      </c>
      <c r="O79" s="56"/>
      <c r="P79" s="41">
        <f t="shared" si="56"/>
        <v>32.937102261188194</v>
      </c>
      <c r="Q79" s="56"/>
      <c r="R79" s="28">
        <f>SUMIF('R6'!$V$7:$AA$7,B79,'R6'!$V$15:$AA$15)</f>
        <v>551864.36227689253</v>
      </c>
      <c r="S79" s="56"/>
      <c r="T79" s="28">
        <f>SUMIF('R6'!$V$7:$AA$7,B79,'R6'!$V$16:$AA$16)</f>
        <v>741728.88442000479</v>
      </c>
      <c r="U79" s="56"/>
      <c r="V79" s="25">
        <f t="shared" si="57"/>
        <v>1.3440420058286888</v>
      </c>
      <c r="W79" s="56"/>
      <c r="X79" s="28">
        <f>SUMIF('R6'!$V$7:$AA$7,B79,'R6'!$V$27:$AA$27)</f>
        <v>440258.92054905329</v>
      </c>
      <c r="Y79" s="56"/>
      <c r="Z79" s="28">
        <f>SUMIF('R6'!$V$7:$AA$7,B79,'R6'!$V$10:$AA$10)</f>
        <v>25885810.18812114</v>
      </c>
      <c r="AA79" s="56"/>
      <c r="AB79" s="5"/>
      <c r="AC79" s="5"/>
      <c r="AD79" s="5"/>
    </row>
    <row r="80" spans="1:30" x14ac:dyDescent="0.25">
      <c r="A80" s="94" t="str">
        <f>'R6'!B1</f>
        <v>Gauteng</v>
      </c>
      <c r="B80" s="21">
        <v>2000</v>
      </c>
      <c r="C80" s="3">
        <f>SUMIF('R6'!$V$7:$AA$7,B80,'R6'!$V$42:$AA$42)</f>
        <v>16.019739999999999</v>
      </c>
      <c r="D80" s="42">
        <f>SUMIF('R6'!$V$7:$AA$7,B80,'R6'!$V$46:$AA$46)</f>
        <v>1</v>
      </c>
      <c r="E80" s="34">
        <f>SUMIF('R6'!$V$7:$AA$7,B80,'R6'!$V$47:$AA$47)</f>
        <v>1</v>
      </c>
      <c r="F80" s="49">
        <f t="shared" si="66"/>
        <v>1</v>
      </c>
      <c r="G80" s="57">
        <f t="shared" ref="G80:G85" si="68">(F80-$F74)/$F74</f>
        <v>0</v>
      </c>
      <c r="H80" s="1">
        <f>SUMIF('R6'!$V$7:$AA$7,B80,'R6'!$V$44:$AA$44)</f>
        <v>0.86070797642505747</v>
      </c>
      <c r="I80" s="2">
        <f>SUMIF('R6'!$V$7:$AA$7,B80,'R6'!$V$45:$AA$45)</f>
        <v>1</v>
      </c>
      <c r="J80" s="2">
        <f t="shared" si="67"/>
        <v>1.1618342427282835</v>
      </c>
      <c r="K80" s="57">
        <f t="shared" ref="K80:K85" si="69">(J80-$J74)/$J74</f>
        <v>0</v>
      </c>
      <c r="L80" s="26">
        <f>SUMIF('R6'!$V$7:$AA$7,B80,'R6'!$V$36:$AA$36)</f>
        <v>2.1370411467945001</v>
      </c>
      <c r="M80" s="23">
        <f>SUMIF('R6'!$V$7:$AA$7,B80,'R6'!$V$37:$AA$37)</f>
        <v>3.1982558270318999</v>
      </c>
      <c r="N80" s="23">
        <f t="shared" si="55"/>
        <v>5.3352969738264004</v>
      </c>
      <c r="O80" s="57"/>
      <c r="P80" s="38">
        <f t="shared" si="56"/>
        <v>1.4965813044026743</v>
      </c>
      <c r="Q80" s="57">
        <f t="shared" ref="Q80:Q85" si="70">(P80-$P74)/$P74</f>
        <v>0</v>
      </c>
      <c r="R80" s="26">
        <f>SUMIF('R6'!$V$7:$AA$7,B80,'R6'!$V$40:$AA$40)</f>
        <v>44533.81267978299</v>
      </c>
      <c r="S80" s="57">
        <f t="shared" ref="S80:S85" si="71">(R80-$R74)/$R74</f>
        <v>0</v>
      </c>
      <c r="T80" s="26">
        <f>SUMIF('R6'!$V$7:$AA$7,B80,'R6'!$V$41:$AA$41)</f>
        <v>59855.314921334641</v>
      </c>
      <c r="U80" s="57">
        <f t="shared" ref="U80:U85" si="72">(T80-$T74)/$T74</f>
        <v>0</v>
      </c>
      <c r="V80" s="23">
        <f t="shared" si="57"/>
        <v>1.344042005828689</v>
      </c>
      <c r="W80" s="57">
        <f t="shared" ref="W80:W85" si="73">(V80-$V74)/$V74</f>
        <v>0</v>
      </c>
      <c r="X80" s="26">
        <f>SUMIF('R6'!$V$7:$AA$7,B80,'R6'!$V$52:$AA$52)</f>
        <v>18427.262540756401</v>
      </c>
      <c r="Y80" s="57">
        <f t="shared" ref="Y80:Y85" si="74">(X80-$X74)/$X74</f>
        <v>0</v>
      </c>
      <c r="Z80" s="26">
        <f>SUMIF('R6'!$V$7:$AA$7,B80,'R6'!$V$35:$AA$35)</f>
        <v>171603.1190412</v>
      </c>
      <c r="AA80" s="57">
        <f t="shared" ref="AA80:AA85" si="75">(Z80-$Z74)/$Z74</f>
        <v>0</v>
      </c>
      <c r="AB80" s="5"/>
      <c r="AC80" s="5"/>
      <c r="AD80" s="5"/>
    </row>
    <row r="81" spans="1:30" x14ac:dyDescent="0.25">
      <c r="A81" s="95"/>
      <c r="B81" s="31">
        <v>2020</v>
      </c>
      <c r="C81" s="14">
        <f>SUMIF('R6'!$V$7:$AA$7,B81,'R6'!$V$42:$AA$42)</f>
        <v>16.80425</v>
      </c>
      <c r="D81" s="43">
        <f>SUMIF('R6'!$V$7:$AA$7,B81,'R6'!$V$46:$AA$46)</f>
        <v>0.97896909001135057</v>
      </c>
      <c r="E81" s="35">
        <f>SUMIF('R6'!$V$7:$AA$7,B81,'R6'!$V$47:$AA$47)</f>
        <v>1</v>
      </c>
      <c r="F81" s="50">
        <f t="shared" si="66"/>
        <v>1.0214827109489286</v>
      </c>
      <c r="G81" s="58">
        <f t="shared" si="68"/>
        <v>1.7080356339112732E-2</v>
      </c>
      <c r="H81" s="4">
        <f>SUMIF('R6'!$V$7:$AA$7,B81,'R6'!$V$44:$AA$44)</f>
        <v>0.895834135296528</v>
      </c>
      <c r="I81" s="5">
        <f>SUMIF('R6'!$V$7:$AA$7,B81,'R6'!$V$45:$AA$45)</f>
        <v>1</v>
      </c>
      <c r="J81" s="13">
        <f t="shared" si="67"/>
        <v>1.1162780704588715</v>
      </c>
      <c r="K81" s="58">
        <f t="shared" si="69"/>
        <v>-3.921056084767692E-2</v>
      </c>
      <c r="L81" s="27">
        <f>SUMIF('R6'!$V$7:$AA$7,B81,'R6'!$V$36:$AA$36)</f>
        <v>2.362485587147241</v>
      </c>
      <c r="M81" s="24">
        <f>SUMIF('R6'!$V$7:$AA$7,B81,'R6'!$V$37:$AA$37)</f>
        <v>6.5991899014093436</v>
      </c>
      <c r="N81" s="24">
        <f t="shared" si="55"/>
        <v>8.961675488556585</v>
      </c>
      <c r="O81" s="58"/>
      <c r="P81" s="39">
        <f t="shared" si="56"/>
        <v>2.793324935953589</v>
      </c>
      <c r="Q81" s="58">
        <f t="shared" si="70"/>
        <v>5.7826234252569501E-3</v>
      </c>
      <c r="R81" s="27">
        <f>SUMIF('R6'!$V$7:$AA$7,B81,'R6'!$V$40:$AA$40)</f>
        <v>109998.5291920717</v>
      </c>
      <c r="S81" s="58">
        <f t="shared" si="71"/>
        <v>1.3171833294489134E-2</v>
      </c>
      <c r="T81" s="27">
        <f>SUMIF('R6'!$V$7:$AA$7,B81,'R6'!$V$41:$AA$41)</f>
        <v>145359.8458490179</v>
      </c>
      <c r="U81" s="58">
        <f t="shared" si="72"/>
        <v>-3.8428851961032303E-3</v>
      </c>
      <c r="V81" s="24">
        <f t="shared" si="57"/>
        <v>1.3214708134433395</v>
      </c>
      <c r="W81" s="58">
        <f t="shared" si="73"/>
        <v>-1.6793517083144922E-2</v>
      </c>
      <c r="X81" s="27">
        <f>SUMIF('R6'!$V$7:$AA$7,B81,'R6'!$V$52:$AA$52)</f>
        <v>81256.805171588319</v>
      </c>
      <c r="Y81" s="58">
        <f t="shared" si="74"/>
        <v>-4.0963692972204274E-4</v>
      </c>
      <c r="Z81" s="27">
        <f>SUMIF('R6'!$V$7:$AA$7,B81,'R6'!$V$35:$AA$35)</f>
        <v>728197.11918464117</v>
      </c>
      <c r="AA81" s="58">
        <f t="shared" si="75"/>
        <v>-7.2131621661340284E-4</v>
      </c>
      <c r="AB81" s="5"/>
      <c r="AC81" s="5"/>
      <c r="AD81" s="5"/>
    </row>
    <row r="82" spans="1:30" x14ac:dyDescent="0.25">
      <c r="A82" s="95"/>
      <c r="B82" s="31">
        <v>2040</v>
      </c>
      <c r="C82" s="6">
        <f>SUMIF('R6'!$V$7:$AA$7,B82,'R6'!$V$42:$AA$42)</f>
        <v>17.36627</v>
      </c>
      <c r="D82" s="43">
        <f>SUMIF('R6'!$V$7:$AA$7,B82,'R6'!$V$46:$AA$46)</f>
        <v>0.96966048781639314</v>
      </c>
      <c r="E82" s="35">
        <f>SUMIF('R6'!$V$7:$AA$7,B82,'R6'!$V$47:$AA$47)</f>
        <v>0.99933476497980267</v>
      </c>
      <c r="F82" s="50">
        <f t="shared" si="66"/>
        <v>1.0306027496595576</v>
      </c>
      <c r="G82" s="58">
        <f t="shared" si="68"/>
        <v>2.6161089788840942E-2</v>
      </c>
      <c r="H82" s="4">
        <f>SUMIF('R6'!$V$7:$AA$7,B82,'R6'!$V$44:$AA$44)</f>
        <v>0.92311634638663587</v>
      </c>
      <c r="I82" s="5">
        <f>SUMIF('R6'!$V$7:$AA$7,B82,'R6'!$V$45:$AA$45)</f>
        <v>1</v>
      </c>
      <c r="J82" s="5">
        <f t="shared" si="67"/>
        <v>1.0832870676749584</v>
      </c>
      <c r="K82" s="58">
        <f t="shared" si="69"/>
        <v>-6.7606180094052198E-2</v>
      </c>
      <c r="L82" s="27">
        <f>SUMIF('R6'!$V$7:$AA$7,B82,'R6'!$V$36:$AA$36)</f>
        <v>2.3562745291803902</v>
      </c>
      <c r="M82" s="24">
        <f>SUMIF('R6'!$V$7:$AA$7,B82,'R6'!$V$37:$AA$37)</f>
        <v>12.27881626984172</v>
      </c>
      <c r="N82" s="24">
        <f t="shared" si="55"/>
        <v>14.635090799022109</v>
      </c>
      <c r="O82" s="58"/>
      <c r="P82" s="40">
        <f t="shared" si="56"/>
        <v>5.2111144596180825</v>
      </c>
      <c r="Q82" s="58">
        <f t="shared" si="70"/>
        <v>1.1105022531276048E-2</v>
      </c>
      <c r="R82" s="27">
        <f>SUMIF('R6'!$V$7:$AA$7,B82,'R6'!$V$40:$AA$40)</f>
        <v>201294.21517473421</v>
      </c>
      <c r="S82" s="58">
        <f t="shared" si="71"/>
        <v>2.2195301011327502E-2</v>
      </c>
      <c r="T82" s="27">
        <f>SUMIF('R6'!$V$7:$AA$7,B82,'R6'!$V$41:$AA$41)</f>
        <v>263650.49641556159</v>
      </c>
      <c r="U82" s="58">
        <f t="shared" si="72"/>
        <v>-3.8646844213602273E-3</v>
      </c>
      <c r="V82" s="24">
        <f t="shared" si="57"/>
        <v>1.3097768169179564</v>
      </c>
      <c r="W82" s="58">
        <f t="shared" si="73"/>
        <v>-2.549413542295181E-2</v>
      </c>
      <c r="X82" s="27">
        <f>SUMIF('R6'!$V$7:$AA$7,B82,'R6'!$V$52:$AA$52)</f>
        <v>151488.36778790879</v>
      </c>
      <c r="Y82" s="58">
        <f t="shared" si="74"/>
        <v>-1.0033336062291642E-3</v>
      </c>
      <c r="Z82" s="27">
        <f>SUMIF('R6'!$V$7:$AA$7,B82,'R6'!$V$35:$AA$35)</f>
        <v>2217046.0175717021</v>
      </c>
      <c r="AA82" s="58">
        <f t="shared" si="75"/>
        <v>-1.7192923943646777E-3</v>
      </c>
      <c r="AB82" s="5"/>
      <c r="AC82" s="5"/>
      <c r="AD82" s="5"/>
    </row>
    <row r="83" spans="1:30" x14ac:dyDescent="0.25">
      <c r="A83" s="95"/>
      <c r="B83" s="31">
        <v>2060</v>
      </c>
      <c r="C83" s="6">
        <f>SUMIF('R6'!$V$7:$AA$7,B83,'R6'!$V$42:$AA$42)</f>
        <v>17.966239999999999</v>
      </c>
      <c r="D83" s="43">
        <f>SUMIF('R6'!$V$7:$AA$7,B83,'R6'!$V$46:$AA$46)</f>
        <v>0.95269766517752652</v>
      </c>
      <c r="E83" s="35">
        <f>SUMIF('R6'!$V$7:$AA$7,B83,'R6'!$V$47:$AA$47)</f>
        <v>0.99556088418081246</v>
      </c>
      <c r="F83" s="50">
        <f t="shared" si="66"/>
        <v>1.0449914181277002</v>
      </c>
      <c r="G83" s="58">
        <f t="shared" si="68"/>
        <v>4.0487746418426909E-2</v>
      </c>
      <c r="H83" s="4">
        <f>SUMIF('R6'!$V$7:$AA$7,B83,'R6'!$V$44:$AA$44)</f>
        <v>0.94176453358424828</v>
      </c>
      <c r="I83" s="5">
        <f>SUMIF('R6'!$V$7:$AA$7,B83,'R6'!$V$45:$AA$45)</f>
        <v>1</v>
      </c>
      <c r="J83" s="5">
        <f t="shared" si="67"/>
        <v>1.0618365465453601</v>
      </c>
      <c r="K83" s="58">
        <f t="shared" si="69"/>
        <v>-8.6068814728771717E-2</v>
      </c>
      <c r="L83" s="27">
        <f>SUMIF('R6'!$V$7:$AA$7,B83,'R6'!$V$36:$AA$36)</f>
        <v>2.1966801744443032</v>
      </c>
      <c r="M83" s="24">
        <f>SUMIF('R6'!$V$7:$AA$7,B83,'R6'!$V$37:$AA$37)</f>
        <v>21.275539074083081</v>
      </c>
      <c r="N83" s="24">
        <f t="shared" si="55"/>
        <v>23.472219248527384</v>
      </c>
      <c r="O83" s="58"/>
      <c r="P83" s="40">
        <f t="shared" si="56"/>
        <v>9.6853148317165374</v>
      </c>
      <c r="Q83" s="58">
        <f t="shared" si="70"/>
        <v>1.2657033169942272E-2</v>
      </c>
      <c r="R83" s="27">
        <f>SUMIF('R6'!$V$7:$AA$7,B83,'R6'!$V$40:$AA$40)</f>
        <v>312848.12745140941</v>
      </c>
      <c r="S83" s="58">
        <f t="shared" si="71"/>
        <v>3.33145465959696E-2</v>
      </c>
      <c r="T83" s="27">
        <f>SUMIF('R6'!$V$7:$AA$7,B83,'R6'!$V$41:$AA$41)</f>
        <v>404119.15102981642</v>
      </c>
      <c r="U83" s="58">
        <f t="shared" si="72"/>
        <v>-6.8940742907817563E-3</v>
      </c>
      <c r="V83" s="24">
        <f t="shared" si="57"/>
        <v>1.2917422722710172</v>
      </c>
      <c r="W83" s="58">
        <f t="shared" si="73"/>
        <v>-3.8912276053027661E-2</v>
      </c>
      <c r="X83" s="27">
        <f>SUMIF('R6'!$V$7:$AA$7,B83,'R6'!$V$52:$AA$52)</f>
        <v>235539.86908758039</v>
      </c>
      <c r="Y83" s="58">
        <f t="shared" si="74"/>
        <v>-7.9217934028581148E-3</v>
      </c>
      <c r="Z83" s="27">
        <f>SUMIF('R6'!$V$7:$AA$7,B83,'R6'!$V$35:$AA$35)</f>
        <v>5528643.4489931231</v>
      </c>
      <c r="AA83" s="58">
        <f t="shared" si="75"/>
        <v>-8.915191287091704E-3</v>
      </c>
      <c r="AB83" s="5"/>
      <c r="AC83" s="5"/>
      <c r="AD83" s="5"/>
    </row>
    <row r="84" spans="1:30" x14ac:dyDescent="0.25">
      <c r="A84" s="95"/>
      <c r="B84" s="31">
        <v>2080</v>
      </c>
      <c r="C84" s="6">
        <f>SUMIF('R6'!$V$7:$AA$7,B84,'R6'!$V$42:$AA$42)</f>
        <v>18.792439999999999</v>
      </c>
      <c r="D84" s="43">
        <f>SUMIF('R6'!$V$7:$AA$7,B84,'R6'!$V$46:$AA$46)</f>
        <v>0.92479939883583451</v>
      </c>
      <c r="E84" s="35">
        <f>SUMIF('R6'!$V$7:$AA$7,B84,'R6'!$V$47:$AA$47)</f>
        <v>0.98540782953795247</v>
      </c>
      <c r="F84" s="50">
        <f t="shared" si="66"/>
        <v>1.0655368405066155</v>
      </c>
      <c r="G84" s="58">
        <f t="shared" si="68"/>
        <v>6.0944622771108937E-2</v>
      </c>
      <c r="H84" s="4">
        <f>SUMIF('R6'!$V$7:$AA$7,B84,'R6'!$V$44:$AA$44)</f>
        <v>0.97044553354850793</v>
      </c>
      <c r="I84" s="5">
        <f>SUMIF('R6'!$V$7:$AA$7,B84,'R6'!$V$45:$AA$45)</f>
        <v>1</v>
      </c>
      <c r="J84" s="5">
        <f t="shared" si="67"/>
        <v>1.0304545339535172</v>
      </c>
      <c r="K84" s="58">
        <f t="shared" si="69"/>
        <v>-0.11307956328284252</v>
      </c>
      <c r="L84" s="27">
        <f>SUMIF('R6'!$V$7:$AA$7,B84,'R6'!$V$36:$AA$36)</f>
        <v>1.9578461398881399</v>
      </c>
      <c r="M84" s="24">
        <f>SUMIF('R6'!$V$7:$AA$7,B84,'R6'!$V$37:$AA$37)</f>
        <v>35.281950659462233</v>
      </c>
      <c r="N84" s="24">
        <f t="shared" si="55"/>
        <v>37.239796799350373</v>
      </c>
      <c r="O84" s="58"/>
      <c r="P84" s="40">
        <f t="shared" si="56"/>
        <v>18.020798437960014</v>
      </c>
      <c r="Q84" s="58">
        <f t="shared" si="70"/>
        <v>1.5326345818279484E-2</v>
      </c>
      <c r="R84" s="27">
        <f>SUMIF('R6'!$V$7:$AA$7,B84,'R6'!$V$40:$AA$40)</f>
        <v>439298.20846104249</v>
      </c>
      <c r="S84" s="58">
        <f t="shared" si="71"/>
        <v>4.3842446589239491E-2</v>
      </c>
      <c r="T84" s="27">
        <f>SUMIF('R6'!$V$7:$AA$7,B84,'R6'!$V$41:$AA$41)</f>
        <v>556518.43893110624</v>
      </c>
      <c r="U84" s="58">
        <f t="shared" si="72"/>
        <v>-1.6119763289058026E-2</v>
      </c>
      <c r="V84" s="24">
        <f t="shared" si="57"/>
        <v>1.266835211736264</v>
      </c>
      <c r="W84" s="58">
        <f t="shared" si="73"/>
        <v>-5.7443735952896362E-2</v>
      </c>
      <c r="X84" s="27">
        <f>SUMIF('R6'!$V$7:$AA$7,B84,'R6'!$V$52:$AA$52)</f>
        <v>324555.01337965002</v>
      </c>
      <c r="Y84" s="58">
        <f t="shared" si="74"/>
        <v>-2.7243630095576708E-2</v>
      </c>
      <c r="Z84" s="27">
        <f>SUMIF('R6'!$V$7:$AA$7,B84,'R6'!$V$35:$AA$35)</f>
        <v>12086362.7484686</v>
      </c>
      <c r="AA84" s="58">
        <f t="shared" si="75"/>
        <v>-2.8412457604620935E-2</v>
      </c>
      <c r="AB84" s="5"/>
      <c r="AC84" s="5"/>
      <c r="AD84" s="5"/>
    </row>
    <row r="85" spans="1:30" ht="15.75" thickBot="1" x14ac:dyDescent="0.3">
      <c r="A85" s="96"/>
      <c r="B85" s="32">
        <v>2100</v>
      </c>
      <c r="C85" s="9">
        <f>SUMIF('R6'!$V$7:$AA$7,B85,'R6'!$V$42:$AA$42)</f>
        <v>19.200099999999999</v>
      </c>
      <c r="D85" s="44">
        <f>SUMIF('R6'!$V$7:$AA$7,B85,'R6'!$V$46:$AA$46)</f>
        <v>0.91693862656807257</v>
      </c>
      <c r="E85" s="36">
        <f>SUMIF('R6'!$V$7:$AA$7,B85,'R6'!$V$47:$AA$47)</f>
        <v>0.98197288977586894</v>
      </c>
      <c r="F85" s="51">
        <f t="shared" si="66"/>
        <v>1.0709254265481294</v>
      </c>
      <c r="G85" s="59">
        <f t="shared" si="68"/>
        <v>6.6309985251082393E-2</v>
      </c>
      <c r="H85" s="7">
        <f>SUMIF('R6'!$V$7:$AA$7,B85,'R6'!$V$44:$AA$44)</f>
        <v>0.98019867330675492</v>
      </c>
      <c r="I85" s="8">
        <f>SUMIF('R6'!$V$7:$AA$7,B85,'R6'!$V$45:$AA$45)</f>
        <v>1</v>
      </c>
      <c r="J85" s="8">
        <f t="shared" si="67"/>
        <v>1.0202013400267562</v>
      </c>
      <c r="K85" s="59">
        <f t="shared" si="69"/>
        <v>-0.12190456907943861</v>
      </c>
      <c r="L85" s="28">
        <f>SUMIF('R6'!$V$7:$AA$7,B85,'R6'!$V$36:$AA$36)</f>
        <v>1.702820527977976</v>
      </c>
      <c r="M85" s="25">
        <f>SUMIF('R6'!$V$7:$AA$7,B85,'R6'!$V$37:$AA$37)</f>
        <v>57.016160311787708</v>
      </c>
      <c r="N85" s="25">
        <f t="shared" si="55"/>
        <v>58.718980839765685</v>
      </c>
      <c r="O85" s="59"/>
      <c r="P85" s="41">
        <f t="shared" si="56"/>
        <v>33.483364438583479</v>
      </c>
      <c r="Q85" s="59">
        <f t="shared" si="70"/>
        <v>1.6585010213208067E-2</v>
      </c>
      <c r="R85" s="33">
        <f>SUMIF('R6'!$V$7:$AA$7,B85,'R6'!$V$40:$AA$40)</f>
        <v>578045.00165528245</v>
      </c>
      <c r="S85" s="59">
        <f t="shared" si="71"/>
        <v>4.7440351593593291E-2</v>
      </c>
      <c r="T85" s="28">
        <f>SUMIF('R6'!$V$7:$AA$7,B85,'R6'!$V$41:$AA$41)</f>
        <v>728603.10250313743</v>
      </c>
      <c r="U85" s="59">
        <f t="shared" si="72"/>
        <v>-1.7696198965112528E-2</v>
      </c>
      <c r="V85" s="25">
        <f t="shared" si="57"/>
        <v>1.2604608644944921</v>
      </c>
      <c r="W85" s="59">
        <f t="shared" si="73"/>
        <v>-6.2186405612124837E-2</v>
      </c>
      <c r="X85" s="28">
        <f>SUMIF('R6'!$V$7:$AA$7,B85,'R6'!$V$52:$AA$52)</f>
        <v>426054.55447275977</v>
      </c>
      <c r="Y85" s="59">
        <f t="shared" si="74"/>
        <v>-3.2263664433145489E-2</v>
      </c>
      <c r="Z85" s="28">
        <f>SUMIF('R6'!$V$7:$AA$7,B85,'R6'!$V$35:$AA$35)</f>
        <v>25017489.22078089</v>
      </c>
      <c r="AA85" s="59">
        <f t="shared" si="75"/>
        <v>-3.3544283954408248E-2</v>
      </c>
      <c r="AB85" s="5"/>
      <c r="AC85" s="5"/>
      <c r="AD85" s="5"/>
    </row>
    <row r="86" spans="1:30" x14ac:dyDescent="0.25">
      <c r="A86" s="103" t="s">
        <v>6</v>
      </c>
      <c r="B86" s="21">
        <v>2000</v>
      </c>
      <c r="C86" s="3">
        <f>SUMIF('R7'!$V$7:$AA$7,B86,'R7'!$V$17:$AA$17)</f>
        <v>18.701260000000001</v>
      </c>
      <c r="D86" s="42">
        <f>SUMIF('R7'!$V$7:$AA$7,B86,'R7'!$V$21:$AA$21)</f>
        <v>1</v>
      </c>
      <c r="E86" s="34">
        <f>SUMIF('R7'!$V$7:$AA$7,B86,'R7'!$V$22:$AA$22)</f>
        <v>1</v>
      </c>
      <c r="F86" s="45">
        <f>E86/D86</f>
        <v>1</v>
      </c>
      <c r="G86" s="53"/>
      <c r="H86" s="1">
        <f>SUMIF('R7'!$V$7:$AA$7,B86,'R7'!$V$19:$AA$19)</f>
        <v>0.97044553354850793</v>
      </c>
      <c r="I86" s="2">
        <f>SUMIF('R7'!$V$7:$AA$7,B86,'R7'!$V$20:$AA$20)</f>
        <v>1</v>
      </c>
      <c r="J86" s="2">
        <f>I86/H86</f>
        <v>1.0304545339535172</v>
      </c>
      <c r="K86" s="53"/>
      <c r="L86" s="26">
        <f>SUMIF('R7'!$V$7:$AA$7,B86,'R7'!$V$11:$AA$11)</f>
        <v>0.82533526478849994</v>
      </c>
      <c r="M86" s="24">
        <f>SUMIF('R7'!$V$7:$AA$7,B86,'R7'!$V$12:$AA$12)</f>
        <v>1.2351813271467</v>
      </c>
      <c r="N86" s="23">
        <f t="shared" si="55"/>
        <v>2.0605165919352002</v>
      </c>
      <c r="O86" s="53"/>
      <c r="P86" s="38">
        <f t="shared" si="56"/>
        <v>1.4965813044026746</v>
      </c>
      <c r="Q86" s="53"/>
      <c r="R86" s="26">
        <f>SUMIF('R7'!$V$7:$AA$7,B86,'R7'!$V$15:$AA$15)</f>
        <v>46414.168855270647</v>
      </c>
      <c r="S86" s="53"/>
      <c r="T86" s="26">
        <f>SUMIF('R7'!$V$7:$AA$7,B86,'R7'!$V$16:$AA$16)</f>
        <v>59092.133318389097</v>
      </c>
      <c r="U86" s="53"/>
      <c r="V86" s="23">
        <f t="shared" si="57"/>
        <v>1.2731485831977529</v>
      </c>
      <c r="W86" s="53"/>
      <c r="X86" s="26">
        <f>SUMIF('R7'!$V$7:$AA$7,B86,'R7'!$V$27:$AA$27)</f>
        <v>18427.262540756401</v>
      </c>
      <c r="Y86" s="53"/>
      <c r="Z86" s="26">
        <f>SUMIF('R7'!$V$7:$AA$7,B86,'R7'!$V$10:$AA$10)</f>
        <v>66273.9254716</v>
      </c>
      <c r="AA86" s="53"/>
      <c r="AB86" s="5"/>
      <c r="AC86" s="5"/>
      <c r="AD86" s="5"/>
    </row>
    <row r="87" spans="1:30" s="10" customFormat="1" x14ac:dyDescent="0.25">
      <c r="A87" s="104"/>
      <c r="B87" s="31">
        <v>2020</v>
      </c>
      <c r="C87" s="14">
        <f>SUMIF('R7'!$V$7:$AA$7,B87,'R7'!$V$17:$AA$17)</f>
        <v>18.701260000000001</v>
      </c>
      <c r="D87" s="43">
        <f>SUMIF('R7'!$V$7:$AA$7,B87,'R7'!$V$21:$AA$21)</f>
        <v>0.93231395090361513</v>
      </c>
      <c r="E87" s="35">
        <f>SUMIF('R7'!$V$7:$AA$7,B87,'R7'!$V$22:$AA$22)</f>
        <v>0.98848865179879042</v>
      </c>
      <c r="F87" s="46">
        <f t="shared" ref="F87:F97" si="76">E87/D87</f>
        <v>1.0602529875700453</v>
      </c>
      <c r="G87" s="54"/>
      <c r="H87" s="4">
        <f>SUMIF('R7'!$V$7:$AA$7,B87,'R7'!$V$19:$AA$19)</f>
        <v>0.97044553354850793</v>
      </c>
      <c r="I87" s="5">
        <f>SUMIF('R7'!$V$7:$AA$7,B87,'R7'!$V$20:$AA$20)</f>
        <v>1</v>
      </c>
      <c r="J87" s="5">
        <f t="shared" ref="J87:J97" si="77">I87/H87</f>
        <v>1.0304545339535172</v>
      </c>
      <c r="K87" s="55"/>
      <c r="L87" s="27">
        <f>SUMIF('R7'!$V$7:$AA$7,B87,'R7'!$V$11:$AA$11)</f>
        <v>0.91656803520009766</v>
      </c>
      <c r="M87" s="24">
        <f>SUMIF('R7'!$V$7:$AA$7,B87,'R7'!$V$12:$AA$12)</f>
        <v>2.545552377414563</v>
      </c>
      <c r="N87" s="24">
        <f t="shared" si="55"/>
        <v>3.4621204126146607</v>
      </c>
      <c r="O87" s="55"/>
      <c r="P87" s="39">
        <f t="shared" si="56"/>
        <v>2.7772650579712161</v>
      </c>
      <c r="Q87" s="55"/>
      <c r="R87" s="27">
        <f>SUMIF('R7'!$V$7:$AA$7,B87,'R7'!$V$15:$AA$15)</f>
        <v>110519.97821770579</v>
      </c>
      <c r="S87" s="55"/>
      <c r="T87" s="27">
        <f>SUMIF('R7'!$V$7:$AA$7,B87,'R7'!$V$16:$AA$16)</f>
        <v>140708.35368291859</v>
      </c>
      <c r="U87" s="55"/>
      <c r="V87" s="24">
        <f t="shared" si="57"/>
        <v>1.2731485831977525</v>
      </c>
      <c r="W87" s="55"/>
      <c r="X87" s="27">
        <f>SUMIF('R7'!$V$7:$AA$7,B87,'R7'!$V$27:$AA$27)</f>
        <v>77726.913338533879</v>
      </c>
      <c r="Y87" s="55"/>
      <c r="Z87" s="27">
        <f>SUMIF('R7'!$V$7:$AA$7,B87,'R7'!$V$10:$AA$10)</f>
        <v>269099.93327886891</v>
      </c>
      <c r="AA87" s="55"/>
      <c r="AB87" s="13"/>
      <c r="AC87" s="13"/>
      <c r="AD87" s="13"/>
    </row>
    <row r="88" spans="1:30" x14ac:dyDescent="0.25">
      <c r="A88" s="104"/>
      <c r="B88" s="31">
        <v>2040</v>
      </c>
      <c r="C88" s="6">
        <f>SUMIF('R7'!$V$7:$AA$7,B88,'R7'!$V$17:$AA$17)</f>
        <v>18.701260000000001</v>
      </c>
      <c r="D88" s="43">
        <f>SUMIF('R7'!$V$7:$AA$7,B88,'R7'!$V$21:$AA$21)</f>
        <v>0.93231395090361513</v>
      </c>
      <c r="E88" s="35">
        <f>SUMIF('R7'!$V$7:$AA$7,B88,'R7'!$V$22:$AA$22)</f>
        <v>0.98848865179879042</v>
      </c>
      <c r="F88" s="47">
        <f t="shared" si="76"/>
        <v>1.0602529875700453</v>
      </c>
      <c r="G88" s="55"/>
      <c r="H88" s="4">
        <f>SUMIF('R7'!$V$7:$AA$7,B88,'R7'!$V$19:$AA$19)</f>
        <v>0.97044553354850793</v>
      </c>
      <c r="I88" s="5">
        <f>SUMIF('R7'!$V$7:$AA$7,B88,'R7'!$V$20:$AA$20)</f>
        <v>1</v>
      </c>
      <c r="J88" s="5">
        <f t="shared" si="77"/>
        <v>1.0304545339535172</v>
      </c>
      <c r="K88" s="55"/>
      <c r="L88" s="27">
        <f>SUMIF('R7'!$V$7:$AA$7,B88,'R7'!$V$11:$AA$11)</f>
        <v>0.91912640151194525</v>
      </c>
      <c r="M88" s="24">
        <f>SUMIF('R7'!$V$7:$AA$7,B88,'R7'!$V$12:$AA$12)</f>
        <v>4.7370676382803527</v>
      </c>
      <c r="N88" s="24">
        <f t="shared" si="55"/>
        <v>5.6561940397922976</v>
      </c>
      <c r="O88" s="55"/>
      <c r="P88" s="40">
        <f t="shared" si="56"/>
        <v>5.1538805005361263</v>
      </c>
      <c r="Q88" s="55"/>
      <c r="R88" s="27">
        <f>SUMIF('R7'!$V$7:$AA$7,B88,'R7'!$V$15:$AA$15)</f>
        <v>203428.17633565419</v>
      </c>
      <c r="S88" s="55"/>
      <c r="T88" s="27">
        <f>SUMIF('R7'!$V$7:$AA$7,B88,'R7'!$V$16:$AA$16)</f>
        <v>258994.2944842407</v>
      </c>
      <c r="U88" s="55"/>
      <c r="V88" s="24">
        <f t="shared" si="57"/>
        <v>1.2731485831977525</v>
      </c>
      <c r="W88" s="55"/>
      <c r="X88" s="27">
        <f>SUMIF('R7'!$V$7:$AA$7,B88,'R7'!$V$27:$AA$27)</f>
        <v>147138.2742633879</v>
      </c>
      <c r="Y88" s="55"/>
      <c r="Z88" s="27">
        <f>SUMIF('R7'!$V$7:$AA$7,B88,'R7'!$V$10:$AA$10)</f>
        <v>832242.62991389912</v>
      </c>
      <c r="AA88" s="55"/>
      <c r="AB88" s="5"/>
      <c r="AC88" s="5"/>
      <c r="AD88" s="5"/>
    </row>
    <row r="89" spans="1:30" x14ac:dyDescent="0.25">
      <c r="A89" s="104"/>
      <c r="B89" s="31">
        <v>2060</v>
      </c>
      <c r="C89" s="6">
        <f>SUMIF('R7'!$V$7:$AA$7,B89,'R7'!$V$17:$AA$17)</f>
        <v>18.701260000000001</v>
      </c>
      <c r="D89" s="43">
        <f>SUMIF('R7'!$V$7:$AA$7,B89,'R7'!$V$21:$AA$21)</f>
        <v>0.93231395090361513</v>
      </c>
      <c r="E89" s="35">
        <f>SUMIF('R7'!$V$7:$AA$7,B89,'R7'!$V$22:$AA$22)</f>
        <v>0.98848865179879042</v>
      </c>
      <c r="F89" s="47">
        <f t="shared" si="76"/>
        <v>1.0602529875700453</v>
      </c>
      <c r="G89" s="55"/>
      <c r="H89" s="4">
        <f>SUMIF('R7'!$V$7:$AA$7,B89,'R7'!$V$19:$AA$19)</f>
        <v>0.97044553354850793</v>
      </c>
      <c r="I89" s="5">
        <f>SUMIF('R7'!$V$7:$AA$7,B89,'R7'!$V$20:$AA$20)</f>
        <v>1</v>
      </c>
      <c r="J89" s="5">
        <f t="shared" si="77"/>
        <v>1.0304545339535172</v>
      </c>
      <c r="K89" s="55"/>
      <c r="L89" s="27">
        <f>SUMIF('R7'!$V$7:$AA$7,B89,'R7'!$V$11:$AA$11)</f>
        <v>0.85894962210093528</v>
      </c>
      <c r="M89" s="24">
        <f>SUMIF('R7'!$V$7:$AA$7,B89,'R7'!$V$12:$AA$12)</f>
        <v>8.215217237557459</v>
      </c>
      <c r="N89" s="24">
        <f t="shared" si="55"/>
        <v>9.0741668596583942</v>
      </c>
      <c r="O89" s="55"/>
      <c r="P89" s="40">
        <f t="shared" si="56"/>
        <v>9.5642596797045769</v>
      </c>
      <c r="Q89" s="55"/>
      <c r="R89" s="27">
        <f>SUMIF('R7'!$V$7:$AA$7,B89,'R7'!$V$15:$AA$15)</f>
        <v>315681.46857163479</v>
      </c>
      <c r="S89" s="55"/>
      <c r="T89" s="27">
        <f>SUMIF('R7'!$V$7:$AA$7,B89,'R7'!$V$16:$AA$16)</f>
        <v>401909.41445376311</v>
      </c>
      <c r="U89" s="55"/>
      <c r="V89" s="24">
        <f t="shared" si="57"/>
        <v>1.2731485831977538</v>
      </c>
      <c r="W89" s="55"/>
      <c r="X89" s="27">
        <f>SUMIF('R7'!$V$7:$AA$7,B89,'R7'!$V$27:$AA$27)</f>
        <v>232521.60422127001</v>
      </c>
      <c r="Y89" s="55"/>
      <c r="Z89" s="27">
        <f>SUMIF('R7'!$V$7:$AA$7,B89,'R7'!$V$10:$AA$10)</f>
        <v>2109939.835179253</v>
      </c>
      <c r="AA89" s="55"/>
      <c r="AB89" s="5"/>
      <c r="AC89" s="5"/>
      <c r="AD89" s="5"/>
    </row>
    <row r="90" spans="1:30" x14ac:dyDescent="0.25">
      <c r="A90" s="104"/>
      <c r="B90" s="31">
        <v>2080</v>
      </c>
      <c r="C90" s="6">
        <f>SUMIF('R7'!$V$7:$AA$7,B90,'R7'!$V$17:$AA$17)</f>
        <v>18.701260000000001</v>
      </c>
      <c r="D90" s="43">
        <f>SUMIF('R7'!$V$7:$AA$7,B90,'R7'!$V$21:$AA$21)</f>
        <v>0.93231395090361513</v>
      </c>
      <c r="E90" s="35">
        <f>SUMIF('R7'!$V$7:$AA$7,B90,'R7'!$V$22:$AA$22)</f>
        <v>0.98848865179879042</v>
      </c>
      <c r="F90" s="47">
        <f t="shared" si="76"/>
        <v>1.0602529875700453</v>
      </c>
      <c r="G90" s="55"/>
      <c r="H90" s="4">
        <f>SUMIF('R7'!$V$7:$AA$7,B90,'R7'!$V$19:$AA$19)</f>
        <v>0.97044553354850793</v>
      </c>
      <c r="I90" s="5">
        <f>SUMIF('R7'!$V$7:$AA$7,B90,'R7'!$V$20:$AA$20)</f>
        <v>1</v>
      </c>
      <c r="J90" s="5">
        <f t="shared" si="77"/>
        <v>1.0304545339535172</v>
      </c>
      <c r="K90" s="55"/>
      <c r="L90" s="27">
        <f>SUMIF('R7'!$V$7:$AA$7,B90,'R7'!$V$11:$AA$11)</f>
        <v>0.76802273908891994</v>
      </c>
      <c r="M90" s="24">
        <f>SUMIF('R7'!$V$7:$AA$7,B90,'R7'!$V$12:$AA$12)</f>
        <v>13.63146246908134</v>
      </c>
      <c r="N90" s="24">
        <f t="shared" si="55"/>
        <v>14.39948520817026</v>
      </c>
      <c r="O90" s="55"/>
      <c r="P90" s="40">
        <f t="shared" si="56"/>
        <v>17.748774580882714</v>
      </c>
      <c r="Q90" s="55"/>
      <c r="R90" s="27">
        <f>SUMIF('R7'!$V$7:$AA$7,B90,'R7'!$V$15:$AA$15)</f>
        <v>441222.3009654975</v>
      </c>
      <c r="S90" s="55"/>
      <c r="T90" s="27">
        <f>SUMIF('R7'!$V$7:$AA$7,B90,'R7'!$V$16:$AA$16)</f>
        <v>561741.54734947579</v>
      </c>
      <c r="U90" s="55"/>
      <c r="V90" s="24">
        <f t="shared" si="57"/>
        <v>1.2731485831977531</v>
      </c>
      <c r="W90" s="55"/>
      <c r="X90" s="27">
        <f>SUMIF('R7'!$V$7:$AA$7,B90,'R7'!$V$27:$AA$27)</f>
        <v>328559.42785221792</v>
      </c>
      <c r="Y90" s="55"/>
      <c r="Z90" s="27">
        <f>SUMIF('R7'!$V$7:$AA$7,B90,'R7'!$V$10:$AA$10)</f>
        <v>4731086.6213628966</v>
      </c>
      <c r="AA90" s="55"/>
      <c r="AB90" s="5"/>
      <c r="AC90" s="5"/>
      <c r="AD90" s="5"/>
    </row>
    <row r="91" spans="1:30" ht="15.75" thickBot="1" x14ac:dyDescent="0.3">
      <c r="A91" s="105"/>
      <c r="B91" s="32">
        <v>2100</v>
      </c>
      <c r="C91" s="9">
        <f>SUMIF('R7'!$V$7:$AA$7,B91,'R7'!$V$17:$AA$17)</f>
        <v>18.701260000000001</v>
      </c>
      <c r="D91" s="44">
        <f>SUMIF('R7'!$V$7:$AA$7,B91,'R7'!$V$21:$AA$21)</f>
        <v>0.93231395090361513</v>
      </c>
      <c r="E91" s="36">
        <f>SUMIF('R7'!$V$7:$AA$7,B91,'R7'!$V$22:$AA$22)</f>
        <v>0.98848865179879042</v>
      </c>
      <c r="F91" s="48">
        <f t="shared" si="76"/>
        <v>1.0602529875700453</v>
      </c>
      <c r="G91" s="56"/>
      <c r="H91" s="7">
        <f>SUMIF('R7'!$V$7:$AA$7,B91,'R7'!$V$19:$AA$19)</f>
        <v>0.97044553354850793</v>
      </c>
      <c r="I91" s="8">
        <f>SUMIF('R7'!$V$7:$AA$7,B91,'R7'!$V$20:$AA$20)</f>
        <v>1</v>
      </c>
      <c r="J91" s="8">
        <f t="shared" si="77"/>
        <v>1.0304545339535172</v>
      </c>
      <c r="K91" s="56"/>
      <c r="L91" s="28">
        <f>SUMIF('R7'!$V$7:$AA$7,B91,'R7'!$V$11:$AA$11)</f>
        <v>0.66910820976834895</v>
      </c>
      <c r="M91" s="25">
        <f>SUMIF('R7'!$V$7:$AA$7,B91,'R7'!$V$12:$AA$12)</f>
        <v>22.038485528940669</v>
      </c>
      <c r="N91" s="25">
        <f t="shared" si="55"/>
        <v>22.707593738709019</v>
      </c>
      <c r="O91" s="56"/>
      <c r="P91" s="41">
        <f t="shared" si="56"/>
        <v>32.937102261188194</v>
      </c>
      <c r="Q91" s="56"/>
      <c r="R91" s="28">
        <f>SUMIF('R7'!$V$7:$AA$7,B91,'R7'!$V$15:$AA$15)</f>
        <v>580388.66046277736</v>
      </c>
      <c r="S91" s="56"/>
      <c r="T91" s="28">
        <f>SUMIF('R7'!$V$7:$AA$7,B91,'R7'!$V$16:$AA$16)</f>
        <v>738921.00077222695</v>
      </c>
      <c r="U91" s="56"/>
      <c r="V91" s="25">
        <f t="shared" si="57"/>
        <v>1.2731485831977534</v>
      </c>
      <c r="W91" s="56"/>
      <c r="X91" s="28">
        <f>SUMIF('R7'!$V$7:$AA$7,B91,'R7'!$V$27:$AA$27)</f>
        <v>434902.04771889932</v>
      </c>
      <c r="Y91" s="56"/>
      <c r="Z91" s="28">
        <f>SUMIF('R7'!$V$7:$AA$7,B91,'R7'!$V$10:$AA$10)</f>
        <v>9875579.0157334059</v>
      </c>
      <c r="AA91" s="56"/>
      <c r="AB91" s="5"/>
      <c r="AC91" s="5"/>
      <c r="AD91" s="5"/>
    </row>
    <row r="92" spans="1:30" x14ac:dyDescent="0.25">
      <c r="A92" s="103" t="str">
        <f>'R7'!B1</f>
        <v>Mpumalanga</v>
      </c>
      <c r="B92" s="21">
        <v>2000</v>
      </c>
      <c r="C92" s="3">
        <f>SUMIF('R7'!$V$7:$AA$7,B92,'R7'!$V$42:$AA$42)</f>
        <v>18.701260000000001</v>
      </c>
      <c r="D92" s="42">
        <f>SUMIF('R7'!$V$7:$AA$7,B92,'R7'!$V$46:$AA$46)</f>
        <v>1</v>
      </c>
      <c r="E92" s="34">
        <f>SUMIF('R7'!$V$7:$AA$7,B92,'R7'!$V$47:$AA$47)</f>
        <v>1</v>
      </c>
      <c r="F92" s="49">
        <f t="shared" si="76"/>
        <v>1</v>
      </c>
      <c r="G92" s="57">
        <f t="shared" ref="G92:G97" si="78">(F92-$F86)/$F86</f>
        <v>0</v>
      </c>
      <c r="H92" s="1">
        <f>SUMIF('R7'!$V$7:$AA$7,B92,'R7'!$V$44:$AA$44)</f>
        <v>0.97044553354850793</v>
      </c>
      <c r="I92" s="2">
        <f>SUMIF('R7'!$V$7:$AA$7,B92,'R7'!$V$45:$AA$45)</f>
        <v>1</v>
      </c>
      <c r="J92" s="2">
        <f t="shared" si="77"/>
        <v>1.0304545339535172</v>
      </c>
      <c r="K92" s="57">
        <f t="shared" ref="K92:K97" si="79">(J92-$J86)/$J86</f>
        <v>0</v>
      </c>
      <c r="L92" s="26">
        <f>SUMIF('R7'!$V$7:$AA$7,B92,'R7'!$V$36:$AA$36)</f>
        <v>0.82533526478849994</v>
      </c>
      <c r="M92" s="23">
        <f>SUMIF('R7'!$V$7:$AA$7,B92,'R7'!$V$37:$AA$37)</f>
        <v>1.2351813271467</v>
      </c>
      <c r="N92" s="23">
        <f t="shared" si="55"/>
        <v>2.0605165919352002</v>
      </c>
      <c r="O92" s="57"/>
      <c r="P92" s="38">
        <f t="shared" si="56"/>
        <v>1.4965813044026746</v>
      </c>
      <c r="Q92" s="57">
        <f t="shared" ref="Q92:Q97" si="80">(P92-$P86)/$P86</f>
        <v>0</v>
      </c>
      <c r="R92" s="26">
        <f>SUMIF('R7'!$V$7:$AA$7,B92,'R7'!$V$40:$AA$40)</f>
        <v>46414.168855270647</v>
      </c>
      <c r="S92" s="57">
        <f t="shared" ref="S92:S97" si="81">(R92-$R86)/$R86</f>
        <v>0</v>
      </c>
      <c r="T92" s="26">
        <f>SUMIF('R7'!$V$7:$AA$7,B92,'R7'!$V$41:$AA$41)</f>
        <v>59092.133318389097</v>
      </c>
      <c r="U92" s="57">
        <f t="shared" ref="U92:U97" si="82">(T92-$T86)/$T86</f>
        <v>0</v>
      </c>
      <c r="V92" s="23">
        <f t="shared" si="57"/>
        <v>1.2731485831977529</v>
      </c>
      <c r="W92" s="57">
        <f t="shared" ref="W92:W97" si="83">(V92-$V86)/$V86</f>
        <v>0</v>
      </c>
      <c r="X92" s="26">
        <f>SUMIF('R7'!$V$7:$AA$7,B92,'R7'!$V$52:$AA$52)</f>
        <v>18427.262540756401</v>
      </c>
      <c r="Y92" s="57">
        <f t="shared" ref="Y92:Y97" si="84">(X92-$X86)/$X86</f>
        <v>0</v>
      </c>
      <c r="Z92" s="26">
        <f>SUMIF('R7'!$V$7:$AA$7,B92,'R7'!$V$35:$AA$35)</f>
        <v>66273.9254716</v>
      </c>
      <c r="AA92" s="57">
        <f t="shared" ref="AA92:AA97" si="85">(Z92-$Z86)/$Z86</f>
        <v>0</v>
      </c>
      <c r="AB92" s="5"/>
      <c r="AC92" s="5"/>
      <c r="AD92" s="5"/>
    </row>
    <row r="93" spans="1:30" x14ac:dyDescent="0.25">
      <c r="A93" s="104"/>
      <c r="B93" s="31">
        <v>2020</v>
      </c>
      <c r="C93" s="14">
        <f>SUMIF('R7'!$V$7:$AA$7,B93,'R7'!$V$42:$AA$42)</f>
        <v>19.381889999999999</v>
      </c>
      <c r="D93" s="43">
        <f>SUMIF('R7'!$V$7:$AA$7,B93,'R7'!$V$46:$AA$46)</f>
        <v>0.9087454042219193</v>
      </c>
      <c r="E93" s="35">
        <f>SUMIF('R7'!$V$7:$AA$7,B93,'R7'!$V$47:$AA$47)</f>
        <v>0.97818889133398601</v>
      </c>
      <c r="F93" s="50">
        <f t="shared" si="76"/>
        <v>1.0764168784672152</v>
      </c>
      <c r="G93" s="58">
        <f t="shared" si="78"/>
        <v>1.5245315115041919E-2</v>
      </c>
      <c r="H93" s="4">
        <f>SUMIF('R7'!$V$7:$AA$7,B93,'R7'!$V$44:$AA$44)</f>
        <v>0.98019867330675492</v>
      </c>
      <c r="I93" s="5">
        <f>SUMIF('R7'!$V$7:$AA$7,B93,'R7'!$V$45:$AA$45)</f>
        <v>1</v>
      </c>
      <c r="J93" s="13">
        <f t="shared" si="77"/>
        <v>1.0202013400267562</v>
      </c>
      <c r="K93" s="58">
        <f t="shared" si="79"/>
        <v>-9.9501662508318413E-3</v>
      </c>
      <c r="L93" s="27">
        <f>SUMIF('R7'!$V$7:$AA$7,B93,'R7'!$V$36:$AA$36)</f>
        <v>0.91749639782684111</v>
      </c>
      <c r="M93" s="24">
        <f>SUMIF('R7'!$V$7:$AA$7,B93,'R7'!$V$37:$AA$37)</f>
        <v>2.5448646298633819</v>
      </c>
      <c r="N93" s="24">
        <f t="shared" si="55"/>
        <v>3.462361027690223</v>
      </c>
      <c r="O93" s="58"/>
      <c r="P93" s="39">
        <f t="shared" si="56"/>
        <v>2.7737053092427222</v>
      </c>
      <c r="Q93" s="58">
        <f t="shared" si="80"/>
        <v>-1.2817461258430793E-3</v>
      </c>
      <c r="R93" s="27">
        <f>SUMIF('R7'!$V$7:$AA$7,B93,'R7'!$V$40:$AA$40)</f>
        <v>110311.9463442376</v>
      </c>
      <c r="S93" s="58">
        <f t="shared" si="81"/>
        <v>-1.8823010719238957E-3</v>
      </c>
      <c r="T93" s="27">
        <f>SUMIF('R7'!$V$7:$AA$7,B93,'R7'!$V$41:$AA$41)</f>
        <v>138334.54447611849</v>
      </c>
      <c r="U93" s="58">
        <f t="shared" si="82"/>
        <v>-1.6870421298151181E-2</v>
      </c>
      <c r="V93" s="24">
        <f t="shared" si="57"/>
        <v>1.2540304931655728</v>
      </c>
      <c r="W93" s="58">
        <f t="shared" si="83"/>
        <v>-1.5016385584910282E-2</v>
      </c>
      <c r="X93" s="27">
        <f>SUMIF('R7'!$V$7:$AA$7,B93,'R7'!$V$52:$AA$52)</f>
        <v>75614.144110242545</v>
      </c>
      <c r="Y93" s="58">
        <f t="shared" si="84"/>
        <v>-2.7181952010487311E-2</v>
      </c>
      <c r="Z93" s="27">
        <f>SUMIF('R7'!$V$7:$AA$7,B93,'R7'!$V$35:$AA$35)</f>
        <v>261803.46570945601</v>
      </c>
      <c r="AA93" s="58">
        <f t="shared" si="85"/>
        <v>-2.7114341800492197E-2</v>
      </c>
      <c r="AB93" s="5"/>
      <c r="AC93" s="5"/>
      <c r="AD93" s="5"/>
    </row>
    <row r="94" spans="1:30" x14ac:dyDescent="0.25">
      <c r="A94" s="104"/>
      <c r="B94" s="31">
        <v>2040</v>
      </c>
      <c r="C94" s="6">
        <f>SUMIF('R7'!$V$7:$AA$7,B94,'R7'!$V$42:$AA$42)</f>
        <v>19.878499999999999</v>
      </c>
      <c r="D94" s="43">
        <f>SUMIF('R7'!$V$7:$AA$7,B94,'R7'!$V$46:$AA$46)</f>
        <v>0.89139111669784621</v>
      </c>
      <c r="E94" s="35">
        <f>SUMIF('R7'!$V$7:$AA$7,B94,'R7'!$V$47:$AA$47)</f>
        <v>0.96957624782154495</v>
      </c>
      <c r="F94" s="50">
        <f t="shared" si="76"/>
        <v>1.0877113644719001</v>
      </c>
      <c r="G94" s="58">
        <f t="shared" si="78"/>
        <v>2.5897948153662514E-2</v>
      </c>
      <c r="H94" s="4">
        <f>SUMIF('R7'!$V$7:$AA$7,B94,'R7'!$V$44:$AA$44)</f>
        <v>0.99004983374916744</v>
      </c>
      <c r="I94" s="5">
        <f>SUMIF('R7'!$V$7:$AA$7,B94,'R7'!$V$45:$AA$45)</f>
        <v>1</v>
      </c>
      <c r="J94" s="5">
        <f t="shared" si="77"/>
        <v>1.0100501670841686</v>
      </c>
      <c r="K94" s="58">
        <f t="shared" si="79"/>
        <v>-1.9801326693244446E-2</v>
      </c>
      <c r="L94" s="27">
        <f>SUMIF('R7'!$V$7:$AA$7,B94,'R7'!$V$36:$AA$36)</f>
        <v>0.92030962849636966</v>
      </c>
      <c r="M94" s="24">
        <f>SUMIF('R7'!$V$7:$AA$7,B94,'R7'!$V$37:$AA$37)</f>
        <v>4.7365676282015796</v>
      </c>
      <c r="N94" s="24">
        <f t="shared" si="55"/>
        <v>5.6568772566979497</v>
      </c>
      <c r="O94" s="58"/>
      <c r="P94" s="40">
        <f t="shared" si="56"/>
        <v>5.146710934601793</v>
      </c>
      <c r="Q94" s="58">
        <f t="shared" si="80"/>
        <v>-1.3911005374663949E-3</v>
      </c>
      <c r="R94" s="27">
        <f>SUMIF('R7'!$V$7:$AA$7,B94,'R7'!$V$40:$AA$40)</f>
        <v>203350.952525448</v>
      </c>
      <c r="S94" s="58">
        <f t="shared" si="81"/>
        <v>-3.7961216384685122E-4</v>
      </c>
      <c r="T94" s="27">
        <f>SUMIF('R7'!$V$7:$AA$7,B94,'R7'!$V$41:$AA$41)</f>
        <v>252360.36154047289</v>
      </c>
      <c r="U94" s="58">
        <f t="shared" si="82"/>
        <v>-2.5614204965320082E-2</v>
      </c>
      <c r="V94" s="24">
        <f t="shared" si="57"/>
        <v>1.2410089965469511</v>
      </c>
      <c r="W94" s="58">
        <f t="shared" si="83"/>
        <v>-2.5244175797672245E-2</v>
      </c>
      <c r="X94" s="27">
        <f>SUMIF('R7'!$V$7:$AA$7,B94,'R7'!$V$52:$AA$52)</f>
        <v>140619.19536534659</v>
      </c>
      <c r="Y94" s="58">
        <f t="shared" si="84"/>
        <v>-4.4305799634238564E-2</v>
      </c>
      <c r="Z94" s="27">
        <f>SUMIF('R7'!$V$7:$AA$7,B94,'R7'!$V$35:$AA$35)</f>
        <v>795465.52811739489</v>
      </c>
      <c r="AA94" s="58">
        <f t="shared" si="85"/>
        <v>-4.4190360448501727E-2</v>
      </c>
      <c r="AB94" s="5"/>
      <c r="AC94" s="5"/>
      <c r="AD94" s="5"/>
    </row>
    <row r="95" spans="1:30" x14ac:dyDescent="0.25">
      <c r="A95" s="104"/>
      <c r="B95" s="31">
        <v>2060</v>
      </c>
      <c r="C95" s="6">
        <f>SUMIF('R7'!$V$7:$AA$7,B95,'R7'!$V$42:$AA$42)</f>
        <v>20.472930000000002</v>
      </c>
      <c r="D95" s="43">
        <f>SUMIF('R7'!$V$7:$AA$7,B95,'R7'!$V$46:$AA$46)</f>
        <v>0.86311515559253815</v>
      </c>
      <c r="E95" s="35">
        <f>SUMIF('R7'!$V$7:$AA$7,B95,'R7'!$V$47:$AA$47)</f>
        <v>0.95414178358867729</v>
      </c>
      <c r="F95" s="50">
        <f t="shared" si="76"/>
        <v>1.105462900757024</v>
      </c>
      <c r="G95" s="58">
        <f t="shared" si="78"/>
        <v>4.2640684550763391E-2</v>
      </c>
      <c r="H95" s="4">
        <f>SUMIF('R7'!$V$7:$AA$7,B95,'R7'!$V$44:$AA$44)</f>
        <v>1</v>
      </c>
      <c r="I95" s="5">
        <f>SUMIF('R7'!$V$7:$AA$7,B95,'R7'!$V$45:$AA$45)</f>
        <v>1</v>
      </c>
      <c r="J95" s="5">
        <f t="shared" si="77"/>
        <v>1</v>
      </c>
      <c r="K95" s="58">
        <f t="shared" si="79"/>
        <v>-2.9554466451492109E-2</v>
      </c>
      <c r="L95" s="27">
        <f>SUMIF('R7'!$V$7:$AA$7,B95,'R7'!$V$36:$AA$36)</f>
        <v>0.86139970513889041</v>
      </c>
      <c r="M95" s="24">
        <f>SUMIF('R7'!$V$7:$AA$7,B95,'R7'!$V$37:$AA$37)</f>
        <v>8.2144713584387148</v>
      </c>
      <c r="N95" s="24">
        <f t="shared" si="55"/>
        <v>9.0758710635776048</v>
      </c>
      <c r="O95" s="58"/>
      <c r="P95" s="40">
        <f t="shared" si="56"/>
        <v>9.5361901210707156</v>
      </c>
      <c r="Q95" s="58">
        <f t="shared" si="80"/>
        <v>-2.9348386152066828E-3</v>
      </c>
      <c r="R95" s="27">
        <f>SUMIF('R7'!$V$7:$AA$7,B95,'R7'!$V$40:$AA$40)</f>
        <v>315727.98624147469</v>
      </c>
      <c r="S95" s="58">
        <f t="shared" si="81"/>
        <v>1.4735635275133383E-4</v>
      </c>
      <c r="T95" s="27">
        <f>SUMIF('R7'!$V$7:$AA$7,B95,'R7'!$V$41:$AA$41)</f>
        <v>385529.40079487412</v>
      </c>
      <c r="U95" s="58">
        <f t="shared" si="82"/>
        <v>-4.0755486360405706E-2</v>
      </c>
      <c r="V95" s="24">
        <f t="shared" si="57"/>
        <v>1.2210808594586038</v>
      </c>
      <c r="W95" s="58">
        <f t="shared" si="83"/>
        <v>-4.0896816307466707E-2</v>
      </c>
      <c r="X95" s="27">
        <f>SUMIF('R7'!$V$7:$AA$7,B95,'R7'!$V$52:$AA$52)</f>
        <v>215280.53336319551</v>
      </c>
      <c r="Y95" s="58">
        <f t="shared" si="84"/>
        <v>-7.4148253517413859E-2</v>
      </c>
      <c r="Z95" s="27">
        <f>SUMIF('R7'!$V$7:$AA$7,B95,'R7'!$V$35:$AA$35)</f>
        <v>1953858.3633025789</v>
      </c>
      <c r="AA95" s="58">
        <f t="shared" si="85"/>
        <v>-7.3974370867979741E-2</v>
      </c>
      <c r="AB95" s="5"/>
      <c r="AC95" s="5"/>
      <c r="AD95" s="5"/>
    </row>
    <row r="96" spans="1:30" x14ac:dyDescent="0.25">
      <c r="A96" s="104"/>
      <c r="B96" s="31">
        <v>2080</v>
      </c>
      <c r="C96" s="6">
        <f>SUMIF('R7'!$V$7:$AA$7,B96,'R7'!$V$42:$AA$42)</f>
        <v>21.093440000000001</v>
      </c>
      <c r="D96" s="43">
        <f>SUMIF('R7'!$V$7:$AA$7,B96,'R7'!$V$46:$AA$46)</f>
        <v>0.83241565308735976</v>
      </c>
      <c r="E96" s="35">
        <f>SUMIF('R7'!$V$7:$AA$7,B96,'R7'!$V$47:$AA$47)</f>
        <v>0.93581367348848743</v>
      </c>
      <c r="F96" s="50">
        <f t="shared" si="76"/>
        <v>1.1242144114152985</v>
      </c>
      <c r="G96" s="58">
        <f t="shared" si="78"/>
        <v>6.0326567899463411E-2</v>
      </c>
      <c r="H96" s="4">
        <f>SUMIF('R7'!$V$7:$AA$7,B96,'R7'!$V$44:$AA$44)</f>
        <v>1</v>
      </c>
      <c r="I96" s="5">
        <f>SUMIF('R7'!$V$7:$AA$7,B96,'R7'!$V$45:$AA$45)</f>
        <v>1</v>
      </c>
      <c r="J96" s="5">
        <f t="shared" si="77"/>
        <v>1</v>
      </c>
      <c r="K96" s="58">
        <f t="shared" si="79"/>
        <v>-2.9554466451492109E-2</v>
      </c>
      <c r="L96" s="27">
        <f>SUMIF('R7'!$V$7:$AA$7,B96,'R7'!$V$36:$AA$36)</f>
        <v>0.77345240606528853</v>
      </c>
      <c r="M96" s="24">
        <f>SUMIF('R7'!$V$7:$AA$7,B96,'R7'!$V$37:$AA$37)</f>
        <v>13.630107033412139</v>
      </c>
      <c r="N96" s="24">
        <f t="shared" si="55"/>
        <v>14.403559439477428</v>
      </c>
      <c r="O96" s="58"/>
      <c r="P96" s="40">
        <f t="shared" si="56"/>
        <v>17.622425021277387</v>
      </c>
      <c r="Q96" s="58">
        <f t="shared" si="80"/>
        <v>-7.1187765121214887E-3</v>
      </c>
      <c r="R96" s="27">
        <f>SUMIF('R7'!$V$7:$AA$7,B96,'R7'!$V$40:$AA$40)</f>
        <v>440730.01074170158</v>
      </c>
      <c r="S96" s="58">
        <f t="shared" si="81"/>
        <v>-1.1157419348901327E-3</v>
      </c>
      <c r="T96" s="27">
        <f>SUMIF('R7'!$V$7:$AA$7,B96,'R7'!$V$41:$AA$41)</f>
        <v>529190.53972222167</v>
      </c>
      <c r="U96" s="58">
        <f t="shared" si="82"/>
        <v>-5.7946590884799178E-2</v>
      </c>
      <c r="V96" s="24">
        <f t="shared" si="57"/>
        <v>1.2007136496823769</v>
      </c>
      <c r="W96" s="58">
        <f t="shared" si="83"/>
        <v>-5.6894328337892978E-2</v>
      </c>
      <c r="X96" s="27">
        <f>SUMIF('R7'!$V$7:$AA$7,B96,'R7'!$V$52:$AA$52)</f>
        <v>292998.80638354679</v>
      </c>
      <c r="Y96" s="58">
        <f t="shared" si="84"/>
        <v>-0.1082319314381868</v>
      </c>
      <c r="Z96" s="27">
        <f>SUMIF('R7'!$V$7:$AA$7,B96,'R7'!$V$35:$AA$35)</f>
        <v>4220225.7234413549</v>
      </c>
      <c r="AA96" s="58">
        <f t="shared" si="85"/>
        <v>-0.10797961204404595</v>
      </c>
      <c r="AB96" s="5"/>
      <c r="AC96" s="5"/>
      <c r="AD96" s="5"/>
    </row>
    <row r="97" spans="1:30" ht="15.75" thickBot="1" x14ac:dyDescent="0.3">
      <c r="A97" s="105"/>
      <c r="B97" s="32">
        <v>2100</v>
      </c>
      <c r="C97" s="9">
        <f>SUMIF('R7'!$V$7:$AA$7,B97,'R7'!$V$42:$AA$42)</f>
        <v>21.501149999999999</v>
      </c>
      <c r="D97" s="44">
        <f>SUMIF('R7'!$V$7:$AA$7,B97,'R7'!$V$46:$AA$46)</f>
        <v>0.81076508762715238</v>
      </c>
      <c r="E97" s="36">
        <f>SUMIF('R7'!$V$7:$AA$7,B97,'R7'!$V$47:$AA$47)</f>
        <v>0.92207897326159938</v>
      </c>
      <c r="F97" s="51">
        <f t="shared" si="76"/>
        <v>1.1372948679379211</v>
      </c>
      <c r="G97" s="59">
        <f t="shared" si="78"/>
        <v>7.2663676755531051E-2</v>
      </c>
      <c r="H97" s="7">
        <f>SUMIF('R7'!$V$7:$AA$7,B97,'R7'!$V$44:$AA$44)</f>
        <v>1</v>
      </c>
      <c r="I97" s="8">
        <f>SUMIF('R7'!$V$7:$AA$7,B97,'R7'!$V$45:$AA$45)</f>
        <v>1</v>
      </c>
      <c r="J97" s="8">
        <f t="shared" si="77"/>
        <v>1</v>
      </c>
      <c r="K97" s="59">
        <f t="shared" si="79"/>
        <v>-2.9554466451492109E-2</v>
      </c>
      <c r="L97" s="28">
        <f>SUMIF('R7'!$V$7:$AA$7,B97,'R7'!$V$36:$AA$36)</f>
        <v>0.67589861432437803</v>
      </c>
      <c r="M97" s="25">
        <f>SUMIF('R7'!$V$7:$AA$7,B97,'R7'!$V$37:$AA$37)</f>
        <v>22.039830959385618</v>
      </c>
      <c r="N97" s="25">
        <f t="shared" si="55"/>
        <v>22.715729573709996</v>
      </c>
      <c r="O97" s="59"/>
      <c r="P97" s="41">
        <f t="shared" si="56"/>
        <v>32.60819077342898</v>
      </c>
      <c r="Q97" s="59">
        <f t="shared" si="80"/>
        <v>-9.986048109240947E-3</v>
      </c>
      <c r="R97" s="33">
        <f>SUMIF('R7'!$V$7:$AA$7,B97,'R7'!$V$40:$AA$40)</f>
        <v>578843.31339877041</v>
      </c>
      <c r="S97" s="59">
        <f t="shared" si="81"/>
        <v>-2.6626072652328578E-3</v>
      </c>
      <c r="T97" s="28">
        <f>SUMIF('R7'!$V$7:$AA$7,B97,'R7'!$V$41:$AA$41)</f>
        <v>687031.32241429982</v>
      </c>
      <c r="U97" s="59">
        <f t="shared" si="82"/>
        <v>-7.0223580468952149E-2</v>
      </c>
      <c r="V97" s="25">
        <f t="shared" si="57"/>
        <v>1.1869037898706756</v>
      </c>
      <c r="W97" s="59">
        <f t="shared" si="83"/>
        <v>-6.774134179253273E-2</v>
      </c>
      <c r="X97" s="28">
        <f>SUMIF('R7'!$V$7:$AA$7,B97,'R7'!$V$52:$AA$52)</f>
        <v>377167.01091088558</v>
      </c>
      <c r="Y97" s="59">
        <f t="shared" si="84"/>
        <v>-0.13275411580800606</v>
      </c>
      <c r="Z97" s="28">
        <f>SUMIF('R7'!$V$7:$AA$7,B97,'R7'!$V$35:$AA$35)</f>
        <v>8567623.8239762057</v>
      </c>
      <c r="AA97" s="59">
        <f t="shared" si="85"/>
        <v>-0.13244339290621995</v>
      </c>
      <c r="AB97" s="5"/>
      <c r="AC97" s="5"/>
      <c r="AD97" s="5"/>
    </row>
    <row r="98" spans="1:30" x14ac:dyDescent="0.25">
      <c r="A98" s="106" t="s">
        <v>6</v>
      </c>
      <c r="B98" s="21">
        <v>2000</v>
      </c>
      <c r="C98" s="3">
        <f>SUMIF('R8'!$V$7:$AA$7,B98,'R8'!$V$17:$AA$17)</f>
        <v>19.567530000000001</v>
      </c>
      <c r="D98" s="42">
        <f>SUMIF('R8'!$V$7:$AA$7,B98,'R8'!$V$21:$AA$21)</f>
        <v>1</v>
      </c>
      <c r="E98" s="34">
        <f>SUMIF('R8'!$V$7:$AA$7,B98,'R8'!$V$22:$AA$22)</f>
        <v>1</v>
      </c>
      <c r="F98" s="45">
        <f>E98/D98</f>
        <v>1</v>
      </c>
      <c r="G98" s="53"/>
      <c r="H98" s="1">
        <f>SUMIF('R8'!$V$7:$AA$7,B98,'R8'!$V$19:$AA$19)</f>
        <v>0.99004983374916744</v>
      </c>
      <c r="I98" s="2">
        <f>SUMIF('R8'!$V$7:$AA$7,B98,'R8'!$V$20:$AA$20)</f>
        <v>1</v>
      </c>
      <c r="J98" s="2">
        <f>I98/H98</f>
        <v>1.0100501670841686</v>
      </c>
      <c r="K98" s="53"/>
      <c r="L98" s="26">
        <f>SUMIF('R8'!$V$7:$AA$7,B98,'R8'!$V$11:$AA$11)</f>
        <v>1.5094523999114999</v>
      </c>
      <c r="M98" s="24">
        <f>SUMIF('R8'!$V$7:$AA$7,B98,'R8'!$V$12:$AA$12)</f>
        <v>2.2590182415933011</v>
      </c>
      <c r="N98" s="23">
        <f t="shared" si="55"/>
        <v>3.768470641504801</v>
      </c>
      <c r="O98" s="53"/>
      <c r="P98" s="38">
        <f t="shared" si="56"/>
        <v>1.4965813044026752</v>
      </c>
      <c r="Q98" s="53"/>
      <c r="R98" s="26">
        <f>SUMIF('R8'!$V$7:$AA$7,B98,'R8'!$V$15:$AA$15)</f>
        <v>47481.627330410549</v>
      </c>
      <c r="S98" s="53"/>
      <c r="T98" s="26">
        <f>SUMIF('R8'!$V$7:$AA$7,B98,'R8'!$V$16:$AA$16)</f>
        <v>59235.606824504393</v>
      </c>
      <c r="U98" s="53"/>
      <c r="V98" s="23">
        <f t="shared" si="57"/>
        <v>1.2475479497006576</v>
      </c>
      <c r="W98" s="53"/>
      <c r="X98" s="26">
        <f>SUMIF('R8'!$V$7:$AA$7,B98,'R8'!$V$27:$AA$27)</f>
        <v>18427.26254075639</v>
      </c>
      <c r="Y98" s="53"/>
      <c r="Z98" s="26">
        <f>SUMIF('R8'!$V$7:$AA$7,B98,'R8'!$V$10:$AA$10)</f>
        <v>121208.1200484</v>
      </c>
      <c r="AA98" s="53"/>
      <c r="AB98" s="5"/>
      <c r="AC98" s="5"/>
      <c r="AD98" s="5"/>
    </row>
    <row r="99" spans="1:30" s="10" customFormat="1" x14ac:dyDescent="0.25">
      <c r="A99" s="107"/>
      <c r="B99" s="31">
        <v>2020</v>
      </c>
      <c r="C99" s="14">
        <f>SUMIF('R8'!$V$7:$AA$7,B99,'R8'!$V$17:$AA$17)</f>
        <v>19.567530000000001</v>
      </c>
      <c r="D99" s="43">
        <f>SUMIF('R8'!$V$7:$AA$7,B99,'R8'!$V$21:$AA$21)</f>
        <v>0.90022563327805616</v>
      </c>
      <c r="E99" s="35">
        <f>SUMIF('R8'!$V$7:$AA$7,B99,'R8'!$V$22:$AA$22)</f>
        <v>0.97405330480158026</v>
      </c>
      <c r="F99" s="46">
        <f t="shared" ref="F99:F109" si="86">E99/D99</f>
        <v>1.0820101858849431</v>
      </c>
      <c r="G99" s="54"/>
      <c r="H99" s="4">
        <f>SUMIF('R8'!$V$7:$AA$7,B99,'R8'!$V$19:$AA$19)</f>
        <v>0.99004983374916744</v>
      </c>
      <c r="I99" s="5">
        <f>SUMIF('R8'!$V$7:$AA$7,B99,'R8'!$V$20:$AA$20)</f>
        <v>1</v>
      </c>
      <c r="J99" s="5">
        <f t="shared" ref="J99:J109" si="87">I99/H99</f>
        <v>1.0100501670841686</v>
      </c>
      <c r="K99" s="55"/>
      <c r="L99" s="27">
        <f>SUMIF('R8'!$V$7:$AA$7,B99,'R8'!$V$11:$AA$11)</f>
        <v>1.6763076527082541</v>
      </c>
      <c r="M99" s="24">
        <f>SUMIF('R8'!$V$7:$AA$7,B99,'R8'!$V$12:$AA$12)</f>
        <v>4.6555506702763836</v>
      </c>
      <c r="N99" s="24">
        <f t="shared" si="55"/>
        <v>6.3318583229846377</v>
      </c>
      <c r="O99" s="55"/>
      <c r="P99" s="39">
        <f t="shared" si="56"/>
        <v>2.7772650579712166</v>
      </c>
      <c r="Q99" s="55"/>
      <c r="R99" s="27">
        <f>SUMIF('R8'!$V$7:$AA$7,B99,'R8'!$V$15:$AA$15)</f>
        <v>111810.56769758731</v>
      </c>
      <c r="S99" s="55"/>
      <c r="T99" s="27">
        <f>SUMIF('R8'!$V$7:$AA$7,B99,'R8'!$V$16:$AA$16)</f>
        <v>139489.04448599159</v>
      </c>
      <c r="U99" s="55"/>
      <c r="V99" s="24">
        <f t="shared" si="57"/>
        <v>1.2475479497006574</v>
      </c>
      <c r="W99" s="55"/>
      <c r="X99" s="27">
        <f>SUMIF('R8'!$V$7:$AA$7,B99,'R8'!$V$27:$AA$27)</f>
        <v>75928.125015397236</v>
      </c>
      <c r="Y99" s="55"/>
      <c r="Z99" s="27">
        <f>SUMIF('R8'!$V$7:$AA$7,B99,'R8'!$V$10:$AA$10)</f>
        <v>480766.13032736111</v>
      </c>
      <c r="AA99" s="55"/>
      <c r="AB99" s="13"/>
      <c r="AC99" s="13"/>
      <c r="AD99" s="13"/>
    </row>
    <row r="100" spans="1:30" x14ac:dyDescent="0.25">
      <c r="A100" s="107"/>
      <c r="B100" s="31">
        <v>2040</v>
      </c>
      <c r="C100" s="6">
        <f>SUMIF('R8'!$V$7:$AA$7,B100,'R8'!$V$17:$AA$17)</f>
        <v>19.567530000000001</v>
      </c>
      <c r="D100" s="43">
        <f>SUMIF('R8'!$V$7:$AA$7,B100,'R8'!$V$21:$AA$21)</f>
        <v>0.90022563327805616</v>
      </c>
      <c r="E100" s="35">
        <f>SUMIF('R8'!$V$7:$AA$7,B100,'R8'!$V$22:$AA$22)</f>
        <v>0.97405330480158026</v>
      </c>
      <c r="F100" s="47">
        <f t="shared" si="86"/>
        <v>1.0820101858849431</v>
      </c>
      <c r="G100" s="55"/>
      <c r="H100" s="4">
        <f>SUMIF('R8'!$V$7:$AA$7,B100,'R8'!$V$19:$AA$19)</f>
        <v>0.99004983374916744</v>
      </c>
      <c r="I100" s="5">
        <f>SUMIF('R8'!$V$7:$AA$7,B100,'R8'!$V$20:$AA$20)</f>
        <v>1</v>
      </c>
      <c r="J100" s="5">
        <f t="shared" si="87"/>
        <v>1.0100501670841686</v>
      </c>
      <c r="K100" s="55"/>
      <c r="L100" s="27">
        <f>SUMIF('R8'!$V$7:$AA$7,B100,'R8'!$V$11:$AA$11)</f>
        <v>1.6809866387325101</v>
      </c>
      <c r="M100" s="24">
        <f>SUMIF('R8'!$V$7:$AA$7,B100,'R8'!$V$12:$AA$12)</f>
        <v>8.6636042590252504</v>
      </c>
      <c r="N100" s="24">
        <f t="shared" si="55"/>
        <v>10.34459089775776</v>
      </c>
      <c r="O100" s="55"/>
      <c r="P100" s="40">
        <f t="shared" si="56"/>
        <v>5.1538805005361272</v>
      </c>
      <c r="Q100" s="55"/>
      <c r="R100" s="27">
        <f>SUMIF('R8'!$V$7:$AA$7,B100,'R8'!$V$15:$AA$15)</f>
        <v>206524.08446256211</v>
      </c>
      <c r="S100" s="55"/>
      <c r="T100" s="27">
        <f>SUMIF('R8'!$V$7:$AA$7,B100,'R8'!$V$16:$AA$16)</f>
        <v>257648.69813507481</v>
      </c>
      <c r="U100" s="55"/>
      <c r="V100" s="24">
        <f t="shared" si="57"/>
        <v>1.2475479497006576</v>
      </c>
      <c r="W100" s="55"/>
      <c r="X100" s="27">
        <f>SUMIF('R8'!$V$7:$AA$7,B100,'R8'!$V$27:$AA$27)</f>
        <v>144236.2590445028</v>
      </c>
      <c r="Y100" s="55"/>
      <c r="Z100" s="27">
        <f>SUMIF('R8'!$V$7:$AA$7,B100,'R8'!$V$10:$AA$10)</f>
        <v>1492065.092438394</v>
      </c>
      <c r="AA100" s="55"/>
      <c r="AB100" s="5"/>
      <c r="AC100" s="5"/>
      <c r="AD100" s="5"/>
    </row>
    <row r="101" spans="1:30" x14ac:dyDescent="0.25">
      <c r="A101" s="107"/>
      <c r="B101" s="31">
        <v>2060</v>
      </c>
      <c r="C101" s="6">
        <f>SUMIF('R8'!$V$7:$AA$7,B101,'R8'!$V$17:$AA$17)</f>
        <v>19.567530000000001</v>
      </c>
      <c r="D101" s="43">
        <f>SUMIF('R8'!$V$7:$AA$7,B101,'R8'!$V$21:$AA$21)</f>
        <v>0.90022563327805616</v>
      </c>
      <c r="E101" s="35">
        <f>SUMIF('R8'!$V$7:$AA$7,B101,'R8'!$V$22:$AA$22)</f>
        <v>0.97405330480158026</v>
      </c>
      <c r="F101" s="47">
        <f t="shared" si="86"/>
        <v>1.0820101858849431</v>
      </c>
      <c r="G101" s="55"/>
      <c r="H101" s="4">
        <f>SUMIF('R8'!$V$7:$AA$7,B101,'R8'!$V$19:$AA$19)</f>
        <v>0.99004983374916744</v>
      </c>
      <c r="I101" s="5">
        <f>SUMIF('R8'!$V$7:$AA$7,B101,'R8'!$V$20:$AA$20)</f>
        <v>1</v>
      </c>
      <c r="J101" s="5">
        <f t="shared" si="87"/>
        <v>1.0100501670841686</v>
      </c>
      <c r="K101" s="55"/>
      <c r="L101" s="27">
        <f>SUMIF('R8'!$V$7:$AA$7,B101,'R8'!$V$11:$AA$11)</f>
        <v>1.570929564987853</v>
      </c>
      <c r="M101" s="24">
        <f>SUMIF('R8'!$V$7:$AA$7,B101,'R8'!$V$12:$AA$12)</f>
        <v>15.02477829806918</v>
      </c>
      <c r="N101" s="24">
        <f t="shared" si="55"/>
        <v>16.595707863057033</v>
      </c>
      <c r="O101" s="55"/>
      <c r="P101" s="40">
        <f t="shared" si="56"/>
        <v>9.5642596797045805</v>
      </c>
      <c r="Q101" s="55"/>
      <c r="R101" s="27">
        <f>SUMIF('R8'!$V$7:$AA$7,B101,'R8'!$V$15:$AA$15)</f>
        <v>321199.2669600175</v>
      </c>
      <c r="S101" s="55"/>
      <c r="T101" s="27">
        <f>SUMIF('R8'!$V$7:$AA$7,B101,'R8'!$V$16:$AA$16)</f>
        <v>400711.48694132408</v>
      </c>
      <c r="U101" s="55"/>
      <c r="V101" s="24">
        <f t="shared" si="57"/>
        <v>1.2475479497006579</v>
      </c>
      <c r="W101" s="55"/>
      <c r="X101" s="27">
        <f>SUMIF('R8'!$V$7:$AA$7,B101,'R8'!$V$27:$AA$27)</f>
        <v>228443.05522539199</v>
      </c>
      <c r="Y101" s="55"/>
      <c r="Z101" s="27">
        <f>SUMIF('R8'!$V$7:$AA$7,B101,'R8'!$V$10:$AA$10)</f>
        <v>3791174.2078648098</v>
      </c>
      <c r="AA101" s="55"/>
      <c r="AB101" s="5"/>
      <c r="AC101" s="5"/>
      <c r="AD101" s="5"/>
    </row>
    <row r="102" spans="1:30" x14ac:dyDescent="0.25">
      <c r="A102" s="107"/>
      <c r="B102" s="31">
        <v>2080</v>
      </c>
      <c r="C102" s="6">
        <f>SUMIF('R8'!$V$7:$AA$7,B102,'R8'!$V$17:$AA$17)</f>
        <v>19.567530000000001</v>
      </c>
      <c r="D102" s="43">
        <f>SUMIF('R8'!$V$7:$AA$7,B102,'R8'!$V$21:$AA$21)</f>
        <v>0.90022563327805616</v>
      </c>
      <c r="E102" s="35">
        <f>SUMIF('R8'!$V$7:$AA$7,B102,'R8'!$V$22:$AA$22)</f>
        <v>0.97405330480158026</v>
      </c>
      <c r="F102" s="47">
        <f t="shared" si="86"/>
        <v>1.0820101858849431</v>
      </c>
      <c r="G102" s="55"/>
      <c r="H102" s="4">
        <f>SUMIF('R8'!$V$7:$AA$7,B102,'R8'!$V$19:$AA$19)</f>
        <v>0.99004983374916744</v>
      </c>
      <c r="I102" s="5">
        <f>SUMIF('R8'!$V$7:$AA$7,B102,'R8'!$V$20:$AA$20)</f>
        <v>1</v>
      </c>
      <c r="J102" s="5">
        <f t="shared" si="87"/>
        <v>1.0100501670841686</v>
      </c>
      <c r="K102" s="55"/>
      <c r="L102" s="27">
        <f>SUMIF('R8'!$V$7:$AA$7,B102,'R8'!$V$11:$AA$11)</f>
        <v>1.4046337484457949</v>
      </c>
      <c r="M102" s="24">
        <f>SUMIF('R8'!$V$7:$AA$7,B102,'R8'!$V$12:$AA$12)</f>
        <v>24.930527769864749</v>
      </c>
      <c r="N102" s="24">
        <f t="shared" si="55"/>
        <v>26.335161518310546</v>
      </c>
      <c r="O102" s="55"/>
      <c r="P102" s="40">
        <f t="shared" si="56"/>
        <v>17.748774580882728</v>
      </c>
      <c r="Q102" s="55"/>
      <c r="R102" s="27">
        <f>SUMIF('R8'!$V$7:$AA$7,B102,'R8'!$V$15:$AA$15)</f>
        <v>449527.21310879482</v>
      </c>
      <c r="S102" s="55"/>
      <c r="T102" s="27">
        <f>SUMIF('R8'!$V$7:$AA$7,B102,'R8'!$V$16:$AA$16)</f>
        <v>560806.75304852705</v>
      </c>
      <c r="U102" s="55"/>
      <c r="V102" s="24">
        <f t="shared" si="57"/>
        <v>1.2475479497006565</v>
      </c>
      <c r="W102" s="55"/>
      <c r="X102" s="27">
        <f>SUMIF('R8'!$V$7:$AA$7,B102,'R8'!$V$27:$AA$27)</f>
        <v>323222.55454639468</v>
      </c>
      <c r="Y102" s="55"/>
      <c r="Z102" s="27">
        <f>SUMIF('R8'!$V$7:$AA$7,B102,'R8'!$V$10:$AA$10)</f>
        <v>8512118.1803402435</v>
      </c>
      <c r="AA102" s="55"/>
      <c r="AB102" s="5"/>
      <c r="AC102" s="5"/>
      <c r="AD102" s="5"/>
    </row>
    <row r="103" spans="1:30" ht="15.75" thickBot="1" x14ac:dyDescent="0.3">
      <c r="A103" s="108"/>
      <c r="B103" s="32">
        <v>2100</v>
      </c>
      <c r="C103" s="9">
        <f>SUMIF('R8'!$V$7:$AA$7,B103,'R8'!$V$17:$AA$17)</f>
        <v>19.567530000000001</v>
      </c>
      <c r="D103" s="44">
        <f>SUMIF('R8'!$V$7:$AA$7,B103,'R8'!$V$21:$AA$21)</f>
        <v>0.90022563327805616</v>
      </c>
      <c r="E103" s="36">
        <f>SUMIF('R8'!$V$7:$AA$7,B103,'R8'!$V$22:$AA$22)</f>
        <v>0.97405330480158026</v>
      </c>
      <c r="F103" s="48">
        <f t="shared" si="86"/>
        <v>1.0820101858849431</v>
      </c>
      <c r="G103" s="56"/>
      <c r="H103" s="7">
        <f>SUMIF('R8'!$V$7:$AA$7,B103,'R8'!$V$19:$AA$19)</f>
        <v>0.99004983374916744</v>
      </c>
      <c r="I103" s="8">
        <f>SUMIF('R8'!$V$7:$AA$7,B103,'R8'!$V$20:$AA$20)</f>
        <v>1</v>
      </c>
      <c r="J103" s="8">
        <f t="shared" si="87"/>
        <v>1.0100501670841686</v>
      </c>
      <c r="K103" s="56"/>
      <c r="L103" s="28">
        <f>SUMIF('R8'!$V$7:$AA$7,B103,'R8'!$V$11:$AA$11)</f>
        <v>1.223729357177219</v>
      </c>
      <c r="M103" s="25">
        <f>SUMIF('R8'!$V$7:$AA$7,B103,'R8'!$V$12:$AA$12)</f>
        <v>40.306098977364179</v>
      </c>
      <c r="N103" s="25">
        <f t="shared" si="55"/>
        <v>41.529828334541399</v>
      </c>
      <c r="O103" s="56"/>
      <c r="P103" s="41">
        <f t="shared" si="56"/>
        <v>32.937102261188215</v>
      </c>
      <c r="Q103" s="56"/>
      <c r="R103" s="28">
        <f>SUMIF('R8'!$V$7:$AA$7,B103,'R8'!$V$15:$AA$15)</f>
        <v>591757.01203304692</v>
      </c>
      <c r="S103" s="56"/>
      <c r="T103" s="28">
        <f>SUMIF('R8'!$V$7:$AA$7,B103,'R8'!$V$16:$AA$16)</f>
        <v>738245.24708281481</v>
      </c>
      <c r="U103" s="56"/>
      <c r="V103" s="25">
        <f t="shared" si="57"/>
        <v>1.2475479497006572</v>
      </c>
      <c r="W103" s="56"/>
      <c r="X103" s="28">
        <f>SUMIF('R8'!$V$7:$AA$7,B103,'R8'!$V$27:$AA$27)</f>
        <v>428159.06043698522</v>
      </c>
      <c r="Y103" s="56"/>
      <c r="Z103" s="28">
        <f>SUMIF('R8'!$V$7:$AA$7,B103,'R8'!$V$10:$AA$10)</f>
        <v>17781372.279826529</v>
      </c>
      <c r="AA103" s="56"/>
      <c r="AB103" s="5"/>
      <c r="AC103" s="5"/>
      <c r="AD103" s="5"/>
    </row>
    <row r="104" spans="1:30" x14ac:dyDescent="0.25">
      <c r="A104" s="106" t="str">
        <f>'R8'!B1</f>
        <v>Limpopo</v>
      </c>
      <c r="B104" s="21">
        <v>2000</v>
      </c>
      <c r="C104" s="3">
        <f>SUMIF('R8'!$V$7:$AA$7,B104,'R8'!$V$42:$AA$42)</f>
        <v>19.567530000000001</v>
      </c>
      <c r="D104" s="42">
        <f>SUMIF('R8'!$V$7:$AA$7,B104,'R8'!$V$46:$AA$46)</f>
        <v>1</v>
      </c>
      <c r="E104" s="34">
        <f>SUMIF('R8'!$V$7:$AA$7,B104,'R8'!$V$47:$AA$47)</f>
        <v>1</v>
      </c>
      <c r="F104" s="49">
        <f t="shared" si="86"/>
        <v>1</v>
      </c>
      <c r="G104" s="57">
        <f t="shared" ref="G104:G109" si="88">(F104-$F98)/$F98</f>
        <v>0</v>
      </c>
      <c r="H104" s="1">
        <f>SUMIF('R8'!$V$7:$AA$7,B104,'R8'!$V$44:$AA$44)</f>
        <v>0.99004983374916744</v>
      </c>
      <c r="I104" s="2">
        <f>SUMIF('R8'!$V$7:$AA$7,B104,'R8'!$V$45:$AA$45)</f>
        <v>1</v>
      </c>
      <c r="J104" s="2">
        <f t="shared" si="87"/>
        <v>1.0100501670841686</v>
      </c>
      <c r="K104" s="57">
        <f t="shared" ref="K104:K109" si="89">(J104-$J98)/$J98</f>
        <v>0</v>
      </c>
      <c r="L104" s="26">
        <f>SUMIF('R8'!$V$7:$AA$7,B104,'R8'!$V$36:$AA$36)</f>
        <v>1.5094523999114999</v>
      </c>
      <c r="M104" s="23">
        <f>SUMIF('R8'!$V$7:$AA$7,B104,'R8'!$V$37:$AA$37)</f>
        <v>2.2590182415933011</v>
      </c>
      <c r="N104" s="23">
        <f t="shared" si="55"/>
        <v>3.768470641504801</v>
      </c>
      <c r="O104" s="57"/>
      <c r="P104" s="38">
        <f t="shared" si="56"/>
        <v>1.4965813044026752</v>
      </c>
      <c r="Q104" s="57">
        <f t="shared" ref="Q104:Q109" si="90">(P104-$P98)/$P98</f>
        <v>0</v>
      </c>
      <c r="R104" s="26">
        <f>SUMIF('R8'!$V$7:$AA$7,B104,'R8'!$V$40:$AA$40)</f>
        <v>47481.627330410549</v>
      </c>
      <c r="S104" s="57">
        <f t="shared" ref="S104:S109" si="91">(R104-$R98)/$R98</f>
        <v>0</v>
      </c>
      <c r="T104" s="26">
        <f>SUMIF('R8'!$V$7:$AA$7,B104,'R8'!$V$41:$AA$41)</f>
        <v>59235.606824504393</v>
      </c>
      <c r="U104" s="57">
        <f t="shared" ref="U104:U109" si="92">(T104-$T98)/$T98</f>
        <v>0</v>
      </c>
      <c r="V104" s="23">
        <f t="shared" si="57"/>
        <v>1.2475479497006576</v>
      </c>
      <c r="W104" s="57">
        <f t="shared" ref="W104:W109" si="93">(V104-$V98)/$V98</f>
        <v>0</v>
      </c>
      <c r="X104" s="26">
        <f>SUMIF('R8'!$V$7:$AA$7,B104,'R8'!$V$52:$AA$52)</f>
        <v>18427.26254075639</v>
      </c>
      <c r="Y104" s="57">
        <f t="shared" ref="Y104:Y109" si="94">(X104-$X98)/$X98</f>
        <v>0</v>
      </c>
      <c r="Z104" s="26">
        <f>SUMIF('R8'!$V$7:$AA$7,B104,'R8'!$V$35:$AA$35)</f>
        <v>121208.1200484</v>
      </c>
      <c r="AA104" s="57">
        <f t="shared" ref="AA104:AA109" si="95">(Z104-$Z98)/$Z98</f>
        <v>0</v>
      </c>
      <c r="AB104" s="5"/>
      <c r="AC104" s="5"/>
      <c r="AD104" s="5"/>
    </row>
    <row r="105" spans="1:30" x14ac:dyDescent="0.25">
      <c r="A105" s="107"/>
      <c r="B105" s="31">
        <v>2020</v>
      </c>
      <c r="C105" s="14">
        <f>SUMIF('R8'!$V$7:$AA$7,B105,'R8'!$V$42:$AA$42)</f>
        <v>20.391470000000002</v>
      </c>
      <c r="D105" s="43">
        <f>SUMIF('R8'!$V$7:$AA$7,B105,'R8'!$V$46:$AA$46)</f>
        <v>0.86311515559253815</v>
      </c>
      <c r="E105" s="35">
        <f>SUMIF('R8'!$V$7:$AA$7,B105,'R8'!$V$47:$AA$47)</f>
        <v>0.95414178358867729</v>
      </c>
      <c r="F105" s="50">
        <f t="shared" si="86"/>
        <v>1.105462900757024</v>
      </c>
      <c r="G105" s="58">
        <f t="shared" si="88"/>
        <v>2.1675133171597302E-2</v>
      </c>
      <c r="H105" s="4">
        <f>SUMIF('R8'!$V$7:$AA$7,B105,'R8'!$V$44:$AA$44)</f>
        <v>1</v>
      </c>
      <c r="I105" s="5">
        <f>SUMIF('R8'!$V$7:$AA$7,B105,'R8'!$V$45:$AA$45)</f>
        <v>1</v>
      </c>
      <c r="J105" s="13">
        <f t="shared" si="87"/>
        <v>1</v>
      </c>
      <c r="K105" s="58">
        <f t="shared" si="89"/>
        <v>-9.9501662508324935E-3</v>
      </c>
      <c r="L105" s="27">
        <f>SUMIF('R8'!$V$7:$AA$7,B105,'R8'!$V$36:$AA$36)</f>
        <v>1.680096664002581</v>
      </c>
      <c r="M105" s="24">
        <f>SUMIF('R8'!$V$7:$AA$7,B105,'R8'!$V$37:$AA$37)</f>
        <v>4.6527437032960206</v>
      </c>
      <c r="N105" s="24">
        <f t="shared" si="55"/>
        <v>6.3328403672986013</v>
      </c>
      <c r="O105" s="58"/>
      <c r="P105" s="39">
        <f t="shared" si="56"/>
        <v>2.7693309575483291</v>
      </c>
      <c r="Q105" s="58">
        <f t="shared" si="90"/>
        <v>-2.856803458537473E-3</v>
      </c>
      <c r="R105" s="27">
        <f>SUMIF('R8'!$V$7:$AA$7,B105,'R8'!$V$40:$AA$40)</f>
        <v>110851.16204496341</v>
      </c>
      <c r="S105" s="58">
        <f t="shared" si="91"/>
        <v>-8.5806348396226112E-3</v>
      </c>
      <c r="T105" s="27">
        <f>SUMIF('R8'!$V$7:$AA$7,B105,'R8'!$V$41:$AA$41)</f>
        <v>135358.2322218488</v>
      </c>
      <c r="U105" s="58">
        <f t="shared" si="92"/>
        <v>-2.9613883150211372E-2</v>
      </c>
      <c r="V105" s="24">
        <f t="shared" si="57"/>
        <v>1.2210808594586031</v>
      </c>
      <c r="W105" s="58">
        <f t="shared" si="93"/>
        <v>-2.1215288958155821E-2</v>
      </c>
      <c r="X105" s="27">
        <f>SUMIF('R8'!$V$7:$AA$7,B105,'R8'!$V$52:$AA$52)</f>
        <v>72162.253766553156</v>
      </c>
      <c r="Y105" s="58">
        <f t="shared" si="94"/>
        <v>-4.9597843329865055E-2</v>
      </c>
      <c r="Z105" s="27">
        <f>SUMIF('R8'!$V$7:$AA$7,B105,'R8'!$V$35:$AA$35)</f>
        <v>456992.03364807338</v>
      </c>
      <c r="AA105" s="58">
        <f t="shared" si="95"/>
        <v>-4.9450439994804911E-2</v>
      </c>
      <c r="AB105" s="5"/>
      <c r="AC105" s="5"/>
      <c r="AD105" s="5"/>
    </row>
    <row r="106" spans="1:30" x14ac:dyDescent="0.25">
      <c r="A106" s="107"/>
      <c r="B106" s="31">
        <v>2040</v>
      </c>
      <c r="C106" s="6">
        <f>SUMIF('R8'!$V$7:$AA$7,B106,'R8'!$V$42:$AA$42)</f>
        <v>21.110589999999998</v>
      </c>
      <c r="D106" s="43">
        <f>SUMIF('R8'!$V$7:$AA$7,B106,'R8'!$V$46:$AA$46)</f>
        <v>0.83241565308735976</v>
      </c>
      <c r="E106" s="35">
        <f>SUMIF('R8'!$V$7:$AA$7,B106,'R8'!$V$47:$AA$47)</f>
        <v>0.93581367348848743</v>
      </c>
      <c r="F106" s="50">
        <f t="shared" si="86"/>
        <v>1.1242144114152985</v>
      </c>
      <c r="G106" s="58">
        <f t="shared" si="88"/>
        <v>3.9005386530476936E-2</v>
      </c>
      <c r="H106" s="4">
        <f>SUMIF('R8'!$V$7:$AA$7,B106,'R8'!$V$44:$AA$44)</f>
        <v>1</v>
      </c>
      <c r="I106" s="5">
        <f>SUMIF('R8'!$V$7:$AA$7,B106,'R8'!$V$45:$AA$45)</f>
        <v>1</v>
      </c>
      <c r="J106" s="5">
        <f t="shared" si="87"/>
        <v>1</v>
      </c>
      <c r="K106" s="58">
        <f t="shared" si="89"/>
        <v>-9.9501662508324935E-3</v>
      </c>
      <c r="L106" s="27">
        <f>SUMIF('R8'!$V$7:$AA$7,B106,'R8'!$V$36:$AA$36)</f>
        <v>1.6916615264798009</v>
      </c>
      <c r="M106" s="24">
        <f>SUMIF('R8'!$V$7:$AA$7,B106,'R8'!$V$37:$AA$37)</f>
        <v>8.6572329419373588</v>
      </c>
      <c r="N106" s="24">
        <f t="shared" si="55"/>
        <v>10.348894468417161</v>
      </c>
      <c r="O106" s="58"/>
      <c r="P106" s="40">
        <f t="shared" si="56"/>
        <v>5.1175916732895734</v>
      </c>
      <c r="Q106" s="58">
        <f t="shared" si="90"/>
        <v>-7.0410688107298749E-3</v>
      </c>
      <c r="R106" s="27">
        <f>SUMIF('R8'!$V$7:$AA$7,B106,'R8'!$V$40:$AA$40)</f>
        <v>204073.8451605154</v>
      </c>
      <c r="S106" s="58">
        <f t="shared" si="91"/>
        <v>-1.1864181886693624E-2</v>
      </c>
      <c r="T106" s="27">
        <f>SUMIF('R8'!$V$7:$AA$7,B106,'R8'!$V$41:$AA$41)</f>
        <v>245034.2514273985</v>
      </c>
      <c r="U106" s="58">
        <f t="shared" si="92"/>
        <v>-4.8959869772223982E-2</v>
      </c>
      <c r="V106" s="24">
        <f t="shared" si="57"/>
        <v>1.2007136496823758</v>
      </c>
      <c r="W106" s="58">
        <f t="shared" si="93"/>
        <v>-3.7541082111929608E-2</v>
      </c>
      <c r="X106" s="27">
        <f>SUMIF('R8'!$V$7:$AA$7,B106,'R8'!$V$52:$AA$52)</f>
        <v>131754.8675937166</v>
      </c>
      <c r="Y106" s="58">
        <f t="shared" si="94"/>
        <v>-8.6534353660234528E-2</v>
      </c>
      <c r="Z106" s="27">
        <f>SUMIF('R8'!$V$7:$AA$7,B106,'R8'!$V$35:$AA$35)</f>
        <v>1363517.2204276491</v>
      </c>
      <c r="AA106" s="58">
        <f t="shared" si="95"/>
        <v>-8.6154332449844176E-2</v>
      </c>
      <c r="AB106" s="5"/>
      <c r="AC106" s="5"/>
      <c r="AD106" s="5"/>
    </row>
    <row r="107" spans="1:30" x14ac:dyDescent="0.25">
      <c r="A107" s="107"/>
      <c r="B107" s="31">
        <v>2060</v>
      </c>
      <c r="C107" s="6">
        <f>SUMIF('R8'!$V$7:$AA$7,B107,'R8'!$V$42:$AA$42)</f>
        <v>21.723960000000002</v>
      </c>
      <c r="D107" s="43">
        <f>SUMIF('R8'!$V$7:$AA$7,B107,'R8'!$V$46:$AA$46)</f>
        <v>0.79962112494024751</v>
      </c>
      <c r="E107" s="35">
        <f>SUMIF('R8'!$V$7:$AA$7,B107,'R8'!$V$47:$AA$47)</f>
        <v>0.91477656450376754</v>
      </c>
      <c r="F107" s="50">
        <f t="shared" si="86"/>
        <v>1.1440125028864454</v>
      </c>
      <c r="G107" s="58">
        <f t="shared" si="88"/>
        <v>5.7302895860257053E-2</v>
      </c>
      <c r="H107" s="4">
        <f>SUMIF('R8'!$V$7:$AA$7,B107,'R8'!$V$44:$AA$44)</f>
        <v>0.99004983374916744</v>
      </c>
      <c r="I107" s="5">
        <f>SUMIF('R8'!$V$7:$AA$7,B107,'R8'!$V$45:$AA$45)</f>
        <v>1</v>
      </c>
      <c r="J107" s="5">
        <f t="shared" si="87"/>
        <v>1.0100501670841686</v>
      </c>
      <c r="K107" s="58">
        <f t="shared" si="89"/>
        <v>0</v>
      </c>
      <c r="L107" s="27">
        <f>SUMIF('R8'!$V$7:$AA$7,B107,'R8'!$V$36:$AA$36)</f>
        <v>1.5920234791068539</v>
      </c>
      <c r="M107" s="24">
        <f>SUMIF('R8'!$V$7:$AA$7,B107,'R8'!$V$37:$AA$37)</f>
        <v>15.01588633395999</v>
      </c>
      <c r="N107" s="24">
        <f t="shared" si="55"/>
        <v>16.607909813066843</v>
      </c>
      <c r="O107" s="58"/>
      <c r="P107" s="40">
        <f t="shared" si="56"/>
        <v>9.4319503016275235</v>
      </c>
      <c r="Q107" s="58">
        <f t="shared" si="90"/>
        <v>-1.3833729165448984E-2</v>
      </c>
      <c r="R107" s="27">
        <f>SUMIF('R8'!$V$7:$AA$7,B107,'R8'!$V$40:$AA$40)</f>
        <v>316214.17301005148</v>
      </c>
      <c r="S107" s="58">
        <f t="shared" si="91"/>
        <v>-1.5520253197173562E-2</v>
      </c>
      <c r="T107" s="27">
        <f>SUMIF('R8'!$V$7:$AA$7,B107,'R8'!$V$41:$AA$41)</f>
        <v>373111.94809885242</v>
      </c>
      <c r="U107" s="58">
        <f t="shared" si="92"/>
        <v>-6.8876335572863295E-2</v>
      </c>
      <c r="V107" s="24">
        <f t="shared" si="57"/>
        <v>1.1799342975274936</v>
      </c>
      <c r="W107" s="58">
        <f t="shared" si="93"/>
        <v>-5.4197237219930347E-2</v>
      </c>
      <c r="X107" s="27">
        <f>SUMIF('R8'!$V$7:$AA$7,B107,'R8'!$V$52:$AA$52)</f>
        <v>199700.46294221809</v>
      </c>
      <c r="Y107" s="58">
        <f t="shared" si="94"/>
        <v>-0.12581950567424863</v>
      </c>
      <c r="Z107" s="27">
        <f>SUMIF('R8'!$V$7:$AA$7,B107,'R8'!$V$35:$AA$35)</f>
        <v>3316607.2781720548</v>
      </c>
      <c r="AA107" s="58">
        <f t="shared" si="95"/>
        <v>-0.1251767667938507</v>
      </c>
      <c r="AB107" s="5"/>
      <c r="AC107" s="5"/>
      <c r="AD107" s="5"/>
    </row>
    <row r="108" spans="1:30" x14ac:dyDescent="0.25">
      <c r="A108" s="107"/>
      <c r="B108" s="31">
        <v>2080</v>
      </c>
      <c r="C108" s="6">
        <f>SUMIF('R8'!$V$7:$AA$7,B108,'R8'!$V$42:$AA$42)</f>
        <v>22.424309999999998</v>
      </c>
      <c r="D108" s="43">
        <f>SUMIF('R8'!$V$7:$AA$7,B108,'R8'!$V$46:$AA$46)</f>
        <v>0.76506992271027474</v>
      </c>
      <c r="E108" s="35">
        <f>SUMIF('R8'!$V$7:$AA$7,B108,'R8'!$V$47:$AA$47)</f>
        <v>0.89122269184947989</v>
      </c>
      <c r="F108" s="50">
        <f t="shared" si="86"/>
        <v>1.1648905092129442</v>
      </c>
      <c r="G108" s="58">
        <f t="shared" si="88"/>
        <v>7.6598468673578904E-2</v>
      </c>
      <c r="H108" s="4">
        <f>SUMIF('R8'!$V$7:$AA$7,B108,'R8'!$V$44:$AA$44)</f>
        <v>0.99004983374916744</v>
      </c>
      <c r="I108" s="5">
        <f>SUMIF('R8'!$V$7:$AA$7,B108,'R8'!$V$45:$AA$45)</f>
        <v>1</v>
      </c>
      <c r="J108" s="5">
        <f t="shared" si="87"/>
        <v>1.0100501670841686</v>
      </c>
      <c r="K108" s="58">
        <f t="shared" si="89"/>
        <v>0</v>
      </c>
      <c r="L108" s="27">
        <f>SUMIF('R8'!$V$7:$AA$7,B108,'R8'!$V$36:$AA$36)</f>
        <v>1.430776514149567</v>
      </c>
      <c r="M108" s="24">
        <f>SUMIF('R8'!$V$7:$AA$7,B108,'R8'!$V$37:$AA$37)</f>
        <v>24.930255930014852</v>
      </c>
      <c r="N108" s="24">
        <f t="shared" si="55"/>
        <v>26.361032444164419</v>
      </c>
      <c r="O108" s="58"/>
      <c r="P108" s="40">
        <f t="shared" si="56"/>
        <v>17.424283725283985</v>
      </c>
      <c r="Q108" s="58">
        <f t="shared" si="90"/>
        <v>-1.8282437140660586E-2</v>
      </c>
      <c r="R108" s="27">
        <f>SUMIF('R8'!$V$7:$AA$7,B108,'R8'!$V$40:$AA$40)</f>
        <v>439981.72048855701</v>
      </c>
      <c r="S108" s="58">
        <f t="shared" si="91"/>
        <v>-2.1234515601901073E-2</v>
      </c>
      <c r="T108" s="27">
        <f>SUMIF('R8'!$V$7:$AA$7,B108,'R8'!$V$41:$AA$41)</f>
        <v>509844.95080838841</v>
      </c>
      <c r="U108" s="58">
        <f t="shared" si="92"/>
        <v>-9.0872304877057844E-2</v>
      </c>
      <c r="V108" s="24">
        <f t="shared" si="57"/>
        <v>1.1587866655965959</v>
      </c>
      <c r="W108" s="58">
        <f t="shared" si="93"/>
        <v>-7.1148595230634992E-2</v>
      </c>
      <c r="X108" s="27">
        <f>SUMIF('R8'!$V$7:$AA$7,B108,'R8'!$V$52:$AA$52)</f>
        <v>268796.01457429462</v>
      </c>
      <c r="Y108" s="58">
        <f t="shared" si="94"/>
        <v>-0.16838719701501459</v>
      </c>
      <c r="Z108" s="27">
        <f>SUMIF('R8'!$V$7:$AA$7,B108,'R8'!$V$35:$AA$35)</f>
        <v>7085740.4610550702</v>
      </c>
      <c r="AA108" s="58">
        <f t="shared" si="95"/>
        <v>-0.16757024386474845</v>
      </c>
      <c r="AB108" s="5"/>
      <c r="AC108" s="5"/>
      <c r="AD108" s="5"/>
    </row>
    <row r="109" spans="1:30" ht="15.75" thickBot="1" x14ac:dyDescent="0.3">
      <c r="A109" s="108"/>
      <c r="B109" s="32">
        <v>2100</v>
      </c>
      <c r="C109" s="9">
        <f>SUMIF('R8'!$V$7:$AA$7,B109,'R8'!$V$42:$AA$42)</f>
        <v>22.96969</v>
      </c>
      <c r="D109" s="44">
        <f>SUMIF('R8'!$V$7:$AA$7,B109,'R8'!$V$46:$AA$46)</f>
        <v>0.74122794075700271</v>
      </c>
      <c r="E109" s="36">
        <f>SUMIF('R8'!$V$7:$AA$7,B109,'R8'!$V$47:$AA$47)</f>
        <v>0.8742351694325774</v>
      </c>
      <c r="F109" s="51">
        <f t="shared" si="86"/>
        <v>1.1794417362892942</v>
      </c>
      <c r="G109" s="59">
        <f t="shared" si="88"/>
        <v>9.0046795931652657E-2</v>
      </c>
      <c r="H109" s="7">
        <f>SUMIF('R8'!$V$7:$AA$7,B109,'R8'!$V$44:$AA$44)</f>
        <v>0.98019867330675492</v>
      </c>
      <c r="I109" s="8">
        <f>SUMIF('R8'!$V$7:$AA$7,B109,'R8'!$V$45:$AA$45)</f>
        <v>1</v>
      </c>
      <c r="J109" s="8">
        <f t="shared" si="87"/>
        <v>1.0202013400267562</v>
      </c>
      <c r="K109" s="59">
        <f t="shared" si="89"/>
        <v>1.0050167084167906E-2</v>
      </c>
      <c r="L109" s="28">
        <f>SUMIF('R8'!$V$7:$AA$7,B109,'R8'!$V$36:$AA$36)</f>
        <v>1.254083059933752</v>
      </c>
      <c r="M109" s="25">
        <f>SUMIF('R8'!$V$7:$AA$7,B109,'R8'!$V$37:$AA$37)</f>
        <v>40.324098577890979</v>
      </c>
      <c r="N109" s="25">
        <f t="shared" si="55"/>
        <v>41.578181637824734</v>
      </c>
      <c r="O109" s="59"/>
      <c r="P109" s="41">
        <f t="shared" si="56"/>
        <v>32.154248682715746</v>
      </c>
      <c r="Q109" s="59">
        <f t="shared" si="90"/>
        <v>-2.3768137593420086E-2</v>
      </c>
      <c r="R109" s="33">
        <f>SUMIF('R8'!$V$7:$AA$7,B109,'R8'!$V$40:$AA$40)</f>
        <v>576547.16020209994</v>
      </c>
      <c r="S109" s="59">
        <f t="shared" si="91"/>
        <v>-2.5702867091835287E-2</v>
      </c>
      <c r="T109" s="28">
        <f>SUMIF('R8'!$V$7:$AA$7,B109,'R8'!$V$41:$AA$41)</f>
        <v>659852.613943159</v>
      </c>
      <c r="U109" s="59">
        <f t="shared" si="92"/>
        <v>-0.10618779253835398</v>
      </c>
      <c r="V109" s="25">
        <f t="shared" si="57"/>
        <v>1.1444902680846742</v>
      </c>
      <c r="W109" s="59">
        <f t="shared" si="93"/>
        <v>-8.2608192847987219E-2</v>
      </c>
      <c r="X109" s="28">
        <f>SUMIF('R8'!$V$7:$AA$7,B109,'R8'!$V$52:$AA$52)</f>
        <v>343414.03718741809</v>
      </c>
      <c r="Y109" s="59">
        <f t="shared" si="94"/>
        <v>-0.19792883318427307</v>
      </c>
      <c r="Z109" s="28">
        <f>SUMIF('R8'!$V$7:$AA$7,B109,'R8'!$V$35:$AA$35)</f>
        <v>14278531.21515717</v>
      </c>
      <c r="AA109" s="59">
        <f t="shared" si="95"/>
        <v>-0.19699497932695734</v>
      </c>
      <c r="AB109" s="5"/>
      <c r="AC109" s="5"/>
      <c r="AD109" s="5"/>
    </row>
    <row r="110" spans="1:30" x14ac:dyDescent="0.25">
      <c r="A110" s="91" t="s">
        <v>6</v>
      </c>
      <c r="B110" s="21">
        <v>2000</v>
      </c>
      <c r="C110" s="3">
        <f>SUMIF('R9'!$V$7:$AA$7,B110,'R9'!$V$17:$AA$17)</f>
        <v>17.474866370000001</v>
      </c>
      <c r="D110" s="42">
        <f>SUMIF('R9'!$V$7:$AA$7,B110,'R9'!$V$21:$AA$21)</f>
        <v>0.96439833420871968</v>
      </c>
      <c r="E110" s="34">
        <f>SUMIF('R9'!$V$7:$AA$7,B110,'R9'!$V$22:$AA$22)</f>
        <v>0.99844694181596516</v>
      </c>
      <c r="F110" s="45">
        <f>E110/D110</f>
        <v>1.0353055437773875</v>
      </c>
      <c r="G110" s="53"/>
      <c r="H110" s="1">
        <f>SUMIF('R9'!$V$7:$AA$7,B110,'R9'!$V$19:$AA$19)</f>
        <v>0.91305087301969401</v>
      </c>
      <c r="I110" s="2">
        <f>SUMIF('R9'!$V$7:$AA$7,B110,'R9'!$V$20:$AA$20)</f>
        <v>0.99563611390647888</v>
      </c>
      <c r="J110" s="2">
        <f>I110/H110</f>
        <v>1.0904497693689885</v>
      </c>
      <c r="K110" s="53"/>
      <c r="L110" s="26">
        <f>SUMIF('R9'!$V$7:$AA$7,B110,'R9'!$V$11:$AA$11)</f>
        <v>11.890499999999999</v>
      </c>
      <c r="M110" s="24">
        <f>SUMIF('R9'!$V$7:$AA$7,B110,'R9'!$V$12:$AA$12)</f>
        <v>17.795100000000001</v>
      </c>
      <c r="N110" s="23">
        <f t="shared" si="55"/>
        <v>29.685600000000001</v>
      </c>
      <c r="O110" s="90">
        <f>N110</f>
        <v>29.685600000000001</v>
      </c>
      <c r="P110" s="38">
        <f t="shared" si="56"/>
        <v>1.4965813044026746</v>
      </c>
      <c r="Q110" s="53"/>
      <c r="R110" s="26">
        <f>SUMIF('R9'!$V$7:$AA$7,B110,'R9'!$V$15:$AA$15)</f>
        <v>12693901918.097731</v>
      </c>
      <c r="S110" s="53"/>
      <c r="T110" s="26">
        <f>SUMIF('R9'!$V$7:$AA$7,B110,'R9'!$V$16:$AA$16)</f>
        <v>16550655338.802481</v>
      </c>
      <c r="U110" s="53"/>
      <c r="V110" s="23">
        <f t="shared" si="57"/>
        <v>1.3038272585993567</v>
      </c>
      <c r="W110" s="90">
        <f>V110</f>
        <v>1.3038272585993567</v>
      </c>
      <c r="X110" s="26">
        <f>SUMIF('R9'!$V$7:$AA$7,B110,'R9'!$V$27:$AA$27)</f>
        <v>5152994447.4046478</v>
      </c>
      <c r="Y110" s="87">
        <f>X110/1000000/1000</f>
        <v>5.1529944474046481</v>
      </c>
      <c r="Z110" s="26">
        <f>SUMIF('R9'!$V$7:$AA$7,B110,'R9'!$V$10:$AA$10)</f>
        <v>267000000000</v>
      </c>
      <c r="AA110" s="53"/>
      <c r="AB110" s="5"/>
      <c r="AC110" s="5"/>
      <c r="AD110" s="5"/>
    </row>
    <row r="111" spans="1:30" s="10" customFormat="1" x14ac:dyDescent="0.25">
      <c r="A111" s="92"/>
      <c r="B111" s="31">
        <v>2020</v>
      </c>
      <c r="C111" s="14">
        <f>SUMIF('R9'!$V$7:$AA$7,B111,'R9'!$V$17:$AA$17)</f>
        <v>17.474866370000001</v>
      </c>
      <c r="D111" s="43">
        <f>SUMIF('R9'!$V$7:$AA$7,B111,'R9'!$V$21:$AA$21)</f>
        <v>0.96439833420871968</v>
      </c>
      <c r="E111" s="35">
        <f>SUMIF('R9'!$V$7:$AA$7,B111,'R9'!$V$22:$AA$22)</f>
        <v>0.99844694181596516</v>
      </c>
      <c r="F111" s="46">
        <f t="shared" ref="F111:F133" si="96">E111/D111</f>
        <v>1.0353055437773875</v>
      </c>
      <c r="G111" s="54"/>
      <c r="H111" s="4">
        <f>SUMIF('R9'!$V$7:$AA$7,B111,'R9'!$V$19:$AA$19)</f>
        <v>0.91305087301969401</v>
      </c>
      <c r="I111" s="5">
        <f>SUMIF('R9'!$V$7:$AA$7,B111,'R9'!$V$20:$AA$20)</f>
        <v>0.99563611390647888</v>
      </c>
      <c r="J111" s="5">
        <f t="shared" ref="J111:J133" si="97">I111/H111</f>
        <v>1.0904497693689885</v>
      </c>
      <c r="K111" s="55"/>
      <c r="L111" s="27">
        <f>SUMIF('R9'!$V$7:$AA$7,B111,'R9'!$V$11:$AA$11)</f>
        <v>10.53334762993039</v>
      </c>
      <c r="M111" s="24">
        <f>SUMIF('R9'!$V$7:$AA$7,B111,'R9'!$V$12:$AA$12)</f>
        <v>29.253898316069609</v>
      </c>
      <c r="N111" s="24">
        <f t="shared" si="55"/>
        <v>39.787245945999999</v>
      </c>
      <c r="O111" s="55">
        <f t="shared" ref="O111:O115" si="98">N111</f>
        <v>39.787245945999999</v>
      </c>
      <c r="P111" s="39">
        <f t="shared" si="56"/>
        <v>2.7772650579712175</v>
      </c>
      <c r="Q111" s="55"/>
      <c r="R111" s="27">
        <f>SUMIF('R9'!$V$7:$AA$7,B111,'R9'!$V$15:$AA$15)</f>
        <v>30828552397.620178</v>
      </c>
      <c r="S111" s="55"/>
      <c r="T111" s="27">
        <f>SUMIF('R9'!$V$7:$AA$7,B111,'R9'!$V$16:$AA$16)</f>
        <v>40195106959.175758</v>
      </c>
      <c r="U111" s="55"/>
      <c r="V111" s="24">
        <f t="shared" si="57"/>
        <v>1.3038272585993573</v>
      </c>
      <c r="W111" s="55">
        <f t="shared" ref="W111:W115" si="99">V111</f>
        <v>1.3038272585993573</v>
      </c>
      <c r="X111" s="27">
        <f>SUMIF('R9'!$V$7:$AA$7,B111,'R9'!$V$27:$AA$27)</f>
        <v>25452264741.496521</v>
      </c>
      <c r="Y111" s="88">
        <f t="shared" ref="Y111:Y115" si="100">X111/1000000/1000</f>
        <v>25.452264741496521</v>
      </c>
      <c r="Z111" s="27">
        <f>SUMIF('R9'!$V$7:$AA$7,B111,'R9'!$V$10:$AA$10)</f>
        <v>1012675517152.626</v>
      </c>
      <c r="AA111" s="55"/>
      <c r="AB111" s="13"/>
      <c r="AC111" s="13"/>
      <c r="AD111" s="13"/>
    </row>
    <row r="112" spans="1:30" x14ac:dyDescent="0.25">
      <c r="A112" s="92"/>
      <c r="B112" s="31">
        <v>2040</v>
      </c>
      <c r="C112" s="6">
        <f>SUMIF('R9'!$V$7:$AA$7,B112,'R9'!$V$17:$AA$17)</f>
        <v>17.474866370000001</v>
      </c>
      <c r="D112" s="43">
        <f>SUMIF('R9'!$V$7:$AA$7,B112,'R9'!$V$21:$AA$21)</f>
        <v>0.96439833420871968</v>
      </c>
      <c r="E112" s="35">
        <f>SUMIF('R9'!$V$7:$AA$7,B112,'R9'!$V$22:$AA$22)</f>
        <v>0.99844694181596516</v>
      </c>
      <c r="F112" s="47">
        <f t="shared" si="96"/>
        <v>1.0353055437773875</v>
      </c>
      <c r="G112" s="55"/>
      <c r="H112" s="4">
        <f>SUMIF('R9'!$V$7:$AA$7,B112,'R9'!$V$19:$AA$19)</f>
        <v>0.91305087301969401</v>
      </c>
      <c r="I112" s="5">
        <f>SUMIF('R9'!$V$7:$AA$7,B112,'R9'!$V$20:$AA$20)</f>
        <v>0.99563611390647888</v>
      </c>
      <c r="J112" s="5">
        <f t="shared" si="97"/>
        <v>1.0904497693689885</v>
      </c>
      <c r="K112" s="55"/>
      <c r="L112" s="27">
        <f>SUMIF('R9'!$V$7:$AA$7,B112,'R9'!$V$11:$AA$11)</f>
        <v>7.6693701468347113</v>
      </c>
      <c r="M112" s="24">
        <f>SUMIF('R9'!$V$7:$AA$7,B112,'R9'!$V$12:$AA$12)</f>
        <v>39.527017251165283</v>
      </c>
      <c r="N112" s="24">
        <f t="shared" si="55"/>
        <v>47.196387397999992</v>
      </c>
      <c r="O112" s="55">
        <f t="shared" si="98"/>
        <v>47.196387397999992</v>
      </c>
      <c r="P112" s="40">
        <f t="shared" si="56"/>
        <v>5.1538805005361237</v>
      </c>
      <c r="Q112" s="55"/>
      <c r="R112" s="27">
        <f>SUMIF('R9'!$V$7:$AA$7,B112,'R9'!$V$15:$AA$15)</f>
        <v>49660386078.816383</v>
      </c>
      <c r="S112" s="55"/>
      <c r="T112" s="27">
        <f>SUMIF('R9'!$V$7:$AA$7,B112,'R9'!$V$16:$AA$16)</f>
        <v>64748565042.128838</v>
      </c>
      <c r="U112" s="55"/>
      <c r="V112" s="24">
        <f t="shared" si="57"/>
        <v>1.3038272585993571</v>
      </c>
      <c r="W112" s="55">
        <f t="shared" si="99"/>
        <v>1.3038272585993571</v>
      </c>
      <c r="X112" s="27">
        <f>SUMIF('R9'!$V$7:$AA$7,B112,'R9'!$V$27:$AA$27)</f>
        <v>43940236524.539932</v>
      </c>
      <c r="Y112" s="88">
        <f t="shared" si="100"/>
        <v>43.940236524539934</v>
      </c>
      <c r="Z112" s="27">
        <f>SUMIF('R9'!$V$7:$AA$7,B112,'R9'!$V$10:$AA$10)</f>
        <v>2073820425371.936</v>
      </c>
      <c r="AA112" s="55"/>
      <c r="AB112" s="5"/>
      <c r="AC112" s="5"/>
      <c r="AD112" s="5"/>
    </row>
    <row r="113" spans="1:30" x14ac:dyDescent="0.25">
      <c r="A113" s="92"/>
      <c r="B113" s="31">
        <v>2060</v>
      </c>
      <c r="C113" s="6">
        <f>SUMIF('R9'!$V$7:$AA$7,B113,'R9'!$V$17:$AA$17)</f>
        <v>17.474866370000001</v>
      </c>
      <c r="D113" s="43">
        <f>SUMIF('R9'!$V$7:$AA$7,B113,'R9'!$V$21:$AA$21)</f>
        <v>0.96439833420871968</v>
      </c>
      <c r="E113" s="35">
        <f>SUMIF('R9'!$V$7:$AA$7,B113,'R9'!$V$22:$AA$22)</f>
        <v>0.99844694181596516</v>
      </c>
      <c r="F113" s="47">
        <f t="shared" si="96"/>
        <v>1.0353055437773875</v>
      </c>
      <c r="G113" s="55"/>
      <c r="H113" s="4">
        <f>SUMIF('R9'!$V$7:$AA$7,B113,'R9'!$V$19:$AA$19)</f>
        <v>0.91305087301969401</v>
      </c>
      <c r="I113" s="5">
        <f>SUMIF('R9'!$V$7:$AA$7,B113,'R9'!$V$20:$AA$20)</f>
        <v>0.99563611390647888</v>
      </c>
      <c r="J113" s="5">
        <f t="shared" si="97"/>
        <v>1.0904497693689885</v>
      </c>
      <c r="K113" s="55"/>
      <c r="L113" s="27">
        <f>SUMIF('R9'!$V$7:$AA$7,B113,'R9'!$V$11:$AA$11)</f>
        <v>4.8829147897699654</v>
      </c>
      <c r="M113" s="24">
        <f>SUMIF('R9'!$V$7:$AA$7,B113,'R9'!$V$12:$AA$12)</f>
        <v>46.70146504323003</v>
      </c>
      <c r="N113" s="24">
        <f t="shared" si="55"/>
        <v>51.584379832999993</v>
      </c>
      <c r="O113" s="55">
        <f t="shared" si="98"/>
        <v>51.584379832999993</v>
      </c>
      <c r="P113" s="40">
        <f t="shared" si="56"/>
        <v>9.5642596797045769</v>
      </c>
      <c r="Q113" s="55"/>
      <c r="R113" s="27">
        <f>SUMIF('R9'!$V$7:$AA$7,B113,'R9'!$V$15:$AA$15)</f>
        <v>73633303313.683334</v>
      </c>
      <c r="S113" s="55"/>
      <c r="T113" s="27">
        <f>SUMIF('R9'!$V$7:$AA$7,B113,'R9'!$V$16:$AA$16)</f>
        <v>96005108001.094727</v>
      </c>
      <c r="U113" s="55"/>
      <c r="V113" s="24">
        <f t="shared" si="57"/>
        <v>1.3038272585993576</v>
      </c>
      <c r="W113" s="55">
        <f t="shared" si="99"/>
        <v>1.3038272585993576</v>
      </c>
      <c r="X113" s="27">
        <f>SUMIF('R9'!$V$7:$AA$7,B113,'R9'!$V$27:$AA$27)</f>
        <v>68023167479.373451</v>
      </c>
      <c r="Y113" s="88">
        <f t="shared" si="100"/>
        <v>68.023167479373456</v>
      </c>
      <c r="Z113" s="27">
        <f>SUMIF('R9'!$V$7:$AA$7,B113,'R9'!$V$10:$AA$10)</f>
        <v>3508932908699.7729</v>
      </c>
      <c r="AA113" s="55"/>
      <c r="AB113" s="5"/>
      <c r="AC113" s="5"/>
      <c r="AD113" s="5"/>
    </row>
    <row r="114" spans="1:30" x14ac:dyDescent="0.25">
      <c r="A114" s="92"/>
      <c r="B114" s="31">
        <v>2080</v>
      </c>
      <c r="C114" s="6">
        <f>SUMIF('R9'!$V$7:$AA$7,B114,'R9'!$V$17:$AA$17)</f>
        <v>17.474866370000001</v>
      </c>
      <c r="D114" s="43">
        <f>SUMIF('R9'!$V$7:$AA$7,B114,'R9'!$V$21:$AA$21)</f>
        <v>0.96439833420871968</v>
      </c>
      <c r="E114" s="35">
        <f>SUMIF('R9'!$V$7:$AA$7,B114,'R9'!$V$22:$AA$22)</f>
        <v>0.99844694181596516</v>
      </c>
      <c r="F114" s="47">
        <f t="shared" si="96"/>
        <v>1.0353055437773875</v>
      </c>
      <c r="G114" s="55"/>
      <c r="H114" s="4">
        <f>SUMIF('R9'!$V$7:$AA$7,B114,'R9'!$V$19:$AA$19)</f>
        <v>0.91305087301969401</v>
      </c>
      <c r="I114" s="5">
        <f>SUMIF('R9'!$V$7:$AA$7,B114,'R9'!$V$20:$AA$20)</f>
        <v>0.99563611390647888</v>
      </c>
      <c r="J114" s="5">
        <f t="shared" si="97"/>
        <v>1.0904497693689885</v>
      </c>
      <c r="K114" s="55"/>
      <c r="L114" s="27">
        <f>SUMIF('R9'!$V$7:$AA$7,B114,'R9'!$V$11:$AA$11)</f>
        <v>2.7963236207692268</v>
      </c>
      <c r="M114" s="24">
        <f>SUMIF('R9'!$V$7:$AA$7,B114,'R9'!$V$12:$AA$12)</f>
        <v>49.631317600230773</v>
      </c>
      <c r="N114" s="24">
        <f t="shared" si="55"/>
        <v>52.427641221000002</v>
      </c>
      <c r="O114" s="55">
        <f t="shared" si="98"/>
        <v>52.427641221000002</v>
      </c>
      <c r="P114" s="40">
        <f t="shared" si="56"/>
        <v>17.748774580882717</v>
      </c>
      <c r="Q114" s="55"/>
      <c r="R114" s="27">
        <f>SUMIF('R9'!$V$7:$AA$7,B114,'R9'!$V$15:$AA$15)</f>
        <v>100124513929.9736</v>
      </c>
      <c r="S114" s="55"/>
      <c r="T114" s="27">
        <f>SUMIF('R9'!$V$7:$AA$7,B114,'R9'!$V$16:$AA$16)</f>
        <v>130545070515.91071</v>
      </c>
      <c r="U114" s="55"/>
      <c r="V114" s="24">
        <f t="shared" si="57"/>
        <v>1.303827258599358</v>
      </c>
      <c r="W114" s="55">
        <f t="shared" si="99"/>
        <v>1.303827258599358</v>
      </c>
      <c r="X114" s="27">
        <f>SUMIF('R9'!$V$7:$AA$7,B114,'R9'!$V$27:$AA$27)</f>
        <v>95609715854.487335</v>
      </c>
      <c r="Y114" s="88">
        <f t="shared" si="100"/>
        <v>95.609715854487334</v>
      </c>
      <c r="Z114" s="27">
        <f>SUMIF('R9'!$V$7:$AA$7,B114,'R9'!$V$10:$AA$10)</f>
        <v>5012591880060.8174</v>
      </c>
      <c r="AA114" s="55"/>
      <c r="AB114" s="5"/>
      <c r="AC114" s="5"/>
      <c r="AD114" s="5"/>
    </row>
    <row r="115" spans="1:30" ht="15.75" thickBot="1" x14ac:dyDescent="0.3">
      <c r="A115" s="93"/>
      <c r="B115" s="32">
        <v>2100</v>
      </c>
      <c r="C115" s="9">
        <f>SUMIF('R9'!$V$7:$AA$7,B115,'R9'!$V$17:$AA$17)</f>
        <v>17.474866370000001</v>
      </c>
      <c r="D115" s="44">
        <f>SUMIF('R9'!$V$7:$AA$7,B115,'R9'!$V$21:$AA$21)</f>
        <v>0.96439833420871968</v>
      </c>
      <c r="E115" s="36">
        <f>SUMIF('R9'!$V$7:$AA$7,B115,'R9'!$V$22:$AA$22)</f>
        <v>0.99844694181596516</v>
      </c>
      <c r="F115" s="48">
        <f t="shared" si="96"/>
        <v>1.0353055437773875</v>
      </c>
      <c r="G115" s="56"/>
      <c r="H115" s="7">
        <f>SUMIF('R9'!$V$7:$AA$7,B115,'R9'!$V$19:$AA$19)</f>
        <v>0.91305087301969401</v>
      </c>
      <c r="I115" s="8">
        <f>SUMIF('R9'!$V$7:$AA$7,B115,'R9'!$V$20:$AA$20)</f>
        <v>0.99563611390647888</v>
      </c>
      <c r="J115" s="8">
        <f t="shared" si="97"/>
        <v>1.0904497693689885</v>
      </c>
      <c r="K115" s="56"/>
      <c r="L115" s="28">
        <f>SUMIF('R9'!$V$7:$AA$7,B115,'R9'!$V$11:$AA$11)</f>
        <v>1.46562105</v>
      </c>
      <c r="M115" s="25">
        <f>SUMIF('R9'!$V$7:$AA$7,B115,'R9'!$V$12:$AA$12)</f>
        <v>48.273310400000007</v>
      </c>
      <c r="N115" s="25">
        <f t="shared" si="55"/>
        <v>49.73893145000001</v>
      </c>
      <c r="O115" s="56">
        <f t="shared" si="98"/>
        <v>49.73893145000001</v>
      </c>
      <c r="P115" s="41">
        <f t="shared" si="56"/>
        <v>32.937102261188187</v>
      </c>
      <c r="Q115" s="56"/>
      <c r="R115" s="28">
        <f>SUMIF('R9'!$V$7:$AA$7,B115,'R9'!$V$15:$AA$15)</f>
        <v>128627500430.7878</v>
      </c>
      <c r="S115" s="56"/>
      <c r="T115" s="28">
        <f>SUMIF('R9'!$V$7:$AA$7,B115,'R9'!$V$16:$AA$16)</f>
        <v>167708041267.16171</v>
      </c>
      <c r="U115" s="56"/>
      <c r="V115" s="25">
        <f t="shared" si="57"/>
        <v>1.3038272585993573</v>
      </c>
      <c r="W115" s="56">
        <f t="shared" si="99"/>
        <v>1.3038272585993573</v>
      </c>
      <c r="X115" s="28">
        <f>SUMIF('R9'!$V$7:$AA$7,B115,'R9'!$V$27:$AA$27)</f>
        <v>126181527976.91209</v>
      </c>
      <c r="Y115" s="89">
        <f t="shared" si="100"/>
        <v>126.18152797691209</v>
      </c>
      <c r="Z115" s="28">
        <f>SUMIF('R9'!$V$7:$AA$7,B115,'R9'!$V$10:$AA$10)</f>
        <v>6276134370299.8877</v>
      </c>
      <c r="AA115" s="56"/>
      <c r="AB115" s="5"/>
      <c r="AC115" s="5"/>
      <c r="AD115" s="5"/>
    </row>
    <row r="116" spans="1:30" x14ac:dyDescent="0.25">
      <c r="A116" s="91" t="s">
        <v>73</v>
      </c>
      <c r="B116" s="21">
        <v>2000</v>
      </c>
      <c r="C116" s="3">
        <f>SUMIF('R9'!$V$7:$AA$7,B116,'R9'!$V$42:$AA$42)</f>
        <v>17.474866370000001</v>
      </c>
      <c r="D116" s="42">
        <f>SUMIF('R9'!$V$7:$AA$7,B116,'R9'!$V$46:$AA$46)</f>
        <v>0.96439833420871968</v>
      </c>
      <c r="E116" s="34">
        <f>SUMIF('R9'!$V$7:$AA$7,B116,'R9'!$V$47:$AA$47)</f>
        <v>0.99844694181596516</v>
      </c>
      <c r="F116" s="49">
        <f t="shared" si="96"/>
        <v>1.0353055437773875</v>
      </c>
      <c r="G116" s="57">
        <f t="shared" ref="G116:G121" si="101">(F116-$F110)/$F110</f>
        <v>0</v>
      </c>
      <c r="H116" s="1">
        <f>SUMIF('R9'!$V$7:$AA$7,B116,'R9'!$V$44:$AA$44)</f>
        <v>0.91305087301969401</v>
      </c>
      <c r="I116" s="2">
        <f>SUMIF('R9'!$V$7:$AA$7,B116,'R9'!$V$45:$AA$45)</f>
        <v>0.99563611390647888</v>
      </c>
      <c r="J116" s="2">
        <f t="shared" si="97"/>
        <v>1.0904497693689885</v>
      </c>
      <c r="K116" s="57">
        <f t="shared" ref="K116:K121" si="102">(J116-$J110)/$J110</f>
        <v>0</v>
      </c>
      <c r="L116" s="26">
        <f>SUMIF('R9'!$V$7:$AA$7,B116,'R9'!$V$36:$AA$36)</f>
        <v>11.890499999999999</v>
      </c>
      <c r="M116" s="23">
        <f>SUMIF('R9'!$V$7:$AA$7,B116,'R9'!$V$37:$AA$37)</f>
        <v>17.795100000000001</v>
      </c>
      <c r="N116" s="23">
        <f t="shared" si="55"/>
        <v>29.685600000000001</v>
      </c>
      <c r="O116" s="57">
        <f t="shared" ref="O116:O121" si="103">(N116-$N110)/$N110</f>
        <v>0</v>
      </c>
      <c r="P116" s="38">
        <f t="shared" si="56"/>
        <v>1.4965813044026746</v>
      </c>
      <c r="Q116" s="57">
        <f t="shared" ref="Q116:Q121" si="104">(P116-$P110)/$P110</f>
        <v>0</v>
      </c>
      <c r="R116" s="26">
        <f>SUMIF('R9'!$V$7:$AA$7,B116,'R9'!$V$40:$AA$40)</f>
        <v>12693901918.097731</v>
      </c>
      <c r="S116" s="57">
        <f t="shared" ref="S116:S121" si="105">(R116-$R110)/$R110</f>
        <v>0</v>
      </c>
      <c r="T116" s="26">
        <f>SUMIF('R9'!$V$7:$AA$7,B116,'R9'!$V$41:$AA$41)</f>
        <v>16550655338.802481</v>
      </c>
      <c r="U116" s="57">
        <f t="shared" ref="U116:U121" si="106">(T116-$T110)/$T110</f>
        <v>0</v>
      </c>
      <c r="V116" s="23">
        <f t="shared" si="57"/>
        <v>1.3038272585993567</v>
      </c>
      <c r="W116" s="57">
        <f t="shared" ref="W116:W121" si="107">(V116-$V110)/$V110</f>
        <v>0</v>
      </c>
      <c r="X116" s="26">
        <f>SUMIF('R9'!$V$7:$AA$7,B116,'R9'!$V$52:$AA$52)</f>
        <v>5152994447.4046478</v>
      </c>
      <c r="Y116" s="57">
        <f t="shared" ref="Y116:Y121" si="108">(X116-$X110)/$X110</f>
        <v>0</v>
      </c>
      <c r="Z116" s="26">
        <f>SUMIF('R9'!$V$7:$AA$7,B116,'R9'!$V$35:$AA$35)</f>
        <v>267000000000</v>
      </c>
      <c r="AA116" s="57">
        <f t="shared" ref="AA116:AA121" si="109">(Z116-$Z110)/$Z110</f>
        <v>0</v>
      </c>
      <c r="AB116" s="5"/>
      <c r="AC116" s="5"/>
      <c r="AD116" s="5"/>
    </row>
    <row r="117" spans="1:30" x14ac:dyDescent="0.25">
      <c r="A117" s="92"/>
      <c r="B117" s="31">
        <v>2020</v>
      </c>
      <c r="C117" s="14">
        <f>SUMIF('R9'!$V$7:$AA$7,B117,'R9'!$V$42:$AA$42)</f>
        <v>18.23406022</v>
      </c>
      <c r="D117" s="43">
        <f>SUMIF('R9'!$V$7:$AA$7,B117,'R9'!$V$46:$AA$46)</f>
        <v>0.96439833420871968</v>
      </c>
      <c r="E117" s="35">
        <f>SUMIF('R9'!$V$7:$AA$7,B117,'R9'!$V$47:$AA$47)</f>
        <v>0.99844694181596516</v>
      </c>
      <c r="F117" s="50">
        <f t="shared" si="96"/>
        <v>1.0353055437773875</v>
      </c>
      <c r="G117" s="58">
        <f t="shared" si="101"/>
        <v>0</v>
      </c>
      <c r="H117" s="4">
        <f>SUMIF('R9'!$V$7:$AA$7,B117,'R9'!$V$44:$AA$44)</f>
        <v>0.94897959738191817</v>
      </c>
      <c r="I117" s="5">
        <f>SUMIF('R9'!$V$7:$AA$7,B117,'R9'!$V$45:$AA$45)</f>
        <v>0.99401862775485128</v>
      </c>
      <c r="J117" s="13">
        <f t="shared" si="97"/>
        <v>1.0474604833414634</v>
      </c>
      <c r="K117" s="58">
        <f t="shared" si="102"/>
        <v>-3.9423444559396635E-2</v>
      </c>
      <c r="L117" s="27">
        <f>SUMIF('R9'!$V$7:$AA$7,B117,'R9'!$V$36:$AA$36)</f>
        <v>10.455655722178619</v>
      </c>
      <c r="M117" s="24">
        <f>SUMIF('R9'!$V$7:$AA$7,B117,'R9'!$V$37:$AA$37)</f>
        <v>29.331590223821379</v>
      </c>
      <c r="N117" s="24">
        <f t="shared" si="55"/>
        <v>39.787245945999999</v>
      </c>
      <c r="O117" s="58">
        <f t="shared" si="103"/>
        <v>0</v>
      </c>
      <c r="P117" s="39">
        <f t="shared" si="56"/>
        <v>2.8053324442964374</v>
      </c>
      <c r="Q117" s="58">
        <f t="shared" si="104"/>
        <v>1.0106124456742709E-2</v>
      </c>
      <c r="R117" s="27">
        <f>SUMIF('R9'!$V$7:$AA$7,B117,'R9'!$V$40:$AA$40)</f>
        <v>30831484624.524731</v>
      </c>
      <c r="S117" s="58">
        <f t="shared" si="105"/>
        <v>9.5113999085432707E-5</v>
      </c>
      <c r="T117" s="27">
        <f>SUMIF('R9'!$V$7:$AA$7,B117,'R9'!$V$41:$AA$41)</f>
        <v>40198930076.542282</v>
      </c>
      <c r="U117" s="58">
        <f t="shared" si="106"/>
        <v>9.5113999084682114E-5</v>
      </c>
      <c r="V117" s="24">
        <f t="shared" si="57"/>
        <v>1.3038272585993562</v>
      </c>
      <c r="W117" s="58">
        <f t="shared" si="107"/>
        <v>-8.5151082499825855E-16</v>
      </c>
      <c r="X117" s="27">
        <f>SUMIF('R9'!$V$7:$AA$7,B117,'R9'!$V$52:$AA$52)</f>
        <v>25462032411.44323</v>
      </c>
      <c r="Y117" s="58">
        <f t="shared" si="108"/>
        <v>3.837642758282251E-4</v>
      </c>
      <c r="Z117" s="27">
        <f>SUMIF('R9'!$V$7:$AA$7,B117,'R9'!$V$35:$AA$35)</f>
        <v>1013064145839.115</v>
      </c>
      <c r="AA117" s="58">
        <f t="shared" si="109"/>
        <v>3.8376427582818839E-4</v>
      </c>
      <c r="AB117" s="5"/>
      <c r="AC117" s="5"/>
      <c r="AD117" s="5"/>
    </row>
    <row r="118" spans="1:30" x14ac:dyDescent="0.25">
      <c r="A118" s="92"/>
      <c r="B118" s="31">
        <v>2040</v>
      </c>
      <c r="C118" s="6">
        <f>SUMIF('R9'!$V$7:$AA$7,B118,'R9'!$V$42:$AA$42)</f>
        <v>18.683535670000001</v>
      </c>
      <c r="D118" s="43">
        <f>SUMIF('R9'!$V$7:$AA$7,B118,'R9'!$V$46:$AA$46)</f>
        <v>0.96439833420871968</v>
      </c>
      <c r="E118" s="35">
        <f>SUMIF('R9'!$V$7:$AA$7,B118,'R9'!$V$47:$AA$47)</f>
        <v>0.99844694181596516</v>
      </c>
      <c r="F118" s="50">
        <f t="shared" si="96"/>
        <v>1.0353055437773875</v>
      </c>
      <c r="G118" s="58">
        <f t="shared" si="101"/>
        <v>0</v>
      </c>
      <c r="H118" s="4">
        <f>SUMIF('R9'!$V$7:$AA$7,B118,'R9'!$V$44:$AA$44)</f>
        <v>0.96628509889521474</v>
      </c>
      <c r="I118" s="5">
        <f>SUMIF('R9'!$V$7:$AA$7,B118,'R9'!$V$45:$AA$45)</f>
        <v>0.99181149179602657</v>
      </c>
      <c r="J118" s="5">
        <f t="shared" si="97"/>
        <v>1.0264170408195232</v>
      </c>
      <c r="K118" s="58">
        <f t="shared" si="102"/>
        <v>-5.8721392170607879E-2</v>
      </c>
      <c r="L118" s="27">
        <f>SUMIF('R9'!$V$7:$AA$7,B118,'R9'!$V$36:$AA$36)</f>
        <v>7.5726903249725446</v>
      </c>
      <c r="M118" s="24">
        <f>SUMIF('R9'!$V$7:$AA$7,B118,'R9'!$V$37:$AA$37)</f>
        <v>39.623697073027451</v>
      </c>
      <c r="N118" s="24">
        <f t="shared" si="55"/>
        <v>47.196387397999999</v>
      </c>
      <c r="O118" s="58">
        <f t="shared" si="103"/>
        <v>1.5055023804432335E-16</v>
      </c>
      <c r="P118" s="40">
        <f t="shared" si="56"/>
        <v>5.232446511428039</v>
      </c>
      <c r="Q118" s="58">
        <f t="shared" si="104"/>
        <v>1.5244049776424306E-2</v>
      </c>
      <c r="R118" s="27">
        <f>SUMIF('R9'!$V$7:$AA$7,B118,'R9'!$V$40:$AA$40)</f>
        <v>49677451955.330933</v>
      </c>
      <c r="S118" s="58">
        <f t="shared" si="105"/>
        <v>3.4365170837503901E-4</v>
      </c>
      <c r="T118" s="27">
        <f>SUMIF('R9'!$V$7:$AA$7,B118,'R9'!$V$41:$AA$41)</f>
        <v>64770815997.120392</v>
      </c>
      <c r="U118" s="58">
        <f t="shared" si="106"/>
        <v>3.4365170837495184E-4</v>
      </c>
      <c r="V118" s="24">
        <f t="shared" si="57"/>
        <v>1.3038272585993569</v>
      </c>
      <c r="W118" s="58">
        <f t="shared" si="107"/>
        <v>-1.7030216499965175E-16</v>
      </c>
      <c r="X118" s="27">
        <f>SUMIF('R9'!$V$7:$AA$7,B118,'R9'!$V$52:$AA$52)</f>
        <v>43969722234.626556</v>
      </c>
      <c r="Y118" s="58">
        <f t="shared" si="108"/>
        <v>6.7104122368929077E-4</v>
      </c>
      <c r="Z118" s="27">
        <f>SUMIF('R9'!$V$7:$AA$7,B118,'R9'!$V$35:$AA$35)</f>
        <v>2075212044367.8899</v>
      </c>
      <c r="AA118" s="58">
        <f t="shared" si="109"/>
        <v>6.7104122368949709E-4</v>
      </c>
      <c r="AB118" s="5"/>
      <c r="AC118" s="5"/>
      <c r="AD118" s="5"/>
    </row>
    <row r="119" spans="1:30" x14ac:dyDescent="0.25">
      <c r="A119" s="92"/>
      <c r="B119" s="31">
        <v>2060</v>
      </c>
      <c r="C119" s="6">
        <f>SUMIF('R9'!$V$7:$AA$7,B119,'R9'!$V$42:$AA$42)</f>
        <v>19.29096251</v>
      </c>
      <c r="D119" s="43">
        <f>SUMIF('R9'!$V$7:$AA$7,B119,'R9'!$V$46:$AA$46)</f>
        <v>0.96439833420871968</v>
      </c>
      <c r="E119" s="35">
        <f>SUMIF('R9'!$V$7:$AA$7,B119,'R9'!$V$47:$AA$47)</f>
        <v>0.99844694181596516</v>
      </c>
      <c r="F119" s="50">
        <f t="shared" si="96"/>
        <v>1.0353055437773875</v>
      </c>
      <c r="G119" s="58">
        <f t="shared" si="101"/>
        <v>0</v>
      </c>
      <c r="H119" s="4">
        <f>SUMIF('R9'!$V$7:$AA$7,B119,'R9'!$V$44:$AA$44)</f>
        <v>0.98498544077575323</v>
      </c>
      <c r="I119" s="5">
        <f>SUMIF('R9'!$V$7:$AA$7,B119,'R9'!$V$45:$AA$45)</f>
        <v>0.98735216130688142</v>
      </c>
      <c r="J119" s="5">
        <f t="shared" si="97"/>
        <v>1.0024027974761376</v>
      </c>
      <c r="K119" s="58">
        <f t="shared" si="102"/>
        <v>-8.0743720954520579E-2</v>
      </c>
      <c r="L119" s="27">
        <f>SUMIF('R9'!$V$7:$AA$7,B119,'R9'!$V$36:$AA$36)</f>
        <v>4.7906601315095569</v>
      </c>
      <c r="M119" s="24">
        <f>SUMIF('R9'!$V$7:$AA$7,B119,'R9'!$V$37:$AA$37)</f>
        <v>46.793719701490453</v>
      </c>
      <c r="N119" s="24">
        <f t="shared" si="55"/>
        <v>51.584379833000007</v>
      </c>
      <c r="O119" s="58">
        <f t="shared" si="103"/>
        <v>2.7548755575250547E-16</v>
      </c>
      <c r="P119" s="40">
        <f t="shared" si="56"/>
        <v>9.7676976485379594</v>
      </c>
      <c r="Q119" s="58">
        <f t="shared" si="104"/>
        <v>2.1270644633905041E-2</v>
      </c>
      <c r="R119" s="27">
        <f>SUMIF('R9'!$V$7:$AA$7,B119,'R9'!$V$40:$AA$40)</f>
        <v>73655133894.516205</v>
      </c>
      <c r="S119" s="58">
        <f t="shared" si="105"/>
        <v>2.9647699954286433E-4</v>
      </c>
      <c r="T119" s="27">
        <f>SUMIF('R9'!$V$7:$AA$7,B119,'R9'!$V$41:$AA$41)</f>
        <v>96033571307.455612</v>
      </c>
      <c r="U119" s="58">
        <f t="shared" si="106"/>
        <v>2.9647699954216041E-4</v>
      </c>
      <c r="V119" s="24">
        <f t="shared" si="57"/>
        <v>1.3038272585993567</v>
      </c>
      <c r="W119" s="58">
        <f t="shared" si="107"/>
        <v>-6.812086599986067E-16</v>
      </c>
      <c r="X119" s="27">
        <f>SUMIF('R9'!$V$7:$AA$7,B119,'R9'!$V$52:$AA$52)</f>
        <v>68063550381.643494</v>
      </c>
      <c r="Y119" s="58">
        <f t="shared" si="108"/>
        <v>5.9366394959904883E-4</v>
      </c>
      <c r="Z119" s="27">
        <f>SUMIF('R9'!$V$7:$AA$7,B119,'R9'!$V$35:$AA$35)</f>
        <v>3511016035669.229</v>
      </c>
      <c r="AA119" s="58">
        <f t="shared" si="109"/>
        <v>5.9366394959884045E-4</v>
      </c>
      <c r="AB119" s="5"/>
      <c r="AC119" s="5"/>
      <c r="AD119" s="5"/>
    </row>
    <row r="120" spans="1:30" x14ac:dyDescent="0.25">
      <c r="A120" s="92"/>
      <c r="B120" s="31">
        <v>2080</v>
      </c>
      <c r="C120" s="6">
        <f>SUMIF('R9'!$V$7:$AA$7,B120,'R9'!$V$42:$AA$42)</f>
        <v>19.984736860000002</v>
      </c>
      <c r="D120" s="43">
        <f>SUMIF('R9'!$V$7:$AA$7,B120,'R9'!$V$46:$AA$46)</f>
        <v>0.96439833420871968</v>
      </c>
      <c r="E120" s="35">
        <f>SUMIF('R9'!$V$7:$AA$7,B120,'R9'!$V$47:$AA$47)</f>
        <v>0.99844694181596516</v>
      </c>
      <c r="F120" s="50">
        <f t="shared" si="96"/>
        <v>1.0353055437773875</v>
      </c>
      <c r="G120" s="58">
        <f t="shared" si="101"/>
        <v>0</v>
      </c>
      <c r="H120" s="4">
        <f>SUMIF('R9'!$V$7:$AA$7,B120,'R9'!$V$44:$AA$44)</f>
        <v>0.99975408912686881</v>
      </c>
      <c r="I120" s="5">
        <f>SUMIF('R9'!$V$7:$AA$7,B120,'R9'!$V$45:$AA$45)</f>
        <v>0.980182621864082</v>
      </c>
      <c r="J120" s="5">
        <f t="shared" si="97"/>
        <v>0.98042371871679024</v>
      </c>
      <c r="K120" s="58">
        <f t="shared" si="102"/>
        <v>-0.10089969638479281</v>
      </c>
      <c r="L120" s="27">
        <f>SUMIF('R9'!$V$7:$AA$7,B120,'R9'!$V$36:$AA$36)</f>
        <v>2.7267649815566051</v>
      </c>
      <c r="M120" s="24">
        <f>SUMIF('R9'!$V$7:$AA$7,B120,'R9'!$V$37:$AA$37)</f>
        <v>49.700876239443403</v>
      </c>
      <c r="N120" s="24">
        <f t="shared" si="55"/>
        <v>52.427641221000009</v>
      </c>
      <c r="O120" s="58">
        <f t="shared" si="103"/>
        <v>1.355282670004026E-16</v>
      </c>
      <c r="P120" s="40">
        <f t="shared" si="56"/>
        <v>18.227048013162868</v>
      </c>
      <c r="Q120" s="58">
        <f t="shared" si="104"/>
        <v>2.6946842448227461E-2</v>
      </c>
      <c r="R120" s="27">
        <f>SUMIF('R9'!$V$7:$AA$7,B120,'R9'!$V$40:$AA$40)</f>
        <v>100147029886.2072</v>
      </c>
      <c r="S120" s="58">
        <f t="shared" si="105"/>
        <v>2.2487955596313115E-4</v>
      </c>
      <c r="T120" s="27">
        <f>SUMIF('R9'!$V$7:$AA$7,B120,'R9'!$V$41:$AA$41)</f>
        <v>130574427433.4014</v>
      </c>
      <c r="U120" s="58">
        <f t="shared" si="106"/>
        <v>2.2487955596235361E-4</v>
      </c>
      <c r="V120" s="24">
        <f t="shared" si="57"/>
        <v>1.3038272585993569</v>
      </c>
      <c r="W120" s="58">
        <f t="shared" si="107"/>
        <v>-8.5151082499825815E-16</v>
      </c>
      <c r="X120" s="27">
        <f>SUMIF('R9'!$V$7:$AA$7,B120,'R9'!$V$52:$AA$52)</f>
        <v>95653073059.434494</v>
      </c>
      <c r="Y120" s="58">
        <f t="shared" si="108"/>
        <v>4.534811609852085E-4</v>
      </c>
      <c r="Z120" s="27">
        <f>SUMIF('R9'!$V$7:$AA$7,B120,'R9'!$V$35:$AA$35)</f>
        <v>5014864996046.1328</v>
      </c>
      <c r="AA120" s="58">
        <f t="shared" si="109"/>
        <v>4.5348116098529252E-4</v>
      </c>
      <c r="AB120" s="5"/>
      <c r="AC120" s="5"/>
      <c r="AD120" s="5"/>
    </row>
    <row r="121" spans="1:30" ht="15.75" thickBot="1" x14ac:dyDescent="0.3">
      <c r="A121" s="93"/>
      <c r="B121" s="32">
        <v>2100</v>
      </c>
      <c r="C121" s="9">
        <f>SUMIF('R9'!$V$7:$AA$7,B121,'R9'!$V$42:$AA$42)</f>
        <v>20.412206680000001</v>
      </c>
      <c r="D121" s="44">
        <f>SUMIF('R9'!$V$7:$AA$7,B121,'R9'!$V$46:$AA$46)</f>
        <v>0.96439833420871968</v>
      </c>
      <c r="E121" s="36">
        <f>SUMIF('R9'!$V$7:$AA$7,B121,'R9'!$V$47:$AA$47)</f>
        <v>0.99844694181596516</v>
      </c>
      <c r="F121" s="51">
        <f t="shared" si="96"/>
        <v>1.0353055437773875</v>
      </c>
      <c r="G121" s="59">
        <f t="shared" si="101"/>
        <v>0</v>
      </c>
      <c r="H121" s="7">
        <f>SUMIF('R9'!$V$7:$AA$7,B121,'R9'!$V$44:$AA$44)</f>
        <v>1.005354932146632</v>
      </c>
      <c r="I121" s="8">
        <f>SUMIF('R9'!$V$7:$AA$7,B121,'R9'!$V$45:$AA$45)</f>
        <v>0.97466271684181582</v>
      </c>
      <c r="J121" s="8">
        <f t="shared" si="97"/>
        <v>0.96947126400495975</v>
      </c>
      <c r="K121" s="59">
        <f t="shared" si="102"/>
        <v>-0.11094367550193118</v>
      </c>
      <c r="L121" s="28">
        <f>SUMIF('R9'!$V$7:$AA$7,B121,'R9'!$V$36:$AA$36)</f>
        <v>1.424376864052729</v>
      </c>
      <c r="M121" s="25">
        <f>SUMIF('R9'!$V$7:$AA$7,B121,'R9'!$V$37:$AA$37)</f>
        <v>48.314554585947278</v>
      </c>
      <c r="N121" s="25">
        <f t="shared" si="55"/>
        <v>49.73893145000001</v>
      </c>
      <c r="O121" s="59">
        <f t="shared" si="103"/>
        <v>0</v>
      </c>
      <c r="P121" s="41">
        <f t="shared" si="56"/>
        <v>33.919783313862304</v>
      </c>
      <c r="Q121" s="59">
        <f t="shared" si="104"/>
        <v>2.9835079142103843E-2</v>
      </c>
      <c r="R121" s="33">
        <f>SUMIF('R9'!$V$7:$AA$7,B121,'R9'!$V$40:$AA$40)</f>
        <v>128646523193.2536</v>
      </c>
      <c r="S121" s="59">
        <f t="shared" si="105"/>
        <v>1.4789032207028596E-4</v>
      </c>
      <c r="T121" s="28">
        <f>SUMIF('R9'!$V$7:$AA$7,B121,'R9'!$V$41:$AA$41)</f>
        <v>167732843663.3985</v>
      </c>
      <c r="U121" s="59">
        <f t="shared" si="106"/>
        <v>1.4789032207033684E-4</v>
      </c>
      <c r="V121" s="25">
        <f t="shared" si="57"/>
        <v>1.3038272585993576</v>
      </c>
      <c r="W121" s="59">
        <f t="shared" si="107"/>
        <v>1.703021649996517E-16</v>
      </c>
      <c r="X121" s="28">
        <f>SUMIF('R9'!$V$7:$AA$7,B121,'R9'!$V$52:$AA$52)</f>
        <v>126218857101.77229</v>
      </c>
      <c r="Y121" s="59">
        <f t="shared" si="108"/>
        <v>2.9583668432854311E-4</v>
      </c>
      <c r="Z121" s="28">
        <f>SUMIF('R9'!$V$7:$AA$7,B121,'R9'!$V$35:$AA$35)</f>
        <v>6277991081082.3984</v>
      </c>
      <c r="AA121" s="59">
        <f t="shared" si="109"/>
        <v>2.9583668432867289E-4</v>
      </c>
      <c r="AB121" s="5"/>
      <c r="AC121" s="5"/>
      <c r="AD121" s="5"/>
    </row>
    <row r="122" spans="1:30" x14ac:dyDescent="0.25">
      <c r="A122" s="91" t="s">
        <v>74</v>
      </c>
      <c r="B122" s="21">
        <v>2000</v>
      </c>
      <c r="C122" s="3">
        <f>SUMIF('R9'!$V$7:$AA$7,B122,'R9'!$V$67:$AA$67)</f>
        <v>17.474866370000001</v>
      </c>
      <c r="D122" s="42">
        <f>SUMIF('R9'!$V$7:$AA$7,B122,'R9'!$V$71:$AA$71)</f>
        <v>0.96439833420871968</v>
      </c>
      <c r="E122" s="34">
        <f>SUMIF('R9'!$V$7:$AA$7,B122,'R9'!$V$72:$AA$72)</f>
        <v>0.99844694181596516</v>
      </c>
      <c r="F122" s="49">
        <f t="shared" si="96"/>
        <v>1.0353055437773875</v>
      </c>
      <c r="G122" s="57">
        <f>(F122-$F110)/$F110</f>
        <v>0</v>
      </c>
      <c r="H122" s="1">
        <f>SUMIF('R9'!$V$7:$AA$7,B122,'R9'!$V$69:$AA$69)</f>
        <v>0.91305087301969401</v>
      </c>
      <c r="I122" s="2">
        <f>SUMIF('R9'!$V$7:$AA$7,B122,'R9'!$V$70:$AA$70)</f>
        <v>0.99563611390647888</v>
      </c>
      <c r="J122" s="2">
        <f t="shared" si="97"/>
        <v>1.0904497693689885</v>
      </c>
      <c r="K122" s="57">
        <f>(J122-$J110)/$J110</f>
        <v>0</v>
      </c>
      <c r="L122" s="26">
        <f>SUMIF('R9'!$V$7:$AA$7,B122,'R9'!$V$61:$AA$61)</f>
        <v>11.890499999999999</v>
      </c>
      <c r="M122" s="23">
        <f>SUMIF('R9'!$V$7:$AA$7,B122,'R9'!$V$62:$AA$62)</f>
        <v>17.795100000000001</v>
      </c>
      <c r="N122" s="23">
        <f t="shared" si="55"/>
        <v>29.685600000000001</v>
      </c>
      <c r="O122" s="57">
        <f t="shared" ref="O122:O127" si="110">(N122-$N110)/$N110</f>
        <v>0</v>
      </c>
      <c r="P122" s="38">
        <f t="shared" si="56"/>
        <v>1.4965813044026746</v>
      </c>
      <c r="Q122" s="57">
        <f>(P122-$P110)/$P110</f>
        <v>0</v>
      </c>
      <c r="R122" s="26">
        <f>SUMIF('R9'!$V$7:$AA$7,B122,'R9'!$V$65:$AA$65)</f>
        <v>12693901918.097731</v>
      </c>
      <c r="S122" s="57">
        <f>(R122-$R110)/$R110</f>
        <v>0</v>
      </c>
      <c r="T122" s="26">
        <f>SUMIF('R9'!$V$7:$AA$7,B122,'R9'!$V$66:$AA$66)</f>
        <v>16550655338.802481</v>
      </c>
      <c r="U122" s="57">
        <f>(T122-$T110)/$T110</f>
        <v>0</v>
      </c>
      <c r="V122" s="23">
        <f t="shared" si="57"/>
        <v>1.3038272585993567</v>
      </c>
      <c r="W122" s="57">
        <f>(V122-$V110)/$V110</f>
        <v>0</v>
      </c>
      <c r="X122" s="26">
        <f>SUMIF('R9'!$V$7:$AA$7,B122,'R9'!$V$77:$AA$77)</f>
        <v>5152994447.4046478</v>
      </c>
      <c r="Y122" s="57">
        <f>(X122-$X110)/$X110</f>
        <v>0</v>
      </c>
      <c r="Z122" s="26">
        <f>SUMIF('R9'!$V$7:$AA$7,B122,'R9'!$V$60:$AA$60)</f>
        <v>267000000000</v>
      </c>
      <c r="AA122" s="57">
        <f>(Z122-$Z110)/$Z110</f>
        <v>0</v>
      </c>
      <c r="AB122" s="5"/>
      <c r="AC122" s="5"/>
      <c r="AD122" s="5"/>
    </row>
    <row r="123" spans="1:30" x14ac:dyDescent="0.25">
      <c r="A123" s="92"/>
      <c r="B123" s="31">
        <v>2020</v>
      </c>
      <c r="C123" s="14">
        <f>SUMIF('R9'!$V$7:$AA$7,B123,'R9'!$V$67:$AA$67)</f>
        <v>18.23406022</v>
      </c>
      <c r="D123" s="43">
        <f>SUMIF('R9'!$V$7:$AA$7,B123,'R9'!$V$71:$AA$71)</f>
        <v>0.94627095271536965</v>
      </c>
      <c r="E123" s="35">
        <f>SUMIF('R9'!$V$7:$AA$7,B123,'R9'!$V$72:$AA$72)</f>
        <v>0.99356517912022047</v>
      </c>
      <c r="F123" s="50">
        <f t="shared" si="96"/>
        <v>1.0499795817140301</v>
      </c>
      <c r="G123" s="58">
        <f t="shared" ref="G123:G127" si="111">(F123-$F111)/$F111</f>
        <v>1.4173630214615944E-2</v>
      </c>
      <c r="H123" s="4">
        <f>SUMIF('R9'!$V$7:$AA$7,B123,'R9'!$V$69:$AA$69)</f>
        <v>0.91305087301969401</v>
      </c>
      <c r="I123" s="5">
        <f>SUMIF('R9'!$V$7:$AA$7,B123,'R9'!$V$70:$AA$70)</f>
        <v>0.99563611390647888</v>
      </c>
      <c r="J123" s="13">
        <f t="shared" si="97"/>
        <v>1.0904497693689885</v>
      </c>
      <c r="K123" s="58">
        <f t="shared" ref="K123:K127" si="112">(J123-$J111)/$J111</f>
        <v>0</v>
      </c>
      <c r="L123" s="27">
        <f>SUMIF('R9'!$V$7:$AA$7,B123,'R9'!$V$61:$AA$61)</f>
        <v>10.560620248899999</v>
      </c>
      <c r="M123" s="24">
        <f>SUMIF('R9'!$V$7:$AA$7,B123,'R9'!$V$62:$AA$62)</f>
        <v>29.226625697100001</v>
      </c>
      <c r="N123" s="24">
        <f t="shared" si="55"/>
        <v>39.787245945999999</v>
      </c>
      <c r="O123" s="58">
        <f t="shared" si="110"/>
        <v>0</v>
      </c>
      <c r="P123" s="39">
        <f t="shared" si="56"/>
        <v>2.7675103363502029</v>
      </c>
      <c r="Q123" s="58">
        <f t="shared" ref="Q123:Q127" si="113">(P123-$P111)/$P111</f>
        <v>-3.5123480897211626E-3</v>
      </c>
      <c r="R123" s="27">
        <f>SUMIF('R9'!$V$7:$AA$7,B123,'R9'!$V$65:$AA$65)</f>
        <v>30926243684.432449</v>
      </c>
      <c r="S123" s="58">
        <f t="shared" ref="S123:S127" si="114">(R123-$R111)/$R111</f>
        <v>3.1688574134869996E-3</v>
      </c>
      <c r="T123" s="27">
        <f>SUMIF('R9'!$V$7:$AA$7,B123,'R9'!$V$66:$AA$66)</f>
        <v>39758950854.713432</v>
      </c>
      <c r="U123" s="58">
        <f t="shared" ref="U123:U127" si="115">(T123-$T111)/$T111</f>
        <v>-1.0850975092697449E-2</v>
      </c>
      <c r="V123" s="24">
        <f t="shared" si="57"/>
        <v>1.2856055607790209</v>
      </c>
      <c r="W123" s="58">
        <f t="shared" ref="W123:W127" si="116">(V123-$V111)/$V111</f>
        <v>-1.3975545993655013E-2</v>
      </c>
      <c r="X123" s="27">
        <f>SUMIF('R9'!$V$7:$AA$7,B123,'R9'!$V$77:$AA$77)</f>
        <v>25050448081.125561</v>
      </c>
      <c r="Y123" s="58">
        <f t="shared" ref="Y123:Y127" si="117">(X123-$X111)/$X111</f>
        <v>-1.5787069027136582E-2</v>
      </c>
      <c r="Z123" s="27">
        <f>SUMIF('R9'!$V$7:$AA$7,B123,'R9'!$V$60:$AA$60)</f>
        <v>996688338861.24646</v>
      </c>
      <c r="AA123" s="58">
        <f t="shared" ref="AA123:AA127" si="118">(Z123-$Z111)/$Z111</f>
        <v>-1.578706902713636E-2</v>
      </c>
      <c r="AB123" s="5"/>
      <c r="AC123" s="5"/>
      <c r="AD123" s="5"/>
    </row>
    <row r="124" spans="1:30" x14ac:dyDescent="0.25">
      <c r="A124" s="92"/>
      <c r="B124" s="31">
        <v>2040</v>
      </c>
      <c r="C124" s="6">
        <f>SUMIF('R9'!$V$7:$AA$7,B124,'R9'!$V$67:$AA$67)</f>
        <v>18.683535670000001</v>
      </c>
      <c r="D124" s="43">
        <f>SUMIF('R9'!$V$7:$AA$7,B124,'R9'!$V$71:$AA$71)</f>
        <v>0.93231395090361513</v>
      </c>
      <c r="E124" s="35">
        <f>SUMIF('R9'!$V$7:$AA$7,B124,'R9'!$V$72:$AA$72)</f>
        <v>0.98848865179879042</v>
      </c>
      <c r="F124" s="50">
        <f t="shared" si="96"/>
        <v>1.0602529875700453</v>
      </c>
      <c r="G124" s="58">
        <f t="shared" si="111"/>
        <v>2.4096696808591622E-2</v>
      </c>
      <c r="H124" s="4">
        <f>SUMIF('R9'!$V$7:$AA$7,B124,'R9'!$V$69:$AA$69)</f>
        <v>0.91305087301969401</v>
      </c>
      <c r="I124" s="5">
        <f>SUMIF('R9'!$V$7:$AA$7,B124,'R9'!$V$70:$AA$70)</f>
        <v>0.99563611390647888</v>
      </c>
      <c r="J124" s="5">
        <f t="shared" si="97"/>
        <v>1.0904497693689885</v>
      </c>
      <c r="K124" s="58">
        <f t="shared" si="112"/>
        <v>0</v>
      </c>
      <c r="L124" s="27">
        <f>SUMIF('R9'!$V$7:$AA$7,B124,'R9'!$V$61:$AA$61)</f>
        <v>7.7076820634137357</v>
      </c>
      <c r="M124" s="24">
        <f>SUMIF('R9'!$V$7:$AA$7,B124,'R9'!$V$62:$AA$62)</f>
        <v>39.488705334586257</v>
      </c>
      <c r="N124" s="24">
        <f t="shared" si="55"/>
        <v>47.196387397999992</v>
      </c>
      <c r="O124" s="58">
        <f t="shared" si="110"/>
        <v>0</v>
      </c>
      <c r="P124" s="40">
        <f t="shared" si="56"/>
        <v>5.1232919326068691</v>
      </c>
      <c r="Q124" s="58">
        <f t="shared" si="113"/>
        <v>-5.9350557169636836E-3</v>
      </c>
      <c r="R124" s="27">
        <f>SUMIF('R9'!$V$7:$AA$7,B124,'R9'!$V$65:$AA$65)</f>
        <v>50039135960.377037</v>
      </c>
      <c r="S124" s="58">
        <f t="shared" si="114"/>
        <v>7.626800986998708E-3</v>
      </c>
      <c r="T124" s="27">
        <f>SUMIF('R9'!$V$7:$AA$7,B124,'R9'!$V$66:$AA$66)</f>
        <v>63707255052.393799</v>
      </c>
      <c r="U124" s="58">
        <f t="shared" si="115"/>
        <v>-1.6082363972970019E-2</v>
      </c>
      <c r="V124" s="24">
        <f t="shared" si="57"/>
        <v>1.2731485831977538</v>
      </c>
      <c r="W124" s="58">
        <f t="shared" si="116"/>
        <v>-2.3529708555533664E-2</v>
      </c>
      <c r="X124" s="27">
        <f>SUMIF('R9'!$V$7:$AA$7,B124,'R9'!$V$77:$AA$77)</f>
        <v>42796817392.583961</v>
      </c>
      <c r="Y124" s="58">
        <f t="shared" si="117"/>
        <v>-2.6022143310889759E-2</v>
      </c>
      <c r="Z124" s="27">
        <f>SUMIF('R9'!$V$7:$AA$7,B124,'R9'!$V$60:$AA$60)</f>
        <v>2019855173061.8569</v>
      </c>
      <c r="AA124" s="58">
        <f t="shared" si="118"/>
        <v>-2.6022143310889867E-2</v>
      </c>
      <c r="AB124" s="5"/>
      <c r="AC124" s="5"/>
      <c r="AD124" s="5"/>
    </row>
    <row r="125" spans="1:30" x14ac:dyDescent="0.25">
      <c r="A125" s="92"/>
      <c r="B125" s="31">
        <v>2060</v>
      </c>
      <c r="C125" s="6">
        <f>SUMIF('R9'!$V$7:$AA$7,B125,'R9'!$V$67:$AA$67)</f>
        <v>19.29096251</v>
      </c>
      <c r="D125" s="43">
        <f>SUMIF('R9'!$V$7:$AA$7,B125,'R9'!$V$71:$AA$71)</f>
        <v>0.9087454042219193</v>
      </c>
      <c r="E125" s="35">
        <f>SUMIF('R9'!$V$7:$AA$7,B125,'R9'!$V$72:$AA$72)</f>
        <v>0.97818889133398601</v>
      </c>
      <c r="F125" s="50">
        <f t="shared" si="96"/>
        <v>1.0764168784672152</v>
      </c>
      <c r="G125" s="58">
        <f t="shared" si="111"/>
        <v>3.9709373659712145E-2</v>
      </c>
      <c r="H125" s="4">
        <f>SUMIF('R9'!$V$7:$AA$7,B125,'R9'!$V$69:$AA$69)</f>
        <v>0.91305087301969401</v>
      </c>
      <c r="I125" s="5">
        <f>SUMIF('R9'!$V$7:$AA$7,B125,'R9'!$V$70:$AA$70)</f>
        <v>0.99563611390647888</v>
      </c>
      <c r="J125" s="5">
        <f t="shared" si="97"/>
        <v>1.0904497693689885</v>
      </c>
      <c r="K125" s="58">
        <f t="shared" si="112"/>
        <v>0</v>
      </c>
      <c r="L125" s="27">
        <f>SUMIF('R9'!$V$7:$AA$7,B125,'R9'!$V$61:$AA$61)</f>
        <v>4.9261218569004868</v>
      </c>
      <c r="M125" s="24">
        <f>SUMIF('R9'!$V$7:$AA$7,B125,'R9'!$V$62:$AA$62)</f>
        <v>46.658257976099513</v>
      </c>
      <c r="N125" s="24">
        <f t="shared" si="55"/>
        <v>51.584379833</v>
      </c>
      <c r="O125" s="58">
        <f t="shared" si="110"/>
        <v>1.3774377787625274E-16</v>
      </c>
      <c r="P125" s="40">
        <f t="shared" si="56"/>
        <v>9.4716004458437943</v>
      </c>
      <c r="Q125" s="58">
        <f t="shared" si="113"/>
        <v>-9.6880717341255463E-3</v>
      </c>
      <c r="R125" s="27">
        <f>SUMIF('R9'!$V$7:$AA$7,B125,'R9'!$V$65:$AA$65)</f>
        <v>74567220401.13562</v>
      </c>
      <c r="S125" s="58">
        <f t="shared" si="114"/>
        <v>1.2683351763722045E-2</v>
      </c>
      <c r="T125" s="27">
        <f>SUMIF('R9'!$V$7:$AA$7,B125,'R9'!$V$66:$AA$66)</f>
        <v>93509568173.621979</v>
      </c>
      <c r="U125" s="58">
        <f t="shared" si="115"/>
        <v>-2.5993823447855419E-2</v>
      </c>
      <c r="V125" s="24">
        <f t="shared" si="57"/>
        <v>1.2540304931655717</v>
      </c>
      <c r="W125" s="58">
        <f t="shared" si="116"/>
        <v>-3.8192762964075679E-2</v>
      </c>
      <c r="X125" s="27">
        <f>SUMIF('R9'!$V$7:$AA$7,B125,'R9'!$V$77:$AA$77)</f>
        <v>64901664912.47934</v>
      </c>
      <c r="Y125" s="58">
        <f t="shared" si="117"/>
        <v>-4.5888815275187525E-2</v>
      </c>
      <c r="Z125" s="27">
        <f>SUMIF('R9'!$V$7:$AA$7,B125,'R9'!$V$60:$AA$60)</f>
        <v>3347912134639.4229</v>
      </c>
      <c r="AA125" s="58">
        <f t="shared" si="118"/>
        <v>-4.5888815275187456E-2</v>
      </c>
      <c r="AB125" s="5"/>
      <c r="AC125" s="5"/>
      <c r="AD125" s="5"/>
    </row>
    <row r="126" spans="1:30" x14ac:dyDescent="0.25">
      <c r="A126" s="92"/>
      <c r="B126" s="31">
        <v>2080</v>
      </c>
      <c r="C126" s="6">
        <f>SUMIF('R9'!$V$7:$AA$7,B126,'R9'!$V$67:$AA$67)</f>
        <v>19.984736860000002</v>
      </c>
      <c r="D126" s="43">
        <f>SUMIF('R9'!$V$7:$AA$7,B126,'R9'!$V$71:$AA$71)</f>
        <v>0.88225365744265238</v>
      </c>
      <c r="E126" s="35">
        <f>SUMIF('R9'!$V$7:$AA$7,B126,'R9'!$V$72:$AA$72)</f>
        <v>0.96476277921532627</v>
      </c>
      <c r="F126" s="50">
        <f t="shared" si="96"/>
        <v>1.0935208611226834</v>
      </c>
      <c r="G126" s="58">
        <f t="shared" si="111"/>
        <v>5.623008366486007E-2</v>
      </c>
      <c r="H126" s="4">
        <f>SUMIF('R9'!$V$7:$AA$7,B126,'R9'!$V$69:$AA$69)</f>
        <v>0.91305087301969401</v>
      </c>
      <c r="I126" s="5">
        <f>SUMIF('R9'!$V$7:$AA$7,B126,'R9'!$V$70:$AA$70)</f>
        <v>0.99563611390647888</v>
      </c>
      <c r="J126" s="5">
        <f t="shared" si="97"/>
        <v>1.0904497693689885</v>
      </c>
      <c r="K126" s="58">
        <f t="shared" si="112"/>
        <v>0</v>
      </c>
      <c r="L126" s="27">
        <f>SUMIF('R9'!$V$7:$AA$7,B126,'R9'!$V$61:$AA$61)</f>
        <v>2.832749712420394</v>
      </c>
      <c r="M126" s="24">
        <f>SUMIF('R9'!$V$7:$AA$7,B126,'R9'!$V$62:$AA$62)</f>
        <v>49.594891508579607</v>
      </c>
      <c r="N126" s="24">
        <f t="shared" si="55"/>
        <v>52.427641221000002</v>
      </c>
      <c r="O126" s="58">
        <f t="shared" si="110"/>
        <v>0</v>
      </c>
      <c r="P126" s="40">
        <f t="shared" si="56"/>
        <v>17.507685656493848</v>
      </c>
      <c r="Q126" s="58">
        <f t="shared" si="113"/>
        <v>-1.3583412380962171E-2</v>
      </c>
      <c r="R126" s="27">
        <f>SUMIF('R9'!$V$7:$AA$7,B126,'R9'!$V$65:$AA$65)</f>
        <v>101715687282.7511</v>
      </c>
      <c r="S126" s="58">
        <f t="shared" si="114"/>
        <v>1.5891945841458487E-2</v>
      </c>
      <c r="T126" s="27">
        <f>SUMIF('R9'!$V$7:$AA$7,B126,'R9'!$V$66:$AA$66)</f>
        <v>125559466405.5213</v>
      </c>
      <c r="U126" s="58">
        <f t="shared" si="115"/>
        <v>-3.8190673080848073E-2</v>
      </c>
      <c r="V126" s="24">
        <f t="shared" si="57"/>
        <v>1.2344159466424174</v>
      </c>
      <c r="W126" s="58">
        <f t="shared" si="116"/>
        <v>-5.323658598111073E-2</v>
      </c>
      <c r="X126" s="27">
        <f>SUMIF('R9'!$V$7:$AA$7,B126,'R9'!$V$77:$AA$77)</f>
        <v>88845321650.313065</v>
      </c>
      <c r="Y126" s="58">
        <f t="shared" si="117"/>
        <v>-7.0750071200601644E-2</v>
      </c>
      <c r="Z126" s="27">
        <f>SUMIF('R9'!$V$7:$AA$7,B126,'R9'!$V$60:$AA$60)</f>
        <v>4657950647646.957</v>
      </c>
      <c r="AA126" s="58">
        <f t="shared" si="118"/>
        <v>-7.0750071200601616E-2</v>
      </c>
      <c r="AB126" s="5"/>
      <c r="AC126" s="5"/>
      <c r="AD126" s="5"/>
    </row>
    <row r="127" spans="1:30" ht="15.75" thickBot="1" x14ac:dyDescent="0.3">
      <c r="A127" s="93"/>
      <c r="B127" s="32">
        <v>2100</v>
      </c>
      <c r="C127" s="9">
        <f>SUMIF('R9'!$V$7:$AA$7,B127,'R9'!$V$67:$AA$67)</f>
        <v>20.412206680000001</v>
      </c>
      <c r="D127" s="44">
        <f>SUMIF('R9'!$V$7:$AA$7,B127,'R9'!$V$71:$AA$71)</f>
        <v>0.86311515559253815</v>
      </c>
      <c r="E127" s="36">
        <f>SUMIF('R9'!$V$7:$AA$7,B127,'R9'!$V$72:$AA$72)</f>
        <v>0.95414178358867729</v>
      </c>
      <c r="F127" s="51">
        <f t="shared" si="96"/>
        <v>1.105462900757024</v>
      </c>
      <c r="G127" s="59">
        <f t="shared" si="111"/>
        <v>6.7764881006685554E-2</v>
      </c>
      <c r="H127" s="7">
        <f>SUMIF('R9'!$V$7:$AA$7,B127,'R9'!$V$69:$AA$69)</f>
        <v>0.91305087301969401</v>
      </c>
      <c r="I127" s="8">
        <f>SUMIF('R9'!$V$7:$AA$7,B127,'R9'!$V$70:$AA$70)</f>
        <v>0.99563611390647888</v>
      </c>
      <c r="J127" s="8">
        <f t="shared" si="97"/>
        <v>1.0904497693689885</v>
      </c>
      <c r="K127" s="59">
        <f t="shared" si="112"/>
        <v>0</v>
      </c>
      <c r="L127" s="28">
        <f>SUMIF('R9'!$V$7:$AA$7,B127,'R9'!$V$61:$AA$61)</f>
        <v>1.489118150618695</v>
      </c>
      <c r="M127" s="25">
        <f>SUMIF('R9'!$V$7:$AA$7,B127,'R9'!$V$62:$AA$62)</f>
        <v>48.249813299381309</v>
      </c>
      <c r="N127" s="25">
        <f t="shared" si="55"/>
        <v>49.738931450000003</v>
      </c>
      <c r="O127" s="59">
        <f t="shared" si="110"/>
        <v>-1.428544431989602E-16</v>
      </c>
      <c r="P127" s="41">
        <f t="shared" si="56"/>
        <v>32.401601766343795</v>
      </c>
      <c r="Q127" s="59">
        <f t="shared" si="113"/>
        <v>-1.6258275867680236E-2</v>
      </c>
      <c r="R127" s="33">
        <f>SUMIF('R9'!$V$7:$AA$7,B127,'R9'!$V$65:$AA$65)</f>
        <v>130847790106.52299</v>
      </c>
      <c r="S127" s="59">
        <f t="shared" si="114"/>
        <v>1.7261391757588403E-2</v>
      </c>
      <c r="T127" s="28">
        <f>SUMIF('R9'!$V$7:$AA$7,B127,'R9'!$V$66:$AA$66)</f>
        <v>159775732001.5322</v>
      </c>
      <c r="U127" s="59">
        <f t="shared" si="115"/>
        <v>-4.7298323954503861E-2</v>
      </c>
      <c r="V127" s="25">
        <f t="shared" si="57"/>
        <v>1.2210808594586047</v>
      </c>
      <c r="W127" s="59">
        <f t="shared" si="116"/>
        <v>-6.3464234694435961E-2</v>
      </c>
      <c r="X127" s="28">
        <f>SUMIF('R9'!$V$7:$AA$7,B127,'R9'!$V$77:$AA$77)</f>
        <v>114869314194.9202</v>
      </c>
      <c r="Y127" s="59">
        <f t="shared" si="117"/>
        <v>-8.9650315409571954E-2</v>
      </c>
      <c r="Z127" s="28">
        <f>SUMIF('R9'!$V$7:$AA$7,B127,'R9'!$V$60:$AA$60)</f>
        <v>5713476944449.6465</v>
      </c>
      <c r="AA127" s="59">
        <f t="shared" si="118"/>
        <v>-8.9650315409572121E-2</v>
      </c>
      <c r="AB127" s="5"/>
      <c r="AC127" s="5"/>
      <c r="AD127" s="5"/>
    </row>
    <row r="128" spans="1:30" x14ac:dyDescent="0.25">
      <c r="A128" s="91" t="s">
        <v>75</v>
      </c>
      <c r="B128" s="21">
        <v>2000</v>
      </c>
      <c r="C128" s="3">
        <f>SUMIF('R9'!$V$7:$AA$7,B128,'R9'!$V$92:$AA$92)</f>
        <v>17.474866370000001</v>
      </c>
      <c r="D128" s="42">
        <f>SUMIF('R9'!$V$7:$AA$7,B128,'R9'!$V$96:$AA$96)</f>
        <v>0.96439833420871968</v>
      </c>
      <c r="E128" s="34">
        <f>SUMIF('R9'!$V$7:$AA$7,B128,'R9'!$V$97:$AA$97)</f>
        <v>0.99844694181596516</v>
      </c>
      <c r="F128" s="49">
        <f t="shared" si="96"/>
        <v>1.0353055437773875</v>
      </c>
      <c r="G128" s="57">
        <f>(F128-$F110)/$F110</f>
        <v>0</v>
      </c>
      <c r="H128" s="1">
        <f>SUMIF('R9'!$V$7:$AA$7,B128,'R9'!$V$94:$AA$94)</f>
        <v>0.91305087301969401</v>
      </c>
      <c r="I128" s="2">
        <f>SUMIF('R9'!$V$7:$AA$7,B128,'R9'!$V$95:$AA$95)</f>
        <v>0.99563611390647888</v>
      </c>
      <c r="J128" s="2">
        <f t="shared" si="97"/>
        <v>1.0904497693689885</v>
      </c>
      <c r="K128" s="57">
        <f>(J128-$J110)/$J110</f>
        <v>0</v>
      </c>
      <c r="L128" s="26">
        <f>SUMIF('R9'!$V$7:$AA$7,B128,'R9'!$V$86:$AA$86)</f>
        <v>11.890499999999999</v>
      </c>
      <c r="M128" s="23">
        <f>SUMIF('R9'!$V$7:$AA$7,B128,'R9'!$V$87:$AA$87)</f>
        <v>17.795100000000001</v>
      </c>
      <c r="N128" s="23">
        <f t="shared" si="55"/>
        <v>29.685600000000001</v>
      </c>
      <c r="O128" s="57">
        <f t="shared" ref="O128:O133" si="119">(N128-$N110)/$N110</f>
        <v>0</v>
      </c>
      <c r="P128" s="38">
        <f t="shared" si="56"/>
        <v>1.4965813044026746</v>
      </c>
      <c r="Q128" s="57">
        <f>(P128-$P110)/$P110</f>
        <v>0</v>
      </c>
      <c r="R128" s="26">
        <f>SUMIF('R9'!$V$7:$AA$7,B128,'R9'!$V$90:$AA$90)</f>
        <v>12693901918.097731</v>
      </c>
      <c r="S128" s="57">
        <f>(R128-$R110)/$R110</f>
        <v>0</v>
      </c>
      <c r="T128" s="26">
        <f>SUMIF('R9'!$V$7:$AA$7,B128,'R9'!$V$91:$AA$91)</f>
        <v>16550655338.802481</v>
      </c>
      <c r="U128" s="57">
        <f>(T128-$T110)/$T110</f>
        <v>0</v>
      </c>
      <c r="V128" s="23">
        <f t="shared" si="57"/>
        <v>1.3038272585993567</v>
      </c>
      <c r="W128" s="57">
        <f>(V128-$V110)/$V110</f>
        <v>0</v>
      </c>
      <c r="X128" s="26">
        <f>SUMIF('R9'!$V$7:$AA$7,B128,'R9'!$V$102:$AA$102)</f>
        <v>5152994447.4046478</v>
      </c>
      <c r="Y128" s="57">
        <f>(X128-$X110)/$X110</f>
        <v>0</v>
      </c>
      <c r="Z128" s="26">
        <f>SUMIF('R9'!$V$7:$AA$7,B128,'R9'!$V$85:$AA$85)</f>
        <v>267000000000</v>
      </c>
      <c r="AA128" s="57">
        <f>(Z128-$Z110)/$Z110</f>
        <v>0</v>
      </c>
      <c r="AB128" s="5"/>
      <c r="AC128" s="5"/>
      <c r="AD128" s="5"/>
    </row>
    <row r="129" spans="1:30" x14ac:dyDescent="0.25">
      <c r="A129" s="92"/>
      <c r="B129" s="31">
        <v>2020</v>
      </c>
      <c r="C129" s="14">
        <f>SUMIF('R9'!$V$7:$AA$7,B129,'R9'!$V$92:$AA$92)</f>
        <v>18.23406022</v>
      </c>
      <c r="D129" s="43">
        <f>SUMIF('R9'!$V$7:$AA$7,B129,'R9'!$V$96:$AA$96)</f>
        <v>0.94627095271536965</v>
      </c>
      <c r="E129" s="35">
        <f>SUMIF('R9'!$V$7:$AA$7,B129,'R9'!$V$97:$AA$97)</f>
        <v>0.99356517912022047</v>
      </c>
      <c r="F129" s="50">
        <f t="shared" si="96"/>
        <v>1.0499795817140301</v>
      </c>
      <c r="G129" s="58">
        <f t="shared" ref="G129:G133" si="120">(F129-$F111)/$F111</f>
        <v>1.4173630214615944E-2</v>
      </c>
      <c r="H129" s="4">
        <f>SUMIF('R9'!$V$7:$AA$7,B129,'R9'!$V$94:$AA$94)</f>
        <v>0.94897959738191817</v>
      </c>
      <c r="I129" s="5">
        <f>SUMIF('R9'!$V$7:$AA$7,B129,'R9'!$V$95:$AA$95)</f>
        <v>0.99401862775485128</v>
      </c>
      <c r="J129" s="13">
        <f t="shared" si="97"/>
        <v>1.0474604833414634</v>
      </c>
      <c r="K129" s="58">
        <f t="shared" ref="K129:K133" si="121">(J129-$J111)/$J111</f>
        <v>-3.9423444559396635E-2</v>
      </c>
      <c r="L129" s="27">
        <f>SUMIF('R9'!$V$7:$AA$7,B129,'R9'!$V$86:$AA$86)</f>
        <v>10.48279926613826</v>
      </c>
      <c r="M129" s="24">
        <f>SUMIF('R9'!$V$7:$AA$7,B129,'R9'!$V$87:$AA$87)</f>
        <v>29.304446679861741</v>
      </c>
      <c r="N129" s="24">
        <f t="shared" si="55"/>
        <v>39.787245945999999</v>
      </c>
      <c r="O129" s="58">
        <f t="shared" si="119"/>
        <v>0</v>
      </c>
      <c r="P129" s="39">
        <f t="shared" si="56"/>
        <v>2.7954791402446797</v>
      </c>
      <c r="Q129" s="58">
        <f t="shared" ref="Q129:Q133" si="122">(P129-$P111)/$P111</f>
        <v>6.5582801400913245E-3</v>
      </c>
      <c r="R129" s="27">
        <f>SUMIF('R9'!$V$7:$AA$7,B129,'R9'!$V$90:$AA$90)</f>
        <v>30929935758.83181</v>
      </c>
      <c r="S129" s="58">
        <f t="shared" ref="S129:S133" si="123">(R129-$R111)/$R111</f>
        <v>3.28861893688716E-3</v>
      </c>
      <c r="T129" s="27">
        <f>SUMIF('R9'!$V$7:$AA$7,B129,'R9'!$V$91:$AA$91)</f>
        <v>39763697406.092056</v>
      </c>
      <c r="U129" s="58">
        <f t="shared" ref="U129:U133" si="124">(T129-$T111)/$T111</f>
        <v>-1.0732887301975936E-2</v>
      </c>
      <c r="V129" s="24">
        <f t="shared" si="57"/>
        <v>1.2856055607790207</v>
      </c>
      <c r="W129" s="58">
        <f t="shared" ref="W129:W133" si="125">(V129-$V111)/$V111</f>
        <v>-1.3975545993655183E-2</v>
      </c>
      <c r="X129" s="27">
        <f>SUMIF('R9'!$V$7:$AA$7,B129,'R9'!$V$102:$AA$102)</f>
        <v>25060684858.310711</v>
      </c>
      <c r="Y129" s="58">
        <f t="shared" ref="Y129:Y133" si="126">(X129-$X111)/$X111</f>
        <v>-1.538487388697444E-2</v>
      </c>
      <c r="Z129" s="27">
        <f>SUMIF('R9'!$V$7:$AA$7,B129,'R9'!$V$85:$AA$85)</f>
        <v>997095632032.8064</v>
      </c>
      <c r="AA129" s="58">
        <f t="shared" ref="AA129:AA133" si="127">(Z129-$Z111)/$Z111</f>
        <v>-1.5384873886974251E-2</v>
      </c>
      <c r="AB129" s="5"/>
      <c r="AC129" s="5"/>
      <c r="AD129" s="5"/>
    </row>
    <row r="130" spans="1:30" x14ac:dyDescent="0.25">
      <c r="A130" s="92"/>
      <c r="B130" s="31">
        <v>2040</v>
      </c>
      <c r="C130" s="6">
        <f>SUMIF('R9'!$V$7:$AA$7,B130,'R9'!$V$92:$AA$92)</f>
        <v>18.683535670000001</v>
      </c>
      <c r="D130" s="43">
        <f>SUMIF('R9'!$V$7:$AA$7,B130,'R9'!$V$96:$AA$96)</f>
        <v>0.93231395090361513</v>
      </c>
      <c r="E130" s="35">
        <f>SUMIF('R9'!$V$7:$AA$7,B130,'R9'!$V$97:$AA$97)</f>
        <v>0.98848865179879042</v>
      </c>
      <c r="F130" s="50">
        <f t="shared" si="96"/>
        <v>1.0602529875700453</v>
      </c>
      <c r="G130" s="58">
        <f t="shared" si="120"/>
        <v>2.4096696808591622E-2</v>
      </c>
      <c r="H130" s="4">
        <f>SUMIF('R9'!$V$7:$AA$7,B130,'R9'!$V$94:$AA$94)</f>
        <v>0.96628509889521474</v>
      </c>
      <c r="I130" s="5">
        <f>SUMIF('R9'!$V$7:$AA$7,B130,'R9'!$V$95:$AA$95)</f>
        <v>0.99181149179602657</v>
      </c>
      <c r="J130" s="5">
        <f t="shared" si="97"/>
        <v>1.0264170408195232</v>
      </c>
      <c r="K130" s="58">
        <f t="shared" si="121"/>
        <v>-5.8721392170607879E-2</v>
      </c>
      <c r="L130" s="27">
        <f>SUMIF('R9'!$V$7:$AA$7,B130,'R9'!$V$86:$AA$86)</f>
        <v>7.6106122726770282</v>
      </c>
      <c r="M130" s="24">
        <f>SUMIF('R9'!$V$7:$AA$7,B130,'R9'!$V$87:$AA$87)</f>
        <v>39.585775125322968</v>
      </c>
      <c r="N130" s="24">
        <f t="shared" ref="N130:N133" si="128">M130+L130</f>
        <v>47.196387397999999</v>
      </c>
      <c r="O130" s="58">
        <f t="shared" si="119"/>
        <v>1.5055023804432335E-16</v>
      </c>
      <c r="P130" s="40">
        <f t="shared" ref="P130:P133" si="129">M130/L130</f>
        <v>5.2013916498466815</v>
      </c>
      <c r="Q130" s="58">
        <f t="shared" si="122"/>
        <v>9.2185197746854058E-3</v>
      </c>
      <c r="R130" s="27">
        <f>SUMIF('R9'!$V$7:$AA$7,B130,'R9'!$V$90:$AA$90)</f>
        <v>50058420760.776337</v>
      </c>
      <c r="S130" s="58">
        <f t="shared" si="123"/>
        <v>8.0151346654500303E-3</v>
      </c>
      <c r="T130" s="27">
        <f>SUMIF('R9'!$V$7:$AA$7,B130,'R9'!$V$91:$AA$91)</f>
        <v>63731807468.699364</v>
      </c>
      <c r="U130" s="58">
        <f t="shared" si="124"/>
        <v>-1.5703167672795802E-2</v>
      </c>
      <c r="V130" s="24">
        <f t="shared" ref="V130:V133" si="130">T130/R130</f>
        <v>1.2731485831977527</v>
      </c>
      <c r="W130" s="58">
        <f t="shared" si="125"/>
        <v>-2.3529708555534514E-2</v>
      </c>
      <c r="X130" s="27">
        <f>SUMIF('R9'!$V$7:$AA$7,B130,'R9'!$V$102:$AA$102)</f>
        <v>42827385464.9459</v>
      </c>
      <c r="Y130" s="58">
        <f t="shared" si="126"/>
        <v>-2.5326469487084405E-2</v>
      </c>
      <c r="Z130" s="27">
        <f>SUMIF('R9'!$V$7:$AA$7,B130,'R9'!$V$85:$AA$85)</f>
        <v>2021297875647.061</v>
      </c>
      <c r="AA130" s="58">
        <f t="shared" si="127"/>
        <v>-2.532646948708453E-2</v>
      </c>
      <c r="AB130" s="5"/>
      <c r="AC130" s="5"/>
      <c r="AD130" s="5"/>
    </row>
    <row r="131" spans="1:30" x14ac:dyDescent="0.25">
      <c r="A131" s="92"/>
      <c r="B131" s="31">
        <v>2060</v>
      </c>
      <c r="C131" s="6">
        <f>SUMIF('R9'!$V$7:$AA$7,B131,'R9'!$V$92:$AA$92)</f>
        <v>19.29096251</v>
      </c>
      <c r="D131" s="43">
        <f>SUMIF('R9'!$V$7:$AA$7,B131,'R9'!$V$96:$AA$96)</f>
        <v>0.9087454042219193</v>
      </c>
      <c r="E131" s="35">
        <f>SUMIF('R9'!$V$7:$AA$7,B131,'R9'!$V$97:$AA$97)</f>
        <v>0.97818889133398601</v>
      </c>
      <c r="F131" s="50">
        <f t="shared" si="96"/>
        <v>1.0764168784672152</v>
      </c>
      <c r="G131" s="58">
        <f t="shared" si="120"/>
        <v>3.9709373659712145E-2</v>
      </c>
      <c r="H131" s="4">
        <f>SUMIF('R9'!$V$7:$AA$7,B131,'R9'!$V$94:$AA$94)</f>
        <v>0.98498544077575323</v>
      </c>
      <c r="I131" s="5">
        <f>SUMIF('R9'!$V$7:$AA$7,B131,'R9'!$V$95:$AA$95)</f>
        <v>0.98735216130688142</v>
      </c>
      <c r="J131" s="5">
        <f t="shared" si="97"/>
        <v>1.0024027974761376</v>
      </c>
      <c r="K131" s="58">
        <f t="shared" si="121"/>
        <v>-8.0743720954520579E-2</v>
      </c>
      <c r="L131" s="27">
        <f>SUMIF('R9'!$V$7:$AA$7,B131,'R9'!$V$86:$AA$86)</f>
        <v>4.8331353536956962</v>
      </c>
      <c r="M131" s="24">
        <f>SUMIF('R9'!$V$7:$AA$7,B131,'R9'!$V$87:$AA$87)</f>
        <v>46.751244479304297</v>
      </c>
      <c r="N131" s="24">
        <f t="shared" si="128"/>
        <v>51.584379832999993</v>
      </c>
      <c r="O131" s="58">
        <f t="shared" si="119"/>
        <v>0</v>
      </c>
      <c r="P131" s="40">
        <f t="shared" si="129"/>
        <v>9.6730674930416711</v>
      </c>
      <c r="Q131" s="58">
        <f t="shared" si="122"/>
        <v>1.1376501368734804E-2</v>
      </c>
      <c r="R131" s="27">
        <f>SUMIF('R9'!$V$7:$AA$7,B131,'R9'!$V$90:$AA$90)</f>
        <v>74593707206.547791</v>
      </c>
      <c r="S131" s="58">
        <f t="shared" si="123"/>
        <v>1.304306407079232E-2</v>
      </c>
      <c r="T131" s="27">
        <f>SUMIF('R9'!$V$7:$AA$7,B131,'R9'!$V$91:$AA$91)</f>
        <v>93542783435.275345</v>
      </c>
      <c r="U131" s="58">
        <f t="shared" si="124"/>
        <v>-2.5647849547664737E-2</v>
      </c>
      <c r="V131" s="24">
        <f t="shared" si="130"/>
        <v>1.2540304931655712</v>
      </c>
      <c r="W131" s="58">
        <f t="shared" si="125"/>
        <v>-3.8192762964076019E-2</v>
      </c>
      <c r="X131" s="27">
        <f>SUMIF('R9'!$V$7:$AA$7,B131,'R9'!$V$102:$AA$102)</f>
        <v>64944168370.412529</v>
      </c>
      <c r="Y131" s="58">
        <f t="shared" si="126"/>
        <v>-4.5263977304417086E-2</v>
      </c>
      <c r="Z131" s="27">
        <f>SUMIF('R9'!$V$7:$AA$7,B131,'R9'!$V$85:$AA$85)</f>
        <v>3350104649157.665</v>
      </c>
      <c r="AA131" s="58">
        <f t="shared" si="127"/>
        <v>-4.5263977304416843E-2</v>
      </c>
      <c r="AB131" s="5"/>
      <c r="AC131" s="5"/>
      <c r="AD131" s="5"/>
    </row>
    <row r="132" spans="1:30" x14ac:dyDescent="0.25">
      <c r="A132" s="92"/>
      <c r="B132" s="31">
        <v>2080</v>
      </c>
      <c r="C132" s="6">
        <f>SUMIF('R9'!$V$7:$AA$7,B132,'R9'!$V$92:$AA$92)</f>
        <v>19.984736860000002</v>
      </c>
      <c r="D132" s="43">
        <f>SUMIF('R9'!$V$7:$AA$7,B132,'R9'!$V$96:$AA$96)</f>
        <v>0.88225365744265238</v>
      </c>
      <c r="E132" s="35">
        <f>SUMIF('R9'!$V$7:$AA$7,B132,'R9'!$V$97:$AA$97)</f>
        <v>0.96476277921532627</v>
      </c>
      <c r="F132" s="50">
        <f t="shared" si="96"/>
        <v>1.0935208611226834</v>
      </c>
      <c r="G132" s="58">
        <f t="shared" si="120"/>
        <v>5.623008366486007E-2</v>
      </c>
      <c r="H132" s="4">
        <f>SUMIF('R9'!$V$7:$AA$7,B132,'R9'!$V$94:$AA$94)</f>
        <v>0.99975408912686881</v>
      </c>
      <c r="I132" s="5">
        <f>SUMIF('R9'!$V$7:$AA$7,B132,'R9'!$V$95:$AA$95)</f>
        <v>0.980182621864082</v>
      </c>
      <c r="J132" s="5">
        <f t="shared" si="97"/>
        <v>0.98042371871679024</v>
      </c>
      <c r="K132" s="58">
        <f t="shared" si="121"/>
        <v>-0.10089969638479281</v>
      </c>
      <c r="L132" s="27">
        <f>SUMIF('R9'!$V$7:$AA$7,B132,'R9'!$V$86:$AA$86)</f>
        <v>2.76233540392924</v>
      </c>
      <c r="M132" s="24">
        <f>SUMIF('R9'!$V$7:$AA$7,B132,'R9'!$V$87:$AA$87)</f>
        <v>49.66530581707076</v>
      </c>
      <c r="N132" s="24">
        <f t="shared" si="128"/>
        <v>52.427641221000002</v>
      </c>
      <c r="O132" s="58">
        <f t="shared" si="119"/>
        <v>0</v>
      </c>
      <c r="P132" s="40">
        <f t="shared" si="129"/>
        <v>17.979462503512476</v>
      </c>
      <c r="Q132" s="58">
        <f t="shared" si="122"/>
        <v>1.2997399993925997E-2</v>
      </c>
      <c r="R132" s="27">
        <f>SUMIF('R9'!$V$7:$AA$7,B132,'R9'!$V$90:$AA$90)</f>
        <v>101744791973.82851</v>
      </c>
      <c r="S132" s="58">
        <f t="shared" si="123"/>
        <v>1.6182630808955691E-2</v>
      </c>
      <c r="T132" s="27">
        <f>SUMIF('R9'!$V$7:$AA$7,B132,'R9'!$V$91:$AA$91)</f>
        <v>125595393700.3092</v>
      </c>
      <c r="U132" s="58">
        <f t="shared" si="124"/>
        <v>-3.7915463188617604E-2</v>
      </c>
      <c r="V132" s="24">
        <f t="shared" si="130"/>
        <v>1.2344159466424161</v>
      </c>
      <c r="W132" s="58">
        <f t="shared" si="125"/>
        <v>-5.323658598111175E-2</v>
      </c>
      <c r="X132" s="27">
        <f>SUMIF('R9'!$V$7:$AA$7,B132,'R9'!$V$102:$AA$102)</f>
        <v>88891311292.84668</v>
      </c>
      <c r="Y132" s="58">
        <f t="shared" si="126"/>
        <v>-7.026905687980177E-2</v>
      </c>
      <c r="Z132" s="27">
        <f>SUMIF('R9'!$V$7:$AA$7,B132,'R9'!$V$85:$AA$85)</f>
        <v>4660361776125.5918</v>
      </c>
      <c r="AA132" s="58">
        <f t="shared" si="127"/>
        <v>-7.0269056879801672E-2</v>
      </c>
      <c r="AB132" s="5"/>
      <c r="AC132" s="5"/>
      <c r="AD132" s="5"/>
    </row>
    <row r="133" spans="1:30" ht="15.75" thickBot="1" x14ac:dyDescent="0.3">
      <c r="A133" s="93"/>
      <c r="B133" s="32">
        <v>2100</v>
      </c>
      <c r="C133" s="9">
        <f>SUMIF('R9'!$V$7:$AA$7,B133,'R9'!$V$92:$AA$92)</f>
        <v>20.412206680000001</v>
      </c>
      <c r="D133" s="44">
        <f>SUMIF('R9'!$V$7:$AA$7,B133,'R9'!$V$96:$AA$96)</f>
        <v>0.86311515559253815</v>
      </c>
      <c r="E133" s="36">
        <f>SUMIF('R9'!$V$7:$AA$7,B133,'R9'!$V$97:$AA$97)</f>
        <v>0.95414178358867729</v>
      </c>
      <c r="F133" s="51">
        <f t="shared" si="96"/>
        <v>1.105462900757024</v>
      </c>
      <c r="G133" s="59">
        <f t="shared" si="120"/>
        <v>6.7764881006685554E-2</v>
      </c>
      <c r="H133" s="7">
        <f>SUMIF('R9'!$V$7:$AA$7,B133,'R9'!$V$94:$AA$94)</f>
        <v>1.005354932146632</v>
      </c>
      <c r="I133" s="8">
        <f>SUMIF('R9'!$V$7:$AA$7,B133,'R9'!$V$95:$AA$95)</f>
        <v>0.97466271684181582</v>
      </c>
      <c r="J133" s="8">
        <f t="shared" si="97"/>
        <v>0.96947126400495975</v>
      </c>
      <c r="K133" s="59">
        <f t="shared" si="121"/>
        <v>-0.11094367550193118</v>
      </c>
      <c r="L133" s="28">
        <f>SUMIF('R9'!$V$7:$AA$7,B133,'R9'!$V$86:$AA$86)</f>
        <v>1.447232554238741</v>
      </c>
      <c r="M133" s="25">
        <f>SUMIF('R9'!$V$7:$AA$7,B133,'R9'!$V$87:$AA$87)</f>
        <v>48.291698895761257</v>
      </c>
      <c r="N133" s="25">
        <f t="shared" si="128"/>
        <v>49.738931449999995</v>
      </c>
      <c r="O133" s="59">
        <f t="shared" si="119"/>
        <v>-2.8570888639792041E-16</v>
      </c>
      <c r="P133" s="41">
        <f t="shared" si="129"/>
        <v>33.368306119373592</v>
      </c>
      <c r="Q133" s="59">
        <f t="shared" si="122"/>
        <v>1.3091736327197168E-2</v>
      </c>
      <c r="R133" s="33">
        <f>SUMIF('R9'!$V$7:$AA$7,B133,'R9'!$V$90:$AA$90)</f>
        <v>130873189519.9213</v>
      </c>
      <c r="S133" s="59">
        <f t="shared" si="123"/>
        <v>1.7458856633398277E-2</v>
      </c>
      <c r="T133" s="28">
        <f>SUMIF('R9'!$V$7:$AA$7,B133,'R9'!$V$91:$AA$91)</f>
        <v>159806746739.07419</v>
      </c>
      <c r="U133" s="59">
        <f t="shared" si="124"/>
        <v>-4.7113391035917176E-2</v>
      </c>
      <c r="V133" s="25">
        <f t="shared" si="130"/>
        <v>1.2210808594586033</v>
      </c>
      <c r="W133" s="59">
        <f t="shared" si="125"/>
        <v>-6.3464234694436975E-2</v>
      </c>
      <c r="X133" s="28">
        <f>SUMIF('R9'!$V$7:$AA$7,B133,'R9'!$V$102:$AA$102)</f>
        <v>114908874948.81551</v>
      </c>
      <c r="Y133" s="59">
        <f t="shared" si="126"/>
        <v>-8.9336792863684358E-2</v>
      </c>
      <c r="Z133" s="28">
        <f>SUMIF('R9'!$V$7:$AA$7,B133,'R9'!$V$85:$AA$85)</f>
        <v>5715444654075.7578</v>
      </c>
      <c r="AA133" s="59">
        <f t="shared" si="127"/>
        <v>-8.9336792863684164E-2</v>
      </c>
      <c r="AB133" s="5"/>
      <c r="AC133" s="5"/>
      <c r="AD133" s="5"/>
    </row>
  </sheetData>
  <mergeCells count="22">
    <mergeCell ref="A116:A121"/>
    <mergeCell ref="A86:A91"/>
    <mergeCell ref="A92:A97"/>
    <mergeCell ref="A98:A103"/>
    <mergeCell ref="A104:A109"/>
    <mergeCell ref="A110:A115"/>
    <mergeCell ref="A122:A127"/>
    <mergeCell ref="A128:A133"/>
    <mergeCell ref="A2:A7"/>
    <mergeCell ref="A8:A13"/>
    <mergeCell ref="A14:A19"/>
    <mergeCell ref="A20:A25"/>
    <mergeCell ref="A26:A31"/>
    <mergeCell ref="A32:A37"/>
    <mergeCell ref="A38:A43"/>
    <mergeCell ref="A44:A49"/>
    <mergeCell ref="A50:A55"/>
    <mergeCell ref="A56:A61"/>
    <mergeCell ref="A62:A67"/>
    <mergeCell ref="A68:A73"/>
    <mergeCell ref="A74:A79"/>
    <mergeCell ref="A80:A8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AD133"/>
  <sheetViews>
    <sheetView topLeftCell="H103" zoomScale="85" zoomScaleNormal="85" workbookViewId="0">
      <selection activeCell="O133" sqref="O133"/>
    </sheetView>
  </sheetViews>
  <sheetFormatPr defaultColWidth="9.140625" defaultRowHeight="15" x14ac:dyDescent="0.25"/>
  <cols>
    <col min="1" max="1" width="9.140625" style="20"/>
    <col min="2" max="2" width="13.85546875" style="20" bestFit="1" customWidth="1"/>
    <col min="3" max="11" width="9.140625" style="20"/>
    <col min="12" max="13" width="10.7109375" style="20" bestFit="1" customWidth="1"/>
    <col min="14" max="14" width="10.7109375" style="20" customWidth="1"/>
    <col min="15" max="15" width="11.42578125" style="20" customWidth="1"/>
    <col min="16" max="16" width="11.42578125" style="20" bestFit="1" customWidth="1"/>
    <col min="17" max="17" width="11.42578125" style="20" customWidth="1"/>
    <col min="18" max="18" width="12.7109375" style="20" bestFit="1" customWidth="1"/>
    <col min="19" max="19" width="11.42578125" style="20" customWidth="1"/>
    <col min="20" max="20" width="11.7109375" style="20" bestFit="1" customWidth="1"/>
    <col min="21" max="21" width="11.7109375" style="20" customWidth="1"/>
    <col min="22" max="22" width="10.7109375" style="20" customWidth="1"/>
    <col min="23" max="23" width="11.42578125" style="20" bestFit="1" customWidth="1"/>
    <col min="24" max="24" width="11.7109375" style="20" bestFit="1" customWidth="1"/>
    <col min="25" max="25" width="9.140625" style="20"/>
    <col min="26" max="26" width="11.7109375" style="20" bestFit="1" customWidth="1"/>
    <col min="27" max="16384" width="9.140625" style="20"/>
  </cols>
  <sheetData>
    <row r="1" spans="1:30" ht="15.75" thickBot="1" x14ac:dyDescent="0.3">
      <c r="A1" s="1"/>
      <c r="B1" s="2"/>
      <c r="C1" s="12" t="s">
        <v>7</v>
      </c>
      <c r="D1" s="11" t="s">
        <v>20</v>
      </c>
      <c r="E1" s="12" t="s">
        <v>21</v>
      </c>
      <c r="F1" s="12" t="s">
        <v>31</v>
      </c>
      <c r="G1" s="52" t="s">
        <v>25</v>
      </c>
      <c r="H1" s="11" t="s">
        <v>4</v>
      </c>
      <c r="I1" s="12" t="s">
        <v>5</v>
      </c>
      <c r="J1" s="12" t="s">
        <v>9</v>
      </c>
      <c r="K1" s="52" t="s">
        <v>24</v>
      </c>
      <c r="L1" s="11" t="s">
        <v>0</v>
      </c>
      <c r="M1" s="12" t="s">
        <v>1</v>
      </c>
      <c r="N1" s="12" t="s">
        <v>2</v>
      </c>
      <c r="O1" s="30" t="s">
        <v>83</v>
      </c>
      <c r="P1" s="37" t="s">
        <v>3</v>
      </c>
      <c r="Q1" s="30" t="s">
        <v>26</v>
      </c>
      <c r="R1" s="29" t="s">
        <v>18</v>
      </c>
      <c r="S1" s="30" t="s">
        <v>28</v>
      </c>
      <c r="T1" s="11" t="s">
        <v>19</v>
      </c>
      <c r="U1" s="30" t="s">
        <v>29</v>
      </c>
      <c r="V1" s="12" t="s">
        <v>27</v>
      </c>
      <c r="W1" s="30" t="s">
        <v>32</v>
      </c>
      <c r="X1" s="29" t="s">
        <v>22</v>
      </c>
      <c r="Y1" s="30" t="s">
        <v>30</v>
      </c>
      <c r="Z1" s="29" t="s">
        <v>51</v>
      </c>
      <c r="AA1" s="30" t="s">
        <v>62</v>
      </c>
      <c r="AB1" s="15"/>
      <c r="AC1" s="15"/>
      <c r="AD1" s="15"/>
    </row>
    <row r="2" spans="1:30" x14ac:dyDescent="0.25">
      <c r="A2" s="94" t="s">
        <v>6</v>
      </c>
      <c r="B2" s="21">
        <v>2000</v>
      </c>
      <c r="C2" s="3">
        <f>SUMIF(R0!$AF$7:$AK$7,B2,R0!$AF$17:$AK$17)</f>
        <v>17.178609999999999</v>
      </c>
      <c r="D2" s="42">
        <f>SUMIF(R0!$AF$7:$AK$7,B2,R0!$AF$21:$AK$21)</f>
        <v>1</v>
      </c>
      <c r="E2" s="34">
        <f>SUMIF(R0!$AF$7:$AK$7,B2,R0!$AF$22:$AK$22)</f>
        <v>1</v>
      </c>
      <c r="F2" s="45">
        <f>E2/D2</f>
        <v>1</v>
      </c>
      <c r="G2" s="53"/>
      <c r="H2" s="1">
        <f>SUMIF(R0!$AF$7:$AK$7,B2,R0!$AF$19:$AK$19)</f>
        <v>0.91393118527122841</v>
      </c>
      <c r="I2" s="2">
        <f>SUMIF(R0!$AF$7:$AK$7,B2,R0!$AF$20:$AK$20)</f>
        <v>1</v>
      </c>
      <c r="J2" s="2">
        <f>I2/H2</f>
        <v>1.0941742837052102</v>
      </c>
      <c r="K2" s="53"/>
      <c r="L2" s="26">
        <f>SUMIF(R0!$AF$7:$AK$7,B2,R0!$AF$11:$AK$11)</f>
        <v>1.1477007267974999</v>
      </c>
      <c r="M2" s="24">
        <f>SUMIF(R0!$AF$7:$AK$7,B2,R0!$AF$12:$AK$12)</f>
        <v>1.7176274507745</v>
      </c>
      <c r="N2" s="23">
        <f t="shared" ref="N2:N65" si="0">M2+L2</f>
        <v>2.8653281775719996</v>
      </c>
      <c r="O2" s="53"/>
      <c r="P2" s="38">
        <f t="shared" ref="P2:P65" si="1">M2/L2</f>
        <v>1.4965813044026746</v>
      </c>
      <c r="Q2" s="53"/>
      <c r="R2" s="26">
        <f>SUMIF(R0!$AF$7:$AK$7,B2,R0!$AF$15:$AK$15)</f>
        <v>45230.686034216073</v>
      </c>
      <c r="S2" s="53"/>
      <c r="T2" s="26">
        <f>SUMIF(R0!$AF$7:$AK$7,B2,R0!$AF$16:$AK$16)</f>
        <v>59242.103980910957</v>
      </c>
      <c r="U2" s="53"/>
      <c r="V2" s="23">
        <f t="shared" ref="V2:V65" si="2">T2/R2</f>
        <v>1.3097768169179556</v>
      </c>
      <c r="W2" s="53"/>
      <c r="X2" s="26">
        <f>SUMIF(R0!$AF$7:$AK$7,B2,R0!$AF$27:$AK$27)</f>
        <v>18427.262540756401</v>
      </c>
      <c r="Y2" s="53"/>
      <c r="Z2" s="26">
        <f>SUMIF(R0!$AF$7:$AK$7,B2,R0!$AF$10:$AK$10)</f>
        <v>92159.678226000004</v>
      </c>
      <c r="AA2" s="53"/>
      <c r="AB2" s="5"/>
      <c r="AC2" s="5"/>
      <c r="AD2" s="5"/>
    </row>
    <row r="3" spans="1:30" s="10" customFormat="1" x14ac:dyDescent="0.25">
      <c r="A3" s="95"/>
      <c r="B3" s="31">
        <v>2020</v>
      </c>
      <c r="C3" s="14">
        <f>SUMIF(R0!$AF$7:$AK$7,B3,R0!$AF$17:$AK$17)</f>
        <v>17.178609999999999</v>
      </c>
      <c r="D3" s="43">
        <f>SUMIF(R0!$AF$7:$AK$7,B3,R0!$AF$21:$AK$21)</f>
        <v>0.96966048781639314</v>
      </c>
      <c r="E3" s="35">
        <f>SUMIF(R0!$AF$7:$AK$7,B3,R0!$AF$22:$AK$22)</f>
        <v>0.99933476497980267</v>
      </c>
      <c r="F3" s="46">
        <f t="shared" ref="F3:F13" si="3">E3/D3</f>
        <v>1.0306027496595576</v>
      </c>
      <c r="G3" s="54"/>
      <c r="H3" s="4">
        <f>SUMIF(R0!$AF$7:$AK$7,B3,R0!$AF$19:$AK$19)</f>
        <v>0.91393118527122841</v>
      </c>
      <c r="I3" s="5">
        <f>SUMIF(R0!$AF$7:$AK$7,B3,R0!$AF$20:$AK$20)</f>
        <v>1</v>
      </c>
      <c r="J3" s="5">
        <f t="shared" ref="J3:J13" si="4">I3/H3</f>
        <v>1.0941742837052102</v>
      </c>
      <c r="K3" s="55"/>
      <c r="L3" s="27">
        <f>SUMIF(R0!$AF$7:$AK$7,B3,R0!$AF$11:$AK$11)</f>
        <v>1.2745678574973771</v>
      </c>
      <c r="M3" s="24">
        <f>SUMIF(R0!$AF$7:$AK$7,B3,R0!$AF$12:$AK$12)</f>
        <v>3.5398127746407022</v>
      </c>
      <c r="N3" s="24">
        <f t="shared" si="0"/>
        <v>4.8143806321380795</v>
      </c>
      <c r="O3" s="55"/>
      <c r="P3" s="39">
        <f t="shared" si="1"/>
        <v>2.7772650579712166</v>
      </c>
      <c r="Q3" s="55"/>
      <c r="R3" s="27">
        <f>SUMIF(R0!$AF$7:$AK$7,B3,R0!$AF$15:$AK$15)</f>
        <v>109448.40458383469</v>
      </c>
      <c r="S3" s="55"/>
      <c r="T3" s="27">
        <f>SUMIF(R0!$AF$7:$AK$7,B3,R0!$AF$16:$AK$16)</f>
        <v>143352.98297256359</v>
      </c>
      <c r="U3" s="55"/>
      <c r="V3" s="24">
        <f t="shared" si="2"/>
        <v>1.3097768169179558</v>
      </c>
      <c r="W3" s="55"/>
      <c r="X3" s="27">
        <f>SUMIF(R0!$AF$7:$AK$7,B3,R0!$AF$27:$AK$27)</f>
        <v>80056.681228892689</v>
      </c>
      <c r="Y3" s="55"/>
      <c r="Z3" s="27">
        <f>SUMIF(R0!$AF$7:$AK$7,B3,R0!$AF$10:$AK$10)</f>
        <v>385423.33558163297</v>
      </c>
      <c r="AA3" s="55"/>
      <c r="AB3" s="13"/>
      <c r="AC3" s="13"/>
      <c r="AD3" s="13"/>
    </row>
    <row r="4" spans="1:30" x14ac:dyDescent="0.25">
      <c r="A4" s="95"/>
      <c r="B4" s="31">
        <v>2040</v>
      </c>
      <c r="C4" s="6">
        <f>SUMIF(R0!$AF$7:$AK$7,B4,R0!$AF$17:$AK$17)</f>
        <v>17.178609999999999</v>
      </c>
      <c r="D4" s="43">
        <f>SUMIF(R0!$AF$7:$AK$7,B4,R0!$AF$21:$AK$21)</f>
        <v>0.96966048781639314</v>
      </c>
      <c r="E4" s="35">
        <f>SUMIF(R0!$AF$7:$AK$7,B4,R0!$AF$22:$AK$22)</f>
        <v>0.99933476497980267</v>
      </c>
      <c r="F4" s="47">
        <f t="shared" si="3"/>
        <v>1.0306027496595576</v>
      </c>
      <c r="G4" s="55"/>
      <c r="H4" s="4">
        <f>SUMIF(R0!$AF$7:$AK$7,B4,R0!$AF$19:$AK$19)</f>
        <v>0.91393118527122841</v>
      </c>
      <c r="I4" s="5">
        <f>SUMIF(R0!$AF$7:$AK$7,B4,R0!$AF$20:$AK$20)</f>
        <v>1</v>
      </c>
      <c r="J4" s="5">
        <f t="shared" si="4"/>
        <v>1.0941742837052102</v>
      </c>
      <c r="K4" s="55"/>
      <c r="L4" s="27">
        <f>SUMIF(R0!$AF$7:$AK$7,B4,R0!$AF$11:$AK$11)</f>
        <v>1.2781254891663381</v>
      </c>
      <c r="M4" s="24">
        <f>SUMIF(R0!$AF$7:$AK$7,B4,R0!$AF$12:$AK$12)</f>
        <v>6.5873060358525857</v>
      </c>
      <c r="N4" s="24">
        <f t="shared" si="0"/>
        <v>7.8654315250189235</v>
      </c>
      <c r="O4" s="55"/>
      <c r="P4" s="40">
        <f t="shared" si="1"/>
        <v>5.1538805005361246</v>
      </c>
      <c r="Q4" s="55"/>
      <c r="R4" s="27">
        <f>SUMIF(R0!$AF$7:$AK$7,B4,R0!$AF$15:$AK$15)</f>
        <v>199949.3642326369</v>
      </c>
      <c r="S4" s="55"/>
      <c r="T4" s="27">
        <f>SUMIF(R0!$AF$7:$AK$7,B4,R0!$AF$16:$AK$16)</f>
        <v>261889.04182939211</v>
      </c>
      <c r="U4" s="55"/>
      <c r="V4" s="24">
        <f t="shared" si="2"/>
        <v>1.3097768169179558</v>
      </c>
      <c r="W4" s="55"/>
      <c r="X4" s="27">
        <f>SUMIF(R0!$AF$7:$AK$7,B4,R0!$AF$27:$AK$27)</f>
        <v>150415.32831727981</v>
      </c>
      <c r="Y4" s="55"/>
      <c r="Z4" s="27">
        <f>SUMIF(R0!$AF$7:$AK$7,B4,R0!$AF$10:$AK$10)</f>
        <v>1183081.4651928041</v>
      </c>
      <c r="AA4" s="55"/>
      <c r="AB4" s="5"/>
      <c r="AC4" s="5"/>
      <c r="AD4" s="5"/>
    </row>
    <row r="5" spans="1:30" x14ac:dyDescent="0.25">
      <c r="A5" s="95"/>
      <c r="B5" s="31">
        <v>2060</v>
      </c>
      <c r="C5" s="6">
        <f>SUMIF(R0!$AF$7:$AK$7,B5,R0!$AF$17:$AK$17)</f>
        <v>17.178609999999999</v>
      </c>
      <c r="D5" s="43">
        <f>SUMIF(R0!$AF$7:$AK$7,B5,R0!$AF$21:$AK$21)</f>
        <v>0.96966048781639314</v>
      </c>
      <c r="E5" s="35">
        <f>SUMIF(R0!$AF$7:$AK$7,B5,R0!$AF$22:$AK$22)</f>
        <v>0.99933476497980267</v>
      </c>
      <c r="F5" s="47">
        <f t="shared" si="3"/>
        <v>1.0306027496595576</v>
      </c>
      <c r="G5" s="55"/>
      <c r="H5" s="4">
        <f>SUMIF(R0!$AF$7:$AK$7,B5,R0!$AF$19:$AK$19)</f>
        <v>0.91393118527122841</v>
      </c>
      <c r="I5" s="5">
        <f>SUMIF(R0!$AF$7:$AK$7,B5,R0!$AF$20:$AK$20)</f>
        <v>1</v>
      </c>
      <c r="J5" s="5">
        <f t="shared" si="4"/>
        <v>1.0941742837052102</v>
      </c>
      <c r="K5" s="55"/>
      <c r="L5" s="27">
        <f>SUMIF(R0!$AF$7:$AK$7,B5,R0!$AF$11:$AK$11)</f>
        <v>1.1944444247396919</v>
      </c>
      <c r="M5" s="24">
        <f>SUMIF(R0!$AF$7:$AK$7,B5,R0!$AF$12:$AK$12)</f>
        <v>11.42397665118577</v>
      </c>
      <c r="N5" s="24">
        <f t="shared" si="0"/>
        <v>12.618421075925461</v>
      </c>
      <c r="O5" s="55"/>
      <c r="P5" s="40">
        <f t="shared" si="1"/>
        <v>9.5642596797045822</v>
      </c>
      <c r="Q5" s="55"/>
      <c r="R5" s="27">
        <f>SUMIF(R0!$AF$7:$AK$7,B5,R0!$AF$15:$AK$15)</f>
        <v>308810.7223873203</v>
      </c>
      <c r="S5" s="55"/>
      <c r="T5" s="27">
        <f>SUMIF(R0!$AF$7:$AK$7,B5,R0!$AF$16:$AK$16)</f>
        <v>404473.12499859883</v>
      </c>
      <c r="U5" s="55"/>
      <c r="V5" s="24">
        <f t="shared" si="2"/>
        <v>1.3097768169179556</v>
      </c>
      <c r="W5" s="55"/>
      <c r="X5" s="27">
        <f>SUMIF(R0!$AF$7:$AK$7,B5,R0!$AF$27:$AK$27)</f>
        <v>236572.41854630769</v>
      </c>
      <c r="Y5" s="55"/>
      <c r="Z5" s="27">
        <f>SUMIF(R0!$AF$7:$AK$7,B5,R0!$AF$10:$AK$10)</f>
        <v>2985170.392167388</v>
      </c>
      <c r="AA5" s="55"/>
      <c r="AB5" s="5"/>
      <c r="AC5" s="5"/>
      <c r="AD5" s="5"/>
    </row>
    <row r="6" spans="1:30" x14ac:dyDescent="0.25">
      <c r="A6" s="95"/>
      <c r="B6" s="31">
        <v>2080</v>
      </c>
      <c r="C6" s="6">
        <f>SUMIF(R0!$AF$7:$AK$7,B6,R0!$AF$17:$AK$17)</f>
        <v>17.178609999999999</v>
      </c>
      <c r="D6" s="43">
        <f>SUMIF(R0!$AF$7:$AK$7,B6,R0!$AF$21:$AK$21)</f>
        <v>0.96966048781639314</v>
      </c>
      <c r="E6" s="35">
        <f>SUMIF(R0!$AF$7:$AK$7,B6,R0!$AF$22:$AK$22)</f>
        <v>0.99933476497980267</v>
      </c>
      <c r="F6" s="47">
        <f t="shared" si="3"/>
        <v>1.0306027496595576</v>
      </c>
      <c r="G6" s="55"/>
      <c r="H6" s="4">
        <f>SUMIF(R0!$AF$7:$AK$7,B6,R0!$AF$19:$AK$19)</f>
        <v>0.91393118527122841</v>
      </c>
      <c r="I6" s="5">
        <f>SUMIF(R0!$AF$7:$AK$7,B6,R0!$AF$20:$AK$20)</f>
        <v>1</v>
      </c>
      <c r="J6" s="5">
        <f t="shared" si="4"/>
        <v>1.0941742837052102</v>
      </c>
      <c r="K6" s="55"/>
      <c r="L6" s="27">
        <f>SUMIF(R0!$AF$7:$AK$7,B6,R0!$AF$11:$AK$11)</f>
        <v>1.0680026571689529</v>
      </c>
      <c r="M6" s="24">
        <f>SUMIF(R0!$AF$7:$AK$7,B6,R0!$AF$12:$AK$12)</f>
        <v>18.95573841387553</v>
      </c>
      <c r="N6" s="24">
        <f t="shared" si="0"/>
        <v>20.023741071044483</v>
      </c>
      <c r="O6" s="55"/>
      <c r="P6" s="40">
        <f t="shared" si="1"/>
        <v>17.748774580882735</v>
      </c>
      <c r="Q6" s="55"/>
      <c r="R6" s="27">
        <f>SUMIF(R0!$AF$7:$AK$7,B6,R0!$AF$15:$AK$15)</f>
        <v>430406.12872292643</v>
      </c>
      <c r="S6" s="55"/>
      <c r="T6" s="27">
        <f>SUMIF(R0!$AF$7:$AK$7,B6,R0!$AF$16:$AK$16)</f>
        <v>563735.96926069411</v>
      </c>
      <c r="U6" s="55"/>
      <c r="V6" s="24">
        <f t="shared" si="2"/>
        <v>1.3097768169179549</v>
      </c>
      <c r="W6" s="55"/>
      <c r="X6" s="27">
        <f>SUMIF(R0!$AF$7:$AK$7,B6,R0!$AF$27:$AK$27)</f>
        <v>333343.84568219649</v>
      </c>
      <c r="Y6" s="55"/>
      <c r="Z6" s="27">
        <f>SUMIF(R0!$AF$7:$AK$7,B6,R0!$AF$10:$AK$10)</f>
        <v>6674790.8535665106</v>
      </c>
      <c r="AA6" s="55"/>
      <c r="AB6" s="5"/>
      <c r="AC6" s="5"/>
      <c r="AD6" s="5"/>
    </row>
    <row r="7" spans="1:30" ht="15.75" thickBot="1" x14ac:dyDescent="0.3">
      <c r="A7" s="96"/>
      <c r="B7" s="32">
        <v>2100</v>
      </c>
      <c r="C7" s="9">
        <f>SUMIF(R0!$AF$7:$AK$7,B7,R0!$AF$17:$AK$17)</f>
        <v>17.178609999999999</v>
      </c>
      <c r="D7" s="44">
        <f>SUMIF(R0!$AF$7:$AK$7,B7,R0!$AF$21:$AK$21)</f>
        <v>0.96966048781639314</v>
      </c>
      <c r="E7" s="36">
        <f>SUMIF(R0!$AF$7:$AK$7,B7,R0!$AF$22:$AK$22)</f>
        <v>0.99933476497980267</v>
      </c>
      <c r="F7" s="48">
        <f t="shared" si="3"/>
        <v>1.0306027496595576</v>
      </c>
      <c r="G7" s="56"/>
      <c r="H7" s="7">
        <f>SUMIF(R0!$AF$7:$AK$7,B7,R0!$AF$19:$AK$19)</f>
        <v>0.91393118527122841</v>
      </c>
      <c r="I7" s="8">
        <f>SUMIF(R0!$AF$7:$AK$7,B7,R0!$AF$20:$AK$20)</f>
        <v>1</v>
      </c>
      <c r="J7" s="8">
        <f t="shared" si="4"/>
        <v>1.0941742837052102</v>
      </c>
      <c r="K7" s="56"/>
      <c r="L7" s="28">
        <f>SUMIF(R0!$AF$7:$AK$7,B7,R0!$AF$11:$AK$11)</f>
        <v>0.93045337018780971</v>
      </c>
      <c r="M7" s="25">
        <f>SUMIF(R0!$AF$7:$AK$7,B7,R0!$AF$12:$AK$12)</f>
        <v>30.64643780314308</v>
      </c>
      <c r="N7" s="25">
        <f t="shared" si="0"/>
        <v>31.576891173330889</v>
      </c>
      <c r="O7" s="56"/>
      <c r="P7" s="41">
        <f t="shared" si="1"/>
        <v>32.937102261188187</v>
      </c>
      <c r="Q7" s="56"/>
      <c r="R7" s="28">
        <f>SUMIF(R0!$AF$7:$AK$7,B7,R0!$AF$15:$AK$15)</f>
        <v>565256.78132613655</v>
      </c>
      <c r="S7" s="56"/>
      <c r="T7" s="28">
        <f>SUMIF(R0!$AF$7:$AK$7,B7,R0!$AF$16:$AK$16)</f>
        <v>740360.22778663575</v>
      </c>
      <c r="U7" s="56"/>
      <c r="V7" s="25">
        <f t="shared" si="2"/>
        <v>1.3097768169179551</v>
      </c>
      <c r="W7" s="56"/>
      <c r="X7" s="28">
        <f>SUMIF(R0!$AF$7:$AK$7,B7,R0!$AF$27:$AK$27)</f>
        <v>440530.34707703523</v>
      </c>
      <c r="Y7" s="56"/>
      <c r="Z7" s="28">
        <f>SUMIF(R0!$AF$7:$AK$7,B7,R0!$AF$10:$AK$10)</f>
        <v>13910578.828201231</v>
      </c>
      <c r="AA7" s="56"/>
      <c r="AB7" s="5"/>
      <c r="AC7" s="5"/>
      <c r="AD7" s="5"/>
    </row>
    <row r="8" spans="1:30" x14ac:dyDescent="0.25">
      <c r="A8" s="94" t="str">
        <f>R0!B1</f>
        <v>Western Cape</v>
      </c>
      <c r="B8" s="21">
        <v>2000</v>
      </c>
      <c r="C8" s="3">
        <f>SUMIF(R0!$AF$7:$AK$7,B8,R0!$AF$42:$AK$42)</f>
        <v>17.178609999999999</v>
      </c>
      <c r="D8" s="42">
        <f>SUMIF(R0!$AF$7:$AK$7,B8,R0!$AF$46:$AK$46)</f>
        <v>1</v>
      </c>
      <c r="E8" s="34">
        <f>SUMIF(R0!$AF$7:$AK$7,B8,R0!$AF$47:$AK$47)</f>
        <v>1</v>
      </c>
      <c r="F8" s="49">
        <f t="shared" si="3"/>
        <v>1</v>
      </c>
      <c r="G8" s="57">
        <f t="shared" ref="G8:G13" si="5">(F8-$F2)/$F2</f>
        <v>0</v>
      </c>
      <c r="H8" s="1">
        <f>SUMIF(R0!$AF$7:$AK$7,B8,R0!$AF$44:$AK$44)</f>
        <v>0.91393118527122841</v>
      </c>
      <c r="I8" s="2">
        <f>SUMIF(R0!$AF$7:$AK$7,B8,R0!$AF$45:$AK$45)</f>
        <v>1</v>
      </c>
      <c r="J8" s="2">
        <f t="shared" si="4"/>
        <v>1.0941742837052102</v>
      </c>
      <c r="K8" s="57">
        <f t="shared" ref="K8:K13" si="6">(J8-$J2)/$J2</f>
        <v>0</v>
      </c>
      <c r="L8" s="26">
        <f>SUMIF(R0!$AF$7:$AK$7,B8,R0!$AF$36:$AK$36)</f>
        <v>1.1477007267974999</v>
      </c>
      <c r="M8" s="23">
        <f>SUMIF(R0!$AF$7:$AK$7,B8,R0!$AF$37:$AK$37)</f>
        <v>1.7176274507745</v>
      </c>
      <c r="N8" s="23">
        <f t="shared" si="0"/>
        <v>2.8653281775719996</v>
      </c>
      <c r="O8" s="57"/>
      <c r="P8" s="38">
        <f t="shared" si="1"/>
        <v>1.4965813044026746</v>
      </c>
      <c r="Q8" s="57">
        <f t="shared" ref="Q8:Q13" si="7">(P8-$P2)/$P2</f>
        <v>0</v>
      </c>
      <c r="R8" s="26">
        <f>SUMIF(R0!$AF$7:$AK$7,B8,R0!$AF$40:$AK$40)</f>
        <v>45230.686034216073</v>
      </c>
      <c r="S8" s="57">
        <f t="shared" ref="S8:S13" si="8">(R8-$R2)/$R2</f>
        <v>0</v>
      </c>
      <c r="T8" s="26">
        <f>SUMIF(R0!$AF$7:$AK$7,B8,R0!$AF$41:$AK$41)</f>
        <v>59242.103980910957</v>
      </c>
      <c r="U8" s="57">
        <f t="shared" ref="U8:U13" si="9">(T8-$T2)/$T2</f>
        <v>0</v>
      </c>
      <c r="V8" s="23">
        <f t="shared" si="2"/>
        <v>1.3097768169179556</v>
      </c>
      <c r="W8" s="57">
        <f t="shared" ref="W8:W13" si="10">(V8-$V2)/$V2</f>
        <v>0</v>
      </c>
      <c r="X8" s="26">
        <f>SUMIF(R0!$AF$7:$AK$7,B8,R0!$AF$52:$AK$52)</f>
        <v>18427.262540756401</v>
      </c>
      <c r="Y8" s="57">
        <f t="shared" ref="Y8:Y13" si="11">(X8-$X2)/$X2</f>
        <v>0</v>
      </c>
      <c r="Z8" s="26">
        <f>SUMIF(R0!$AF$7:$AK$7,B8,R0!$AF$35:$AK$35)</f>
        <v>92159.678226000004</v>
      </c>
      <c r="AA8" s="57">
        <f t="shared" ref="AA8:AA13" si="12">(Z8-$Z2)/$Z2</f>
        <v>0</v>
      </c>
      <c r="AB8" s="5"/>
      <c r="AC8" s="5"/>
      <c r="AD8" s="5"/>
    </row>
    <row r="9" spans="1:30" x14ac:dyDescent="0.25">
      <c r="A9" s="95"/>
      <c r="B9" s="31">
        <v>2020</v>
      </c>
      <c r="C9" s="14">
        <f>SUMIF(R0!$AF$7:$AK$7,B9,R0!$AF$42:$AK$42)</f>
        <v>17.57141</v>
      </c>
      <c r="D9" s="43">
        <f>SUMIF(R0!$AF$7:$AK$7,B9,R0!$AF$46:$AK$46)</f>
        <v>0.96439833420871968</v>
      </c>
      <c r="E9" s="35">
        <f>SUMIF(R0!$AF$7:$AK$7,B9,R0!$AF$47:$AK$47)</f>
        <v>0.99844694181596516</v>
      </c>
      <c r="F9" s="50">
        <f t="shared" si="3"/>
        <v>1.0353055437773875</v>
      </c>
      <c r="G9" s="58">
        <f t="shared" si="5"/>
        <v>4.5631492050486108E-3</v>
      </c>
      <c r="H9" s="4">
        <f>SUMIF(R0!$AF$7:$AK$7,B9,R0!$AF$44:$AK$44)</f>
        <v>0.93239381990594794</v>
      </c>
      <c r="I9" s="5">
        <f>SUMIF(R0!$AF$7:$AK$7,B9,R0!$AF$45:$AK$45)</f>
        <v>1</v>
      </c>
      <c r="J9" s="13">
        <f t="shared" si="4"/>
        <v>1.0725081812542168</v>
      </c>
      <c r="K9" s="58">
        <f t="shared" si="6"/>
        <v>-1.9801326693244289E-2</v>
      </c>
      <c r="L9" s="27">
        <f>SUMIF(R0!$AF$7:$AK$7,B9,R0!$AF$36:$AK$36)</f>
        <v>1.2706865399072811</v>
      </c>
      <c r="M9" s="24">
        <f>SUMIF(R0!$AF$7:$AK$7,B9,R0!$AF$37:$AK$37)</f>
        <v>3.542688123767272</v>
      </c>
      <c r="N9" s="24">
        <f t="shared" si="0"/>
        <v>4.8133746636745531</v>
      </c>
      <c r="O9" s="58"/>
      <c r="P9" s="39">
        <f t="shared" si="1"/>
        <v>2.7880110574129269</v>
      </c>
      <c r="Q9" s="58">
        <f t="shared" si="7"/>
        <v>3.8692739862432159E-3</v>
      </c>
      <c r="R9" s="27">
        <f>SUMIF(R0!$AF$7:$AK$7,B9,R0!$AF$40:$AK$40)</f>
        <v>109643.69288109129</v>
      </c>
      <c r="S9" s="58">
        <f t="shared" si="8"/>
        <v>1.7842955134810985E-3</v>
      </c>
      <c r="T9" s="27">
        <f>SUMIF(R0!$AF$7:$AK$7,B9,R0!$AF$41:$AK$41)</f>
        <v>142956.43551186309</v>
      </c>
      <c r="U9" s="58">
        <f t="shared" si="9"/>
        <v>-2.7662309669300505E-3</v>
      </c>
      <c r="V9" s="24">
        <f t="shared" si="2"/>
        <v>1.3038272585993569</v>
      </c>
      <c r="W9" s="58">
        <f t="shared" si="10"/>
        <v>-4.5424214581831083E-3</v>
      </c>
      <c r="X9" s="27">
        <f>SUMIF(R0!$AF$7:$AK$7,B9,R0!$AF$52:$AK$52)</f>
        <v>79780.969506056368</v>
      </c>
      <c r="Y9" s="58">
        <f t="shared" si="11"/>
        <v>-3.4439564394135196E-3</v>
      </c>
      <c r="Z9" s="27">
        <f>SUMIF(R0!$AF$7:$AK$7,B9,R0!$AF$35:$AK$35)</f>
        <v>384015.69726384379</v>
      </c>
      <c r="AA9" s="58">
        <f t="shared" si="12"/>
        <v>-3.6521875762009874E-3</v>
      </c>
      <c r="AB9" s="5"/>
      <c r="AC9" s="5"/>
      <c r="AD9" s="5"/>
    </row>
    <row r="10" spans="1:30" x14ac:dyDescent="0.25">
      <c r="A10" s="95"/>
      <c r="B10" s="31">
        <v>2040</v>
      </c>
      <c r="C10" s="6">
        <f>SUMIF(R0!$AF$7:$AK$7,B10,R0!$AF$42:$AK$42)</f>
        <v>18.19323</v>
      </c>
      <c r="D10" s="43">
        <f>SUMIF(R0!$AF$7:$AK$7,B10,R0!$AF$46:$AK$46)</f>
        <v>0.94627095271536965</v>
      </c>
      <c r="E10" s="35">
        <f>SUMIF(R0!$AF$7:$AK$7,B10,R0!$AF$47:$AK$47)</f>
        <v>0.99356517912022047</v>
      </c>
      <c r="F10" s="50">
        <f t="shared" si="3"/>
        <v>1.0499795817140301</v>
      </c>
      <c r="G10" s="58">
        <f t="shared" si="5"/>
        <v>1.8801455809111033E-2</v>
      </c>
      <c r="H10" s="4">
        <f>SUMIF(R0!$AF$7:$AK$7,B10,R0!$AF$44:$AK$44)</f>
        <v>0.95122942450071424</v>
      </c>
      <c r="I10" s="5">
        <f>SUMIF(R0!$AF$7:$AK$7,B10,R0!$AF$45:$AK$45)</f>
        <v>1</v>
      </c>
      <c r="J10" s="5">
        <f t="shared" si="4"/>
        <v>1.0512710963760239</v>
      </c>
      <c r="K10" s="58">
        <f t="shared" si="6"/>
        <v>-3.9210560847676781E-2</v>
      </c>
      <c r="L10" s="27">
        <f>SUMIF(R0!$AF$7:$AK$7,B10,R0!$AF$36:$AK$36)</f>
        <v>1.2719005080223189</v>
      </c>
      <c r="M10" s="24">
        <f>SUMIF(R0!$AF$7:$AK$7,B10,R0!$AF$37:$AK$37)</f>
        <v>6.5903433433599048</v>
      </c>
      <c r="N10" s="24">
        <f t="shared" si="0"/>
        <v>7.8622438513822237</v>
      </c>
      <c r="O10" s="58"/>
      <c r="P10" s="40">
        <f t="shared" si="1"/>
        <v>5.1814928147227848</v>
      </c>
      <c r="Q10" s="58">
        <f t="shared" si="7"/>
        <v>5.3575774959834406E-3</v>
      </c>
      <c r="R10" s="27">
        <f>SUMIF(R0!$AF$7:$AK$7,B10,R0!$AF$40:$AK$40)</f>
        <v>201589.28636161849</v>
      </c>
      <c r="S10" s="58">
        <f t="shared" si="8"/>
        <v>8.2016871385176063E-3</v>
      </c>
      <c r="T10" s="27">
        <f>SUMIF(R0!$AF$7:$AK$7,B10,R0!$AF$41:$AK$41)</f>
        <v>259164.3075399712</v>
      </c>
      <c r="U10" s="58">
        <f t="shared" si="9"/>
        <v>-1.040415540256146E-2</v>
      </c>
      <c r="V10" s="24">
        <f t="shared" si="2"/>
        <v>1.2856055607790211</v>
      </c>
      <c r="W10" s="58">
        <f t="shared" si="10"/>
        <v>-1.8454484631826213E-2</v>
      </c>
      <c r="X10" s="27">
        <f>SUMIF(R0!$AF$7:$AK$7,B10,R0!$AF$52:$AK$52)</f>
        <v>148020.0733164204</v>
      </c>
      <c r="Y10" s="58">
        <f t="shared" si="11"/>
        <v>-1.5924274657746058E-2</v>
      </c>
      <c r="Z10" s="27">
        <f>SUMIF(R0!$AF$7:$AK$7,B10,R0!$AF$35:$AK$35)</f>
        <v>1163769.911313172</v>
      </c>
      <c r="AA10" s="58">
        <f t="shared" si="12"/>
        <v>-1.6323097307998979E-2</v>
      </c>
      <c r="AB10" s="5"/>
      <c r="AC10" s="5"/>
      <c r="AD10" s="5"/>
    </row>
    <row r="11" spans="1:30" x14ac:dyDescent="0.25">
      <c r="A11" s="95"/>
      <c r="B11" s="31">
        <v>2060</v>
      </c>
      <c r="C11" s="6">
        <f>SUMIF(R0!$AF$7:$AK$7,B11,R0!$AF$42:$AK$42)</f>
        <v>18.91656</v>
      </c>
      <c r="D11" s="43">
        <f>SUMIF(R0!$AF$7:$AK$7,B11,R0!$AF$46:$AK$46)</f>
        <v>0.92479939883583451</v>
      </c>
      <c r="E11" s="35">
        <f>SUMIF(R0!$AF$7:$AK$7,B11,R0!$AF$47:$AK$47)</f>
        <v>0.98540782953795247</v>
      </c>
      <c r="F11" s="50">
        <f t="shared" si="3"/>
        <v>1.0655368405066155</v>
      </c>
      <c r="G11" s="58">
        <f t="shared" si="5"/>
        <v>3.3896756881929328E-2</v>
      </c>
      <c r="H11" s="4">
        <f>SUMIF(R0!$AF$7:$AK$7,B11,R0!$AF$44:$AK$44)</f>
        <v>0.97044553354850793</v>
      </c>
      <c r="I11" s="5">
        <f>SUMIF(R0!$AF$7:$AK$7,B11,R0!$AF$45:$AK$45)</f>
        <v>1</v>
      </c>
      <c r="J11" s="5">
        <f t="shared" si="4"/>
        <v>1.0304545339535172</v>
      </c>
      <c r="K11" s="58">
        <f t="shared" si="6"/>
        <v>-5.8235466415750871E-2</v>
      </c>
      <c r="L11" s="27">
        <f>SUMIF(R0!$AF$7:$AK$7,B11,R0!$AF$36:$AK$36)</f>
        <v>1.1865943129764509</v>
      </c>
      <c r="M11" s="24">
        <f>SUMIF(R0!$AF$7:$AK$7,B11,R0!$AF$37:$AK$37)</f>
        <v>11.4248036705525</v>
      </c>
      <c r="N11" s="24">
        <f t="shared" si="0"/>
        <v>12.611397983528951</v>
      </c>
      <c r="O11" s="58"/>
      <c r="P11" s="40">
        <f t="shared" si="1"/>
        <v>9.6282305971065583</v>
      </c>
      <c r="Q11" s="58">
        <f t="shared" si="7"/>
        <v>6.6885383233291655E-3</v>
      </c>
      <c r="R11" s="27">
        <f>SUMIF(R0!$AF$7:$AK$7,B11,R0!$AF$40:$AK$40)</f>
        <v>313318.1749378086</v>
      </c>
      <c r="S11" s="58">
        <f t="shared" si="8"/>
        <v>1.4596165948003904E-2</v>
      </c>
      <c r="T11" s="27">
        <f>SUMIF(R0!$AF$7:$AK$7,B11,R0!$AF$41:$AK$41)</f>
        <v>396922.49648815818</v>
      </c>
      <c r="U11" s="58">
        <f t="shared" si="9"/>
        <v>-1.8667812627765561E-2</v>
      </c>
      <c r="V11" s="24">
        <f t="shared" si="2"/>
        <v>1.2668352117362629</v>
      </c>
      <c r="W11" s="58">
        <f t="shared" si="10"/>
        <v>-3.2785436898126526E-2</v>
      </c>
      <c r="X11" s="27">
        <f>SUMIF(R0!$AF$7:$AK$7,B11,R0!$AF$52:$AK$52)</f>
        <v>228955.4078431555</v>
      </c>
      <c r="Y11" s="58">
        <f t="shared" si="11"/>
        <v>-3.2197374275316062E-2</v>
      </c>
      <c r="Z11" s="27">
        <f>SUMIF(R0!$AF$7:$AK$7,B11,R0!$AF$35:$AK$35)</f>
        <v>2887447.7687912211</v>
      </c>
      <c r="AA11" s="58">
        <f t="shared" si="12"/>
        <v>-3.2736028614170742E-2</v>
      </c>
      <c r="AB11" s="5"/>
      <c r="AC11" s="5"/>
      <c r="AD11" s="5"/>
    </row>
    <row r="12" spans="1:30" x14ac:dyDescent="0.25">
      <c r="A12" s="95"/>
      <c r="B12" s="31">
        <v>2080</v>
      </c>
      <c r="C12" s="6">
        <f>SUMIF(R0!$AF$7:$AK$7,B12,R0!$AF$42:$AK$42)</f>
        <v>19.61712</v>
      </c>
      <c r="D12" s="43">
        <f>SUMIF(R0!$AF$7:$AK$7,B12,R0!$AF$46:$AK$46)</f>
        <v>0.90022563327805616</v>
      </c>
      <c r="E12" s="35">
        <f>SUMIF(R0!$AF$7:$AK$7,B12,R0!$AF$47:$AK$47)</f>
        <v>0.97405330480158026</v>
      </c>
      <c r="F12" s="50">
        <f t="shared" si="3"/>
        <v>1.0820101858849431</v>
      </c>
      <c r="G12" s="58">
        <f t="shared" si="5"/>
        <v>4.9880942237314194E-2</v>
      </c>
      <c r="H12" s="4">
        <f>SUMIF(R0!$AF$7:$AK$7,B12,R0!$AF$44:$AK$44)</f>
        <v>0.99004983374916744</v>
      </c>
      <c r="I12" s="5">
        <f>SUMIF(R0!$AF$7:$AK$7,B12,R0!$AF$45:$AK$45)</f>
        <v>1</v>
      </c>
      <c r="J12" s="5">
        <f t="shared" si="4"/>
        <v>1.0100501670841686</v>
      </c>
      <c r="K12" s="58">
        <f t="shared" si="6"/>
        <v>-7.6883653613363565E-2</v>
      </c>
      <c r="L12" s="27">
        <f>SUMIF(R0!$AF$7:$AK$7,B12,R0!$AF$36:$AK$36)</f>
        <v>1.059413305898584</v>
      </c>
      <c r="M12" s="24">
        <f>SUMIF(R0!$AF$7:$AK$7,B12,R0!$AF$37:$AK$37)</f>
        <v>18.951110916761991</v>
      </c>
      <c r="N12" s="24">
        <f t="shared" si="0"/>
        <v>20.010524222660575</v>
      </c>
      <c r="O12" s="58"/>
      <c r="P12" s="40">
        <f t="shared" si="1"/>
        <v>17.888307435111781</v>
      </c>
      <c r="Q12" s="58">
        <f t="shared" si="7"/>
        <v>7.8615486152681779E-3</v>
      </c>
      <c r="R12" s="27">
        <f>SUMIF(R0!$AF$7:$AK$7,B12,R0!$AF$40:$AK$40)</f>
        <v>438712.56492845842</v>
      </c>
      <c r="S12" s="58">
        <f t="shared" si="8"/>
        <v>1.9299065815299426E-2</v>
      </c>
      <c r="T12" s="27">
        <f>SUMIF(R0!$AF$7:$AK$7,B12,R0!$AF$41:$AK$41)</f>
        <v>547314.96088441496</v>
      </c>
      <c r="U12" s="58">
        <f t="shared" si="9"/>
        <v>-2.9128899470108879E-2</v>
      </c>
      <c r="V12" s="24">
        <f t="shared" si="2"/>
        <v>1.2475479497006576</v>
      </c>
      <c r="W12" s="58">
        <f t="shared" si="10"/>
        <v>-4.7511046472580303E-2</v>
      </c>
      <c r="X12" s="27">
        <f>SUMIF(R0!$AF$7:$AK$7,B12,R0!$AF$52:$AK$52)</f>
        <v>315479.18739116908</v>
      </c>
      <c r="Y12" s="58">
        <f t="shared" si="11"/>
        <v>-5.3592284730701857E-2</v>
      </c>
      <c r="Z12" s="27">
        <f>SUMIF(R0!$AF$7:$AK$7,B12,R0!$AF$35:$AK$35)</f>
        <v>6312903.921036263</v>
      </c>
      <c r="AA12" s="58">
        <f t="shared" si="12"/>
        <v>-5.4216969560459294E-2</v>
      </c>
      <c r="AB12" s="5"/>
      <c r="AC12" s="5"/>
      <c r="AD12" s="5"/>
    </row>
    <row r="13" spans="1:30" ht="15.75" thickBot="1" x14ac:dyDescent="0.3">
      <c r="A13" s="96"/>
      <c r="B13" s="32">
        <v>2100</v>
      </c>
      <c r="C13" s="9">
        <f>SUMIF(R0!$AF$7:$AK$7,B13,R0!$AF$42:$AK$42)</f>
        <v>20.436979999999998</v>
      </c>
      <c r="D13" s="44">
        <f>SUMIF(R0!$AF$7:$AK$7,B13,R0!$AF$46:$AK$46)</f>
        <v>0.86311515559253815</v>
      </c>
      <c r="E13" s="36">
        <f>SUMIF(R0!$AF$7:$AK$7,B13,R0!$AF$47:$AK$47)</f>
        <v>0.95414178358867729</v>
      </c>
      <c r="F13" s="51">
        <f t="shared" si="3"/>
        <v>1.105462900757024</v>
      </c>
      <c r="G13" s="59">
        <f t="shared" si="5"/>
        <v>7.263725147463003E-2</v>
      </c>
      <c r="H13" s="7">
        <f>SUMIF(R0!$AF$7:$AK$7,B13,R0!$AF$44:$AK$44)</f>
        <v>1</v>
      </c>
      <c r="I13" s="8">
        <f>SUMIF(R0!$AF$7:$AK$7,B13,R0!$AF$45:$AK$45)</f>
        <v>1</v>
      </c>
      <c r="J13" s="8">
        <f t="shared" si="4"/>
        <v>1</v>
      </c>
      <c r="K13" s="59">
        <f t="shared" si="6"/>
        <v>-8.6068814728771675E-2</v>
      </c>
      <c r="L13" s="28">
        <f>SUMIF(R0!$AF$7:$AK$7,B13,R0!$AF$36:$AK$36)</f>
        <v>0.92533036792356671</v>
      </c>
      <c r="M13" s="25">
        <f>SUMIF(R0!$AF$7:$AK$7,B13,R0!$AF$37:$AK$37)</f>
        <v>30.629549584301831</v>
      </c>
      <c r="N13" s="25">
        <f t="shared" si="0"/>
        <v>31.554879952225399</v>
      </c>
      <c r="O13" s="59"/>
      <c r="P13" s="41">
        <f t="shared" si="1"/>
        <v>33.101204333144572</v>
      </c>
      <c r="Q13" s="59">
        <f t="shared" si="7"/>
        <v>4.9822862574573556E-3</v>
      </c>
      <c r="R13" s="33">
        <f>SUMIF(R0!$AF$7:$AK$7,B13,R0!$AF$40:$AK$40)</f>
        <v>577076.67147363967</v>
      </c>
      <c r="S13" s="59">
        <f t="shared" si="8"/>
        <v>2.0910656073462278E-2</v>
      </c>
      <c r="T13" s="28">
        <f>SUMIF(R0!$AF$7:$AK$7,B13,R0!$AF$41:$AK$41)</f>
        <v>704657.27797654213</v>
      </c>
      <c r="U13" s="59">
        <f t="shared" si="9"/>
        <v>-4.8223754424019175E-2</v>
      </c>
      <c r="V13" s="25">
        <f t="shared" si="2"/>
        <v>1.2210808594586036</v>
      </c>
      <c r="W13" s="59">
        <f t="shared" si="10"/>
        <v>-6.7718374851115953E-2</v>
      </c>
      <c r="X13" s="28">
        <f>SUMIF(R0!$AF$7:$AK$7,B13,R0!$AF$52:$AK$52)</f>
        <v>400339.73291630519</v>
      </c>
      <c r="Y13" s="59">
        <f t="shared" si="11"/>
        <v>-9.1232339445849644E-2</v>
      </c>
      <c r="Z13" s="28">
        <f>SUMIF(R0!$AF$7:$AK$7,B13,R0!$AF$35:$AK$35)</f>
        <v>12632672.21227999</v>
      </c>
      <c r="AA13" s="59">
        <f t="shared" si="12"/>
        <v>-9.1865811746849199E-2</v>
      </c>
      <c r="AB13" s="5"/>
      <c r="AC13" s="5"/>
      <c r="AD13" s="5"/>
    </row>
    <row r="14" spans="1:30" ht="15" customHeight="1" x14ac:dyDescent="0.25">
      <c r="A14" s="100" t="s">
        <v>6</v>
      </c>
      <c r="B14" s="21">
        <v>2000</v>
      </c>
      <c r="C14" s="3">
        <f>SUMIF('R1'!$AF$7:$AK$7,B14,'R1'!$AF$17:$AK$17)</f>
        <v>16.550899999999999</v>
      </c>
      <c r="D14" s="42">
        <f>SUMIF('R1'!$AF$7:$AK$7,B14,'R1'!$AF$21:$AK$21)</f>
        <v>1</v>
      </c>
      <c r="E14" s="34">
        <f>SUMIF('R1'!$AF$7:$AK$7,B14,'R1'!$AF$22:$AK$22)</f>
        <v>1</v>
      </c>
      <c r="F14" s="45">
        <f>E14/D14</f>
        <v>1</v>
      </c>
      <c r="G14" s="53"/>
      <c r="H14" s="1">
        <f>SUMIF('R1'!$AF$7:$AK$7,B14,'R1'!$AF$19:$AK$19)</f>
        <v>0.88692043671715748</v>
      </c>
      <c r="I14" s="2">
        <f>SUMIF('R1'!$AF$7:$AK$7,B14,'R1'!$AF$20:$AK$20)</f>
        <v>1</v>
      </c>
      <c r="J14" s="2">
        <f>I14/H14</f>
        <v>1.1274968515793757</v>
      </c>
      <c r="K14" s="53"/>
      <c r="L14" s="26">
        <f>SUMIF('R1'!$AF$7:$AK$7,B14,'R1'!$AF$11:$AK$11)</f>
        <v>1.8708231251865</v>
      </c>
      <c r="M14" s="24">
        <f>SUMIF('R1'!$AF$7:$AK$7,B14,'R1'!$AF$12:$AK$12)</f>
        <v>2.7998389129982999</v>
      </c>
      <c r="N14" s="23">
        <f t="shared" si="0"/>
        <v>4.6706620381847994</v>
      </c>
      <c r="O14" s="53"/>
      <c r="P14" s="38">
        <f t="shared" si="1"/>
        <v>1.4965813044026743</v>
      </c>
      <c r="Q14" s="53"/>
      <c r="R14" s="26">
        <f>SUMIF('R1'!$AF$7:$AK$7,B14,'R1'!$AF$15:$AK$15)</f>
        <v>44822.290798478491</v>
      </c>
      <c r="S14" s="53"/>
      <c r="T14" s="26">
        <f>SUMIF('R1'!$AF$7:$AK$7,B14,'R1'!$AF$16:$AK$16)</f>
        <v>59488.971502423847</v>
      </c>
      <c r="U14" s="53"/>
      <c r="V14" s="23">
        <f t="shared" si="2"/>
        <v>1.3272184540921148</v>
      </c>
      <c r="W14" s="53"/>
      <c r="X14" s="26">
        <f>SUMIF('R1'!$AF$7:$AK$7,B14,'R1'!$AF$27:$AK$27)</f>
        <v>18427.262540756401</v>
      </c>
      <c r="Y14" s="53"/>
      <c r="Z14" s="26">
        <f>SUMIF('R1'!$AF$7:$AK$7,B14,'R1'!$AF$10:$AK$10)</f>
        <v>150225.97198840001</v>
      </c>
      <c r="AA14" s="53"/>
    </row>
    <row r="15" spans="1:30" x14ac:dyDescent="0.25">
      <c r="A15" s="101"/>
      <c r="B15" s="31">
        <v>2020</v>
      </c>
      <c r="C15" s="14">
        <f>SUMIF('R1'!$AF$7:$AK$7,B15,'R1'!$AF$17:$AK$17)</f>
        <v>16.550899999999999</v>
      </c>
      <c r="D15" s="43">
        <f>SUMIF('R1'!$AF$7:$AK$7,B15,'R1'!$AF$21:$AK$21)</f>
        <v>0.98300570279749855</v>
      </c>
      <c r="E15" s="35">
        <f>SUMIF('R1'!$AF$7:$AK$7,B15,'R1'!$AF$22:$AK$22)</f>
        <v>0.99977488244563673</v>
      </c>
      <c r="F15" s="46">
        <f t="shared" ref="F15:F25" si="13">E15/D15</f>
        <v>1.0170590868398988</v>
      </c>
      <c r="G15" s="54"/>
      <c r="H15" s="4">
        <f>SUMIF('R1'!$AF$7:$AK$7,B15,'R1'!$AF$19:$AK$19)</f>
        <v>0.88692043671715748</v>
      </c>
      <c r="I15" s="5">
        <f>SUMIF('R1'!$AF$7:$AK$7,B15,'R1'!$AF$20:$AK$20)</f>
        <v>1</v>
      </c>
      <c r="J15" s="5">
        <f t="shared" ref="J15:J25" si="14">I15/H15</f>
        <v>1.1274968515793757</v>
      </c>
      <c r="K15" s="55"/>
      <c r="L15" s="27">
        <f>SUMIF('R1'!$AF$7:$AK$7,B15,'R1'!$AF$11:$AK$11)</f>
        <v>2.077624390008967</v>
      </c>
      <c r="M15" s="24">
        <f>SUMIF('R1'!$AF$7:$AK$7,B15,'R1'!$AF$12:$AK$12)</f>
        <v>5.7701136219606672</v>
      </c>
      <c r="N15" s="24">
        <f t="shared" si="0"/>
        <v>7.8477380119696338</v>
      </c>
      <c r="O15" s="55"/>
      <c r="P15" s="39">
        <f t="shared" si="1"/>
        <v>2.7772650579712166</v>
      </c>
      <c r="Q15" s="55"/>
      <c r="R15" s="27">
        <f>SUMIF('R1'!$AF$7:$AK$7,B15,'R1'!$AF$15:$AK$15)</f>
        <v>108984.62419619771</v>
      </c>
      <c r="S15" s="55"/>
      <c r="T15" s="27">
        <f>SUMIF('R1'!$AF$7:$AK$7,B15,'R1'!$AF$16:$AK$16)</f>
        <v>144646.4044454876</v>
      </c>
      <c r="U15" s="55"/>
      <c r="V15" s="24">
        <f t="shared" si="2"/>
        <v>1.3272184540921146</v>
      </c>
      <c r="W15" s="55"/>
      <c r="X15" s="27">
        <f>SUMIF('R1'!$AF$7:$AK$7,B15,'R1'!$AF$27:$AK$27)</f>
        <v>80814.579265369073</v>
      </c>
      <c r="Y15" s="55"/>
      <c r="Z15" s="27">
        <f>SUMIF('R1'!$AF$7:$AK$7,B15,'R1'!$AF$10:$AK$10)</f>
        <v>634211.64562216983</v>
      </c>
      <c r="AA15" s="55"/>
    </row>
    <row r="16" spans="1:30" x14ac:dyDescent="0.25">
      <c r="A16" s="101"/>
      <c r="B16" s="31">
        <v>2040</v>
      </c>
      <c r="C16" s="6">
        <f>SUMIF('R1'!$AF$7:$AK$7,B16,'R1'!$AF$17:$AK$17)</f>
        <v>16.550899999999999</v>
      </c>
      <c r="D16" s="43">
        <f>SUMIF('R1'!$AF$7:$AK$7,B16,'R1'!$AF$21:$AK$21)</f>
        <v>0.98300570279749855</v>
      </c>
      <c r="E16" s="35">
        <f>SUMIF('R1'!$AF$7:$AK$7,B16,'R1'!$AF$22:$AK$22)</f>
        <v>0.99977488244563673</v>
      </c>
      <c r="F16" s="47">
        <f t="shared" si="13"/>
        <v>1.0170590868398988</v>
      </c>
      <c r="G16" s="55"/>
      <c r="H16" s="4">
        <f>SUMIF('R1'!$AF$7:$AK$7,B16,'R1'!$AF$19:$AK$19)</f>
        <v>0.88692043671715748</v>
      </c>
      <c r="I16" s="5">
        <f>SUMIF('R1'!$AF$7:$AK$7,B16,'R1'!$AF$20:$AK$20)</f>
        <v>1</v>
      </c>
      <c r="J16" s="5">
        <f t="shared" si="14"/>
        <v>1.1274968515793757</v>
      </c>
      <c r="K16" s="55"/>
      <c r="L16" s="27">
        <f>SUMIF('R1'!$AF$7:$AK$7,B16,'R1'!$AF$11:$AK$11)</f>
        <v>2.0834235495300728</v>
      </c>
      <c r="M16" s="24">
        <f>SUMIF('R1'!$AF$7:$AK$7,B16,'R1'!$AF$12:$AK$12)</f>
        <v>10.737716006280801</v>
      </c>
      <c r="N16" s="24">
        <f t="shared" si="0"/>
        <v>12.821139555810873</v>
      </c>
      <c r="O16" s="55"/>
      <c r="P16" s="40">
        <f t="shared" si="1"/>
        <v>5.1538805005361246</v>
      </c>
      <c r="Q16" s="55"/>
      <c r="R16" s="27">
        <f>SUMIF('R1'!$AF$7:$AK$7,B16,'R1'!$AF$15:$AK$15)</f>
        <v>198380.9085707881</v>
      </c>
      <c r="S16" s="55"/>
      <c r="T16" s="27">
        <f>SUMIF('R1'!$AF$7:$AK$7,B16,'R1'!$AF$16:$AK$16)</f>
        <v>263294.8027947105</v>
      </c>
      <c r="U16" s="55"/>
      <c r="V16" s="24">
        <f t="shared" si="2"/>
        <v>1.3272184540921146</v>
      </c>
      <c r="W16" s="55"/>
      <c r="X16" s="27">
        <f>SUMIF('R1'!$AF$7:$AK$7,B16,'R1'!$AF$27:$AK$27)</f>
        <v>151289.3237436155</v>
      </c>
      <c r="Y16" s="55"/>
      <c r="Z16" s="27">
        <f>SUMIF('R1'!$AF$7:$AK$7,B16,'R1'!$AF$10:$AK$10)</f>
        <v>1939701.533021146</v>
      </c>
      <c r="AA16" s="55"/>
    </row>
    <row r="17" spans="1:27" x14ac:dyDescent="0.25">
      <c r="A17" s="101"/>
      <c r="B17" s="31">
        <v>2060</v>
      </c>
      <c r="C17" s="6">
        <f>SUMIF('R1'!$AF$7:$AK$7,B17,'R1'!$AF$17:$AK$17)</f>
        <v>16.550899999999999</v>
      </c>
      <c r="D17" s="43">
        <f>SUMIF('R1'!$AF$7:$AK$7,B17,'R1'!$AF$21:$AK$21)</f>
        <v>0.98300570279749855</v>
      </c>
      <c r="E17" s="35">
        <f>SUMIF('R1'!$AF$7:$AK$7,B17,'R1'!$AF$22:$AK$22)</f>
        <v>0.99977488244563673</v>
      </c>
      <c r="F17" s="47">
        <f t="shared" si="13"/>
        <v>1.0170590868398988</v>
      </c>
      <c r="G17" s="55"/>
      <c r="H17" s="4">
        <f>SUMIF('R1'!$AF$7:$AK$7,B17,'R1'!$AF$19:$AK$19)</f>
        <v>0.88692043671715748</v>
      </c>
      <c r="I17" s="5">
        <f>SUMIF('R1'!$AF$7:$AK$7,B17,'R1'!$AF$20:$AK$20)</f>
        <v>1</v>
      </c>
      <c r="J17" s="5">
        <f t="shared" si="14"/>
        <v>1.1274968515793757</v>
      </c>
      <c r="K17" s="55"/>
      <c r="L17" s="27">
        <f>SUMIF('R1'!$AF$7:$AK$7,B17,'R1'!$AF$11:$AK$11)</f>
        <v>1.947018242106048</v>
      </c>
      <c r="M17" s="24">
        <f>SUMIF('R1'!$AF$7:$AK$7,B17,'R1'!$AF$12:$AK$12)</f>
        <v>18.621788068624159</v>
      </c>
      <c r="N17" s="24">
        <f t="shared" si="0"/>
        <v>20.568806310730206</v>
      </c>
      <c r="O17" s="55"/>
      <c r="P17" s="40">
        <f t="shared" si="1"/>
        <v>9.5642596797045769</v>
      </c>
      <c r="Q17" s="55"/>
      <c r="R17" s="27">
        <f>SUMIF('R1'!$AF$7:$AK$7,B17,'R1'!$AF$15:$AK$15)</f>
        <v>305686.34199488262</v>
      </c>
      <c r="S17" s="55"/>
      <c r="T17" s="27">
        <f>SUMIF('R1'!$AF$7:$AK$7,B17,'R1'!$AF$16:$AK$16)</f>
        <v>405712.55425952142</v>
      </c>
      <c r="U17" s="55"/>
      <c r="V17" s="24">
        <f t="shared" si="2"/>
        <v>1.3272184540921141</v>
      </c>
      <c r="W17" s="55"/>
      <c r="X17" s="27">
        <f>SUMIF('R1'!$AF$7:$AK$7,B17,'R1'!$AF$27:$AK$27)</f>
        <v>237401.85696295279</v>
      </c>
      <c r="Y17" s="55"/>
      <c r="Z17" s="27">
        <f>SUMIF('R1'!$AF$7:$AK$7,B17,'R1'!$AF$10:$AK$10)</f>
        <v>4883072.813678653</v>
      </c>
      <c r="AA17" s="55"/>
    </row>
    <row r="18" spans="1:27" x14ac:dyDescent="0.25">
      <c r="A18" s="101"/>
      <c r="B18" s="31">
        <v>2080</v>
      </c>
      <c r="C18" s="6">
        <f>SUMIF('R1'!$AF$7:$AK$7,B18,'R1'!$AF$17:$AK$17)</f>
        <v>16.550899999999999</v>
      </c>
      <c r="D18" s="43">
        <f>SUMIF('R1'!$AF$7:$AK$7,B18,'R1'!$AF$21:$AK$21)</f>
        <v>0.98300570279749855</v>
      </c>
      <c r="E18" s="35">
        <f>SUMIF('R1'!$AF$7:$AK$7,B18,'R1'!$AF$22:$AK$22)</f>
        <v>0.99977488244563673</v>
      </c>
      <c r="F18" s="47">
        <f t="shared" si="13"/>
        <v>1.0170590868398988</v>
      </c>
      <c r="G18" s="55"/>
      <c r="H18" s="4">
        <f>SUMIF('R1'!$AF$7:$AK$7,B18,'R1'!$AF$19:$AK$19)</f>
        <v>0.88692043671715748</v>
      </c>
      <c r="I18" s="5">
        <f>SUMIF('R1'!$AF$7:$AK$7,B18,'R1'!$AF$20:$AK$20)</f>
        <v>1</v>
      </c>
      <c r="J18" s="5">
        <f t="shared" si="14"/>
        <v>1.1274968515793757</v>
      </c>
      <c r="K18" s="55"/>
      <c r="L18" s="27">
        <f>SUMIF('R1'!$AF$7:$AK$7,B18,'R1'!$AF$11:$AK$11)</f>
        <v>1.7409103454761881</v>
      </c>
      <c r="M18" s="24">
        <f>SUMIF('R1'!$AF$7:$AK$7,B18,'R1'!$AF$12:$AK$12)</f>
        <v>30.89902528738352</v>
      </c>
      <c r="N18" s="24">
        <f t="shared" si="0"/>
        <v>32.639935632859711</v>
      </c>
      <c r="O18" s="55"/>
      <c r="P18" s="40">
        <f t="shared" si="1"/>
        <v>17.748774580882721</v>
      </c>
      <c r="Q18" s="55"/>
      <c r="R18" s="27">
        <f>SUMIF('R1'!$AF$7:$AK$7,B18,'R1'!$AF$15:$AK$15)</f>
        <v>425474.50853735273</v>
      </c>
      <c r="S18" s="55"/>
      <c r="T18" s="27">
        <f>SUMIF('R1'!$AF$7:$AK$7,B18,'R1'!$AF$16:$AK$16)</f>
        <v>564697.61947654758</v>
      </c>
      <c r="U18" s="55"/>
      <c r="V18" s="24">
        <f t="shared" si="2"/>
        <v>1.3272184540921148</v>
      </c>
      <c r="W18" s="55"/>
      <c r="X18" s="27">
        <f>SUMIF('R1'!$AF$7:$AK$7,B18,'R1'!$AF$27:$AK$27)</f>
        <v>334059.53954187222</v>
      </c>
      <c r="Y18" s="55"/>
      <c r="Z18" s="27">
        <f>SUMIF('R1'!$AF$7:$AK$7,B18,'R1'!$AF$10:$AK$10)</f>
        <v>10903681.86818946</v>
      </c>
      <c r="AA18" s="55"/>
    </row>
    <row r="19" spans="1:27" ht="15.75" thickBot="1" x14ac:dyDescent="0.3">
      <c r="A19" s="102"/>
      <c r="B19" s="32">
        <v>2100</v>
      </c>
      <c r="C19" s="9">
        <f>SUMIF('R1'!$AF$7:$AK$7,B19,'R1'!$AF$17:$AK$17)</f>
        <v>16.550899999999999</v>
      </c>
      <c r="D19" s="44">
        <f>SUMIF('R1'!$AF$7:$AK$7,B19,'R1'!$AF$21:$AK$21)</f>
        <v>0.98300570279749855</v>
      </c>
      <c r="E19" s="36">
        <f>SUMIF('R1'!$AF$7:$AK$7,B19,'R1'!$AF$22:$AK$22)</f>
        <v>0.99977488244563673</v>
      </c>
      <c r="F19" s="48">
        <f t="shared" si="13"/>
        <v>1.0170590868398988</v>
      </c>
      <c r="G19" s="56"/>
      <c r="H19" s="7">
        <f>SUMIF('R1'!$AF$7:$AK$7,B19,'R1'!$AF$19:$AK$19)</f>
        <v>0.88692043671715748</v>
      </c>
      <c r="I19" s="8">
        <f>SUMIF('R1'!$AF$7:$AK$7,B19,'R1'!$AF$20:$AK$20)</f>
        <v>1</v>
      </c>
      <c r="J19" s="8">
        <f t="shared" si="14"/>
        <v>1.1274968515793757</v>
      </c>
      <c r="K19" s="56"/>
      <c r="L19" s="28">
        <f>SUMIF('R1'!$AF$7:$AK$7,B19,'R1'!$AF$11:$AK$11)</f>
        <v>1.5166965056407069</v>
      </c>
      <c r="M19" s="25">
        <f>SUMIF('R1'!$AF$7:$AK$7,B19,'R1'!$AF$12:$AK$12)</f>
        <v>49.955587905474793</v>
      </c>
      <c r="N19" s="25">
        <f t="shared" si="0"/>
        <v>51.472284411115503</v>
      </c>
      <c r="O19" s="56"/>
      <c r="P19" s="41">
        <f t="shared" si="1"/>
        <v>32.937102261188215</v>
      </c>
      <c r="Q19" s="56"/>
      <c r="R19" s="28">
        <f>SUMIF('R1'!$AF$7:$AK$7,B19,'R1'!$AF$15:$AK$15)</f>
        <v>558350.53552459541</v>
      </c>
      <c r="S19" s="56"/>
      <c r="T19" s="28">
        <f>SUMIF('R1'!$AF$7:$AK$7,B19,'R1'!$AF$16:$AK$16)</f>
        <v>741053.1346004575</v>
      </c>
      <c r="U19" s="56"/>
      <c r="V19" s="25">
        <f t="shared" si="2"/>
        <v>1.3272184540921139</v>
      </c>
      <c r="W19" s="56"/>
      <c r="X19" s="28">
        <f>SUMIF('R1'!$AF$7:$AK$7,B19,'R1'!$AF$27:$AK$27)</f>
        <v>441136.8373603588</v>
      </c>
      <c r="Y19" s="56"/>
      <c r="Z19" s="28">
        <f>SUMIF('R1'!$AF$7:$AK$7,B19,'R1'!$AF$10:$AK$10)</f>
        <v>22706320.756832391</v>
      </c>
      <c r="AA19" s="56"/>
    </row>
    <row r="20" spans="1:27" ht="15" customHeight="1" x14ac:dyDescent="0.25">
      <c r="A20" s="100" t="str">
        <f>'R1'!B1</f>
        <v>Eastern Cape</v>
      </c>
      <c r="B20" s="21">
        <v>2000</v>
      </c>
      <c r="C20" s="3">
        <f>SUMIF('R1'!$AF$7:$AK$7,B20,'R1'!$AF$42:$AK$42)</f>
        <v>16.550899999999999</v>
      </c>
      <c r="D20" s="42">
        <f>SUMIF('R1'!$AF$7:$AK$7,B20,'R1'!$AF$46:$AK$46)</f>
        <v>1</v>
      </c>
      <c r="E20" s="34">
        <f>SUMIF('R1'!$AF$7:$AK$7,B20,'R1'!$AF$47:$AK$47)</f>
        <v>1</v>
      </c>
      <c r="F20" s="49">
        <f t="shared" si="13"/>
        <v>1</v>
      </c>
      <c r="G20" s="57">
        <f t="shared" ref="G20:G25" si="15">(F20-$F14)/$F14</f>
        <v>0</v>
      </c>
      <c r="H20" s="1">
        <f>SUMIF('R1'!$AF$7:$AK$7,B20,'R1'!$AF$44:$AK$44)</f>
        <v>0.88692043671715748</v>
      </c>
      <c r="I20" s="2">
        <f>SUMIF('R1'!$AF$7:$AK$7,B20,'R1'!$AF$45:$AK$45)</f>
        <v>1</v>
      </c>
      <c r="J20" s="2">
        <f t="shared" si="14"/>
        <v>1.1274968515793757</v>
      </c>
      <c r="K20" s="57">
        <f t="shared" ref="K20:K25" si="16">(J20-$J14)/$J14</f>
        <v>0</v>
      </c>
      <c r="L20" s="26">
        <f>SUMIF('R1'!$AF$7:$AK$7,B20,'R1'!$AF$36:$AK$36)</f>
        <v>1.8708231251865</v>
      </c>
      <c r="M20" s="23">
        <f>SUMIF('R1'!$AF$7:$AK$7,B20,'R1'!$AF$37:$AK$37)</f>
        <v>2.7998389129982999</v>
      </c>
      <c r="N20" s="23">
        <f t="shared" si="0"/>
        <v>4.6706620381847994</v>
      </c>
      <c r="O20" s="57"/>
      <c r="P20" s="38">
        <f t="shared" si="1"/>
        <v>1.4965813044026743</v>
      </c>
      <c r="Q20" s="57">
        <f t="shared" ref="Q20:Q25" si="17">(P20-$P14)/$P14</f>
        <v>0</v>
      </c>
      <c r="R20" s="26">
        <f>SUMIF('R1'!$AF$7:$AK$7,B20,'R1'!$AF$40:$AK$40)</f>
        <v>44822.290798478491</v>
      </c>
      <c r="S20" s="57">
        <f t="shared" ref="S20:S25" si="18">(R20-$R14)/$R14</f>
        <v>0</v>
      </c>
      <c r="T20" s="26">
        <f>SUMIF('R1'!$AF$7:$AK$7,B20,'R1'!$AF$41:$AK$41)</f>
        <v>59488.971502423847</v>
      </c>
      <c r="U20" s="57">
        <f t="shared" ref="U20:U25" si="19">(T20-$T14)/$T14</f>
        <v>0</v>
      </c>
      <c r="V20" s="23">
        <f t="shared" si="2"/>
        <v>1.3272184540921148</v>
      </c>
      <c r="W20" s="57">
        <f t="shared" ref="W20:W25" si="20">(V20-$V14)/$V14</f>
        <v>0</v>
      </c>
      <c r="X20" s="26">
        <f>SUMIF('R1'!$AF$7:$AK$7,B20,'R1'!$AF$52:$AK$52)</f>
        <v>18427.262540756401</v>
      </c>
      <c r="Y20" s="57">
        <f t="shared" ref="Y20:Y25" si="21">(X20-$X14)/$X14</f>
        <v>0</v>
      </c>
      <c r="Z20" s="26">
        <f>SUMIF('R1'!$AF$7:$AK$7,B20,'R1'!$AF$35:$AK$35)</f>
        <v>150225.97198840001</v>
      </c>
      <c r="AA20" s="57">
        <f t="shared" ref="AA20:AA25" si="22">(Z20-$Z14)/$Z14</f>
        <v>0</v>
      </c>
    </row>
    <row r="21" spans="1:27" x14ac:dyDescent="0.25">
      <c r="A21" s="101"/>
      <c r="B21" s="31">
        <v>2020</v>
      </c>
      <c r="C21" s="14">
        <f>SUMIF('R1'!$AF$7:$AK$7,B21,'R1'!$AF$42:$AK$42)</f>
        <v>16.946950000000001</v>
      </c>
      <c r="D21" s="43">
        <f>SUMIF('R1'!$AF$7:$AK$7,B21,'R1'!$AF$46:$AK$46)</f>
        <v>0.97451937357749729</v>
      </c>
      <c r="E21" s="35">
        <f>SUMIF('R1'!$AF$7:$AK$7,B21,'R1'!$AF$47:$AK$47)</f>
        <v>0.99985329417805535</v>
      </c>
      <c r="F21" s="50">
        <f t="shared" si="13"/>
        <v>1.0259963232003857</v>
      </c>
      <c r="G21" s="58">
        <f t="shared" si="15"/>
        <v>8.7873324924078837E-3</v>
      </c>
      <c r="H21" s="4">
        <f>SUMIF('R1'!$AF$7:$AK$7,B21,'R1'!$AF$44:$AK$44)</f>
        <v>0.90483741803595918</v>
      </c>
      <c r="I21" s="5">
        <f>SUMIF('R1'!$AF$7:$AK$7,B21,'R1'!$AF$45:$AK$45)</f>
        <v>1</v>
      </c>
      <c r="J21" s="13">
        <f t="shared" si="14"/>
        <v>1.1051709180756482</v>
      </c>
      <c r="K21" s="58">
        <f t="shared" si="16"/>
        <v>-1.9801326693244282E-2</v>
      </c>
      <c r="L21" s="27">
        <f>SUMIF('R1'!$AF$7:$AK$7,B21,'R1'!$AF$36:$AK$36)</f>
        <v>2.073014848553107</v>
      </c>
      <c r="M21" s="24">
        <f>SUMIF('R1'!$AF$7:$AK$7,B21,'R1'!$AF$37:$AK$37)</f>
        <v>5.7735284522834451</v>
      </c>
      <c r="N21" s="24">
        <f t="shared" si="0"/>
        <v>7.8465433008365526</v>
      </c>
      <c r="O21" s="58"/>
      <c r="P21" s="39">
        <f t="shared" si="1"/>
        <v>2.7850878426235921</v>
      </c>
      <c r="Q21" s="58">
        <f t="shared" si="17"/>
        <v>2.8167223830231148E-3</v>
      </c>
      <c r="R21" s="27">
        <f>SUMIF('R1'!$AF$7:$AK$7,B21,'R1'!$AF$40:$AK$40)</f>
        <v>109552.31636736709</v>
      </c>
      <c r="S21" s="58">
        <f t="shared" si="18"/>
        <v>5.208919839439081E-3</v>
      </c>
      <c r="T21" s="27">
        <f>SUMIF('R1'!$AF$7:$AK$7,B21,'R1'!$AF$41:$AK$41)</f>
        <v>144133.30866483829</v>
      </c>
      <c r="U21" s="58">
        <f t="shared" si="19"/>
        <v>-3.5472418593210067E-3</v>
      </c>
      <c r="V21" s="24">
        <f t="shared" si="2"/>
        <v>1.3156573356377885</v>
      </c>
      <c r="W21" s="58">
        <f t="shared" si="20"/>
        <v>-8.7107879028358263E-3</v>
      </c>
      <c r="X21" s="27">
        <f>SUMIF('R1'!$AF$7:$AK$7,B21,'R1'!$AF$52:$AK$52)</f>
        <v>80546.488266546294</v>
      </c>
      <c r="Y21" s="58">
        <f t="shared" si="21"/>
        <v>-3.3173593336723929E-3</v>
      </c>
      <c r="Z21" s="27">
        <f>SUMIF('R1'!$AF$7:$AK$7,B21,'R1'!$AF$35:$AK$35)</f>
        <v>632011.50791377877</v>
      </c>
      <c r="AA21" s="58">
        <f t="shared" si="22"/>
        <v>-3.4690906790787474E-3</v>
      </c>
    </row>
    <row r="22" spans="1:27" x14ac:dyDescent="0.25">
      <c r="A22" s="101"/>
      <c r="B22" s="31">
        <v>2040</v>
      </c>
      <c r="C22" s="6">
        <f>SUMIF('R1'!$AF$7:$AK$7,B22,'R1'!$AF$42:$AK$42)</f>
        <v>17.74896</v>
      </c>
      <c r="D22" s="43">
        <f>SUMIF('R1'!$AF$7:$AK$7,B22,'R1'!$AF$46:$AK$46)</f>
        <v>0.9587427485556127</v>
      </c>
      <c r="E22" s="35">
        <f>SUMIF('R1'!$AF$7:$AK$7,B22,'R1'!$AF$47:$AK$47)</f>
        <v>0.99718729527581951</v>
      </c>
      <c r="F22" s="50">
        <f t="shared" si="13"/>
        <v>1.0400989178568758</v>
      </c>
      <c r="G22" s="58">
        <f t="shared" si="15"/>
        <v>2.2653384955798422E-2</v>
      </c>
      <c r="H22" s="4">
        <f>SUMIF('R1'!$AF$7:$AK$7,B22,'R1'!$AF$44:$AK$44)</f>
        <v>0.94176453358424828</v>
      </c>
      <c r="I22" s="5">
        <f>SUMIF('R1'!$AF$7:$AK$7,B22,'R1'!$AF$45:$AK$45)</f>
        <v>1</v>
      </c>
      <c r="J22" s="5">
        <f t="shared" si="14"/>
        <v>1.0618365465453601</v>
      </c>
      <c r="K22" s="58">
        <f t="shared" si="16"/>
        <v>-5.8235466415750933E-2</v>
      </c>
      <c r="L22" s="27">
        <f>SUMIF('R1'!$AF$7:$AK$7,B22,'R1'!$AF$36:$AK$36)</f>
        <v>2.066046478391768</v>
      </c>
      <c r="M22" s="24">
        <f>SUMIF('R1'!$AF$7:$AK$7,B22,'R1'!$AF$37:$AK$37)</f>
        <v>10.7487196115845</v>
      </c>
      <c r="N22" s="24">
        <f t="shared" si="0"/>
        <v>12.814766089976267</v>
      </c>
      <c r="O22" s="58"/>
      <c r="P22" s="40">
        <f t="shared" si="1"/>
        <v>5.2025546007810117</v>
      </c>
      <c r="Q22" s="58">
        <f t="shared" si="17"/>
        <v>9.444165467131789E-3</v>
      </c>
      <c r="R22" s="27">
        <f>SUMIF('R1'!$AF$7:$AK$7,B22,'R1'!$AF$40:$AK$40)</f>
        <v>201231.0119517553</v>
      </c>
      <c r="S22" s="58">
        <f t="shared" si="18"/>
        <v>1.4366822903980165E-2</v>
      </c>
      <c r="T22" s="27">
        <f>SUMIF('R1'!$AF$7:$AK$7,B22,'R1'!$AF$41:$AK$41)</f>
        <v>261161.324576796</v>
      </c>
      <c r="U22" s="58">
        <f t="shared" si="19"/>
        <v>-8.1030016364506737E-3</v>
      </c>
      <c r="V22" s="24">
        <f t="shared" si="2"/>
        <v>1.297818472628905</v>
      </c>
      <c r="W22" s="58">
        <f t="shared" si="20"/>
        <v>-2.2151576760074995E-2</v>
      </c>
      <c r="X22" s="27">
        <f>SUMIF('R1'!$AF$7:$AK$7,B22,'R1'!$AF$52:$AK$52)</f>
        <v>149726.68052874101</v>
      </c>
      <c r="Y22" s="58">
        <f t="shared" si="21"/>
        <v>-1.0328839975004766E-2</v>
      </c>
      <c r="Z22" s="27">
        <f>SUMIF('R1'!$AF$7:$AK$7,B22,'R1'!$AF$35:$AK$35)</f>
        <v>1918712.3884044201</v>
      </c>
      <c r="AA22" s="58">
        <f t="shared" si="22"/>
        <v>-1.0820811480225312E-2</v>
      </c>
    </row>
    <row r="23" spans="1:27" x14ac:dyDescent="0.25">
      <c r="A23" s="101"/>
      <c r="B23" s="31">
        <v>2060</v>
      </c>
      <c r="C23" s="6">
        <f>SUMIF('R1'!$AF$7:$AK$7,B23,'R1'!$AF$42:$AK$42)</f>
        <v>18.64874</v>
      </c>
      <c r="D23" s="43">
        <f>SUMIF('R1'!$AF$7:$AK$7,B23,'R1'!$AF$46:$AK$46)</f>
        <v>0.93231395090361513</v>
      </c>
      <c r="E23" s="35">
        <f>SUMIF('R1'!$AF$7:$AK$7,B23,'R1'!$AF$47:$AK$47)</f>
        <v>0.98848865179879042</v>
      </c>
      <c r="F23" s="50">
        <f t="shared" si="13"/>
        <v>1.0602529875700453</v>
      </c>
      <c r="G23" s="58">
        <f t="shared" si="15"/>
        <v>4.2469411353822269E-2</v>
      </c>
      <c r="H23" s="4">
        <f>SUMIF('R1'!$AF$7:$AK$7,B23,'R1'!$AF$44:$AK$44)</f>
        <v>0.96078943915232329</v>
      </c>
      <c r="I23" s="5">
        <f>SUMIF('R1'!$AF$7:$AK$7,B23,'R1'!$AF$45:$AK$45)</f>
        <v>1</v>
      </c>
      <c r="J23" s="5">
        <f t="shared" si="14"/>
        <v>1.0408107741923882</v>
      </c>
      <c r="K23" s="58">
        <f t="shared" si="16"/>
        <v>-7.6883653613364286E-2</v>
      </c>
      <c r="L23" s="27">
        <f>SUMIF('R1'!$AF$7:$AK$7,B23,'R1'!$AF$36:$AK$36)</f>
        <v>1.9287789811565581</v>
      </c>
      <c r="M23" s="24">
        <f>SUMIF('R1'!$AF$7:$AK$7,B23,'R1'!$AF$37:$AK$37)</f>
        <v>18.625326015773009</v>
      </c>
      <c r="N23" s="24">
        <f t="shared" si="0"/>
        <v>20.554104996929567</v>
      </c>
      <c r="O23" s="58"/>
      <c r="P23" s="40">
        <f t="shared" si="1"/>
        <v>9.6565372174496957</v>
      </c>
      <c r="Q23" s="58">
        <f t="shared" si="17"/>
        <v>9.6481631443918626E-3</v>
      </c>
      <c r="R23" s="27">
        <f>SUMIF('R1'!$AF$7:$AK$7,B23,'R1'!$AF$40:$AK$40)</f>
        <v>313203.63459793961</v>
      </c>
      <c r="S23" s="58">
        <f t="shared" si="18"/>
        <v>2.4591522650308135E-2</v>
      </c>
      <c r="T23" s="27">
        <f>SUMIF('R1'!$AF$7:$AK$7,B23,'R1'!$AF$41:$AK$41)</f>
        <v>398754.76364075352</v>
      </c>
      <c r="U23" s="58">
        <f t="shared" si="19"/>
        <v>-1.714955710815206E-2</v>
      </c>
      <c r="V23" s="24">
        <f t="shared" si="2"/>
        <v>1.2731485831977529</v>
      </c>
      <c r="W23" s="58">
        <f t="shared" si="20"/>
        <v>-4.0739239819678211E-2</v>
      </c>
      <c r="X23" s="27">
        <f>SUMIF('R1'!$AF$7:$AK$7,B23,'R1'!$AF$52:$AK$52)</f>
        <v>230746.74814314561</v>
      </c>
      <c r="Y23" s="58">
        <f t="shared" si="21"/>
        <v>-2.8033095043758352E-2</v>
      </c>
      <c r="Z23" s="27">
        <f>SUMIF('R1'!$AF$7:$AK$7,B23,'R1'!$AF$35:$AK$35)</f>
        <v>4742792.8890342787</v>
      </c>
      <c r="AA23" s="58">
        <f t="shared" si="22"/>
        <v>-2.8727797023918367E-2</v>
      </c>
    </row>
    <row r="24" spans="1:27" x14ac:dyDescent="0.25">
      <c r="A24" s="101"/>
      <c r="B24" s="31">
        <v>2080</v>
      </c>
      <c r="C24" s="6">
        <f>SUMIF('R1'!$AF$7:$AK$7,B24,'R1'!$AF$42:$AK$42)</f>
        <v>19.60134</v>
      </c>
      <c r="D24" s="43">
        <f>SUMIF('R1'!$AF$7:$AK$7,B24,'R1'!$AF$46:$AK$46)</f>
        <v>0.90022563327805616</v>
      </c>
      <c r="E24" s="35">
        <f>SUMIF('R1'!$AF$7:$AK$7,B24,'R1'!$AF$47:$AK$47)</f>
        <v>0.97405330480158026</v>
      </c>
      <c r="F24" s="50">
        <f t="shared" si="13"/>
        <v>1.0820101858849431</v>
      </c>
      <c r="G24" s="58">
        <f t="shared" si="15"/>
        <v>6.3861677148821058E-2</v>
      </c>
      <c r="H24" s="4">
        <f>SUMIF('R1'!$AF$7:$AK$7,B24,'R1'!$AF$44:$AK$44)</f>
        <v>0.99004983374916744</v>
      </c>
      <c r="I24" s="5">
        <f>SUMIF('R1'!$AF$7:$AK$7,B24,'R1'!$AF$45:$AK$45)</f>
        <v>1</v>
      </c>
      <c r="J24" s="5">
        <f t="shared" si="14"/>
        <v>1.0100501670841686</v>
      </c>
      <c r="K24" s="58">
        <f t="shared" si="16"/>
        <v>-0.10416586470347131</v>
      </c>
      <c r="L24" s="27">
        <f>SUMIF('R1'!$AF$7:$AK$7,B24,'R1'!$AF$36:$AK$36)</f>
        <v>1.719697654938622</v>
      </c>
      <c r="M24" s="24">
        <f>SUMIF('R1'!$AF$7:$AK$7,B24,'R1'!$AF$37:$AK$37)</f>
        <v>30.891733512817058</v>
      </c>
      <c r="N24" s="24">
        <f t="shared" si="0"/>
        <v>32.611431167755683</v>
      </c>
      <c r="O24" s="58"/>
      <c r="P24" s="40">
        <f t="shared" si="1"/>
        <v>17.96346783639687</v>
      </c>
      <c r="Q24" s="58">
        <f t="shared" si="17"/>
        <v>1.2096229772696306E-2</v>
      </c>
      <c r="R24" s="27">
        <f>SUMIF('R1'!$AF$7:$AK$7,B24,'R1'!$AF$40:$AK$40)</f>
        <v>438816.44436655671</v>
      </c>
      <c r="S24" s="58">
        <f t="shared" si="18"/>
        <v>3.1357779517906616E-2</v>
      </c>
      <c r="T24" s="27">
        <f>SUMIF('R1'!$AF$7:$AK$7,B24,'R1'!$AF$41:$AK$41)</f>
        <v>547444.55546443036</v>
      </c>
      <c r="U24" s="58">
        <f t="shared" si="19"/>
        <v>-3.0552747908004513E-2</v>
      </c>
      <c r="V24" s="24">
        <f t="shared" si="2"/>
        <v>1.2475479497006572</v>
      </c>
      <c r="W24" s="58">
        <f t="shared" si="20"/>
        <v>-6.0028177084047792E-2</v>
      </c>
      <c r="X24" s="27">
        <f>SUMIF('R1'!$AF$7:$AK$7,B24,'R1'!$AF$52:$AK$52)</f>
        <v>315571.28766178439</v>
      </c>
      <c r="Y24" s="58">
        <f t="shared" si="21"/>
        <v>-5.5344181775028901E-2</v>
      </c>
      <c r="Z24" s="27">
        <f>SUMIF('R1'!$AF$7:$AK$7,B24,'R1'!$AF$35:$AK$35)</f>
        <v>10291231.326102311</v>
      </c>
      <c r="AA24" s="58">
        <f t="shared" si="22"/>
        <v>-5.6169149970701174E-2</v>
      </c>
    </row>
    <row r="25" spans="1:27" ht="15.75" thickBot="1" x14ac:dyDescent="0.3">
      <c r="A25" s="102"/>
      <c r="B25" s="32">
        <v>2100</v>
      </c>
      <c r="C25" s="9">
        <f>SUMIF('R1'!$AF$7:$AK$7,B25,'R1'!$AF$42:$AK$42)</f>
        <v>20.590199999999999</v>
      </c>
      <c r="D25" s="44">
        <f>SUMIF('R1'!$AF$7:$AK$7,B25,'R1'!$AF$46:$AK$46)</f>
        <v>0.85313575176011658</v>
      </c>
      <c r="E25" s="36">
        <f>SUMIF('R1'!$AF$7:$AK$7,B25,'R1'!$AF$47:$AK$47)</f>
        <v>0.94834437421114004</v>
      </c>
      <c r="F25" s="51">
        <f t="shared" si="13"/>
        <v>1.1115984440396469</v>
      </c>
      <c r="G25" s="59">
        <f t="shared" si="15"/>
        <v>9.2953652765141809E-2</v>
      </c>
      <c r="H25" s="7">
        <f>SUMIF('R1'!$AF$7:$AK$7,B25,'R1'!$AF$44:$AK$44)</f>
        <v>1</v>
      </c>
      <c r="I25" s="8">
        <f>SUMIF('R1'!$AF$7:$AK$7,B25,'R1'!$AF$45:$AK$45)</f>
        <v>1</v>
      </c>
      <c r="J25" s="8">
        <f t="shared" si="14"/>
        <v>1</v>
      </c>
      <c r="K25" s="59">
        <f t="shared" si="16"/>
        <v>-0.11307956328284254</v>
      </c>
      <c r="L25" s="28">
        <f>SUMIF('R1'!$AF$7:$AK$7,B25,'R1'!$AF$36:$AK$36)</f>
        <v>1.503885894982059</v>
      </c>
      <c r="M25" s="25">
        <f>SUMIF('R1'!$AF$7:$AK$7,B25,'R1'!$AF$37:$AK$37)</f>
        <v>49.920470768104799</v>
      </c>
      <c r="N25" s="25">
        <f t="shared" si="0"/>
        <v>51.424356663086861</v>
      </c>
      <c r="O25" s="59"/>
      <c r="P25" s="41">
        <f t="shared" si="1"/>
        <v>33.194320749115299</v>
      </c>
      <c r="Q25" s="59">
        <f t="shared" si="17"/>
        <v>7.8093842587415386E-3</v>
      </c>
      <c r="R25" s="33">
        <f>SUMIF('R1'!$AF$7:$AK$7,B25,'R1'!$AF$40:$AK$40)</f>
        <v>576568.08385079657</v>
      </c>
      <c r="S25" s="59">
        <f t="shared" si="18"/>
        <v>3.2627439515366362E-2</v>
      </c>
      <c r="T25" s="28">
        <f>SUMIF('R1'!$AF$7:$AK$7,B25,'R1'!$AF$41:$AK$41)</f>
        <v>700150.27534908918</v>
      </c>
      <c r="U25" s="59">
        <f t="shared" si="19"/>
        <v>-5.5195582262021342E-2</v>
      </c>
      <c r="V25" s="25">
        <f t="shared" si="2"/>
        <v>1.2143410205311902</v>
      </c>
      <c r="W25" s="59">
        <f t="shared" si="20"/>
        <v>-8.5048119405586264E-2</v>
      </c>
      <c r="X25" s="28">
        <f>SUMIF('R1'!$AF$7:$AK$7,B25,'R1'!$AF$52:$AK$52)</f>
        <v>395370.47270567092</v>
      </c>
      <c r="Y25" s="59">
        <f t="shared" si="21"/>
        <v>-0.10374641330916996</v>
      </c>
      <c r="Z25" s="28">
        <f>SUMIF('R1'!$AF$7:$AK$7,B25,'R1'!$AF$35:$AK$35)</f>
        <v>20331672.202469669</v>
      </c>
      <c r="AA25" s="59">
        <f t="shared" si="22"/>
        <v>-0.10458094817709222</v>
      </c>
    </row>
    <row r="26" spans="1:27" ht="15" customHeight="1" x14ac:dyDescent="0.25">
      <c r="A26" s="97" t="s">
        <v>6</v>
      </c>
      <c r="B26" s="21">
        <v>2000</v>
      </c>
      <c r="C26" s="3">
        <f>SUMIF('R2'!$AF$7:$AK$7,B26,'R2'!$AF$17:$AK$17)</f>
        <v>17.447839999999999</v>
      </c>
      <c r="D26" s="42">
        <f>SUMIF('R2'!$AF$7:$AK$7,B26,'R2'!$AF$21:$AK$21)</f>
        <v>1</v>
      </c>
      <c r="E26" s="34">
        <f>SUMIF('R2'!$AF$7:$AK$7,B26,'R2'!$AF$22:$AK$22)</f>
        <v>1</v>
      </c>
      <c r="F26" s="45">
        <f>E26/D26</f>
        <v>1</v>
      </c>
      <c r="G26" s="53"/>
      <c r="H26" s="1">
        <f>SUMIF('R2'!$AF$7:$AK$7,B26,'R2'!$AF$19:$AK$19)</f>
        <v>0.92311634638663587</v>
      </c>
      <c r="I26" s="2">
        <f>SUMIF('R2'!$AF$7:$AK$7,B26,'R2'!$AF$20:$AK$20)</f>
        <v>1</v>
      </c>
      <c r="J26" s="2">
        <f>I26/H26</f>
        <v>1.0832870676749584</v>
      </c>
      <c r="K26" s="53"/>
      <c r="L26" s="26">
        <f>SUMIF('R2'!$AF$7:$AK$7,B26,'R2'!$AF$11:$AK$11)</f>
        <v>0.23874911168999999</v>
      </c>
      <c r="M26" s="24">
        <f>SUMIF('R2'!$AF$7:$AK$7,B26,'R2'!$AF$12:$AK$12)</f>
        <v>0.35730745699799998</v>
      </c>
      <c r="N26" s="23">
        <f t="shared" si="0"/>
        <v>0.59605656868799994</v>
      </c>
      <c r="O26" s="53"/>
      <c r="P26" s="38">
        <f t="shared" si="1"/>
        <v>1.4965813044026743</v>
      </c>
      <c r="Q26" s="53"/>
      <c r="R26" s="26">
        <f>SUMIF('R2'!$AF$7:$AK$7,B26,'R2'!$AF$15:$AK$15)</f>
        <v>45393.77360074802</v>
      </c>
      <c r="S26" s="53"/>
      <c r="T26" s="26">
        <f>SUMIF('R2'!$AF$7:$AK$7,B26,'R2'!$AF$16:$AK$16)</f>
        <v>59185.639391343168</v>
      </c>
      <c r="U26" s="53"/>
      <c r="V26" s="23">
        <f t="shared" si="2"/>
        <v>1.3038272585993573</v>
      </c>
      <c r="W26" s="53"/>
      <c r="X26" s="26">
        <f>SUMIF('R2'!$AF$7:$AK$7,B26,'R2'!$AF$27:$AK$27)</f>
        <v>18427.26254075639</v>
      </c>
      <c r="Y26" s="53"/>
      <c r="Z26" s="26">
        <f>SUMIF('R2'!$AF$7:$AK$7,B26,'R2'!$AF$10:$AK$10)</f>
        <v>19171.410103999999</v>
      </c>
      <c r="AA26" s="53"/>
    </row>
    <row r="27" spans="1:27" x14ac:dyDescent="0.25">
      <c r="A27" s="98"/>
      <c r="B27" s="31">
        <v>2020</v>
      </c>
      <c r="C27" s="14">
        <f>SUMIF('R2'!$AF$7:$AK$7,B27,'R2'!$AF$17:$AK$17)</f>
        <v>17.447839999999999</v>
      </c>
      <c r="D27" s="43">
        <f>SUMIF('R2'!$AF$7:$AK$7,B27,'R2'!$AF$21:$AK$21)</f>
        <v>0.96439833420871968</v>
      </c>
      <c r="E27" s="35">
        <f>SUMIF('R2'!$AF$7:$AK$7,B27,'R2'!$AF$22:$AK$22)</f>
        <v>0.99844694181596516</v>
      </c>
      <c r="F27" s="46">
        <f t="shared" ref="F27:F37" si="23">E27/D27</f>
        <v>1.0353055437773875</v>
      </c>
      <c r="G27" s="54"/>
      <c r="H27" s="4">
        <f>SUMIF('R2'!$AF$7:$AK$7,B27,'R2'!$AF$19:$AK$19)</f>
        <v>0.92311634638663587</v>
      </c>
      <c r="I27" s="5">
        <f>SUMIF('R2'!$AF$7:$AK$7,B27,'R2'!$AF$20:$AK$20)</f>
        <v>1</v>
      </c>
      <c r="J27" s="5">
        <f t="shared" ref="J27:J37" si="24">I27/H27</f>
        <v>1.0832870676749584</v>
      </c>
      <c r="K27" s="55"/>
      <c r="L27" s="27">
        <f>SUMIF('R2'!$AF$7:$AK$7,B27,'R2'!$AF$11:$AK$11)</f>
        <v>0.26514049931399603</v>
      </c>
      <c r="M27" s="24">
        <f>SUMIF('R2'!$AF$7:$AK$7,B27,'R2'!$AF$12:$AK$12)</f>
        <v>0.73636544419780237</v>
      </c>
      <c r="N27" s="24">
        <f t="shared" si="0"/>
        <v>1.0015059435117983</v>
      </c>
      <c r="O27" s="55"/>
      <c r="P27" s="39">
        <f t="shared" si="1"/>
        <v>2.7772650579712161</v>
      </c>
      <c r="Q27" s="55"/>
      <c r="R27" s="27">
        <f>SUMIF('R2'!$AF$7:$AK$7,B27,'R2'!$AF$15:$AK$15)</f>
        <v>109613.8268010399</v>
      </c>
      <c r="S27" s="55"/>
      <c r="T27" s="27">
        <f>SUMIF('R2'!$AF$7:$AK$7,B27,'R2'!$AF$16:$AK$16)</f>
        <v>142917.4953025846</v>
      </c>
      <c r="U27" s="55"/>
      <c r="V27" s="24">
        <f t="shared" si="2"/>
        <v>1.3038272585993571</v>
      </c>
      <c r="W27" s="55"/>
      <c r="X27" s="27">
        <f>SUMIF('R2'!$AF$7:$AK$7,B27,'R2'!$AF$27:$AK$27)</f>
        <v>79742.572044224056</v>
      </c>
      <c r="Y27" s="55"/>
      <c r="Z27" s="27">
        <f>SUMIF('R2'!$AF$7:$AK$7,B27,'R2'!$AF$10:$AK$10)</f>
        <v>79862.65985320817</v>
      </c>
      <c r="AA27" s="55"/>
    </row>
    <row r="28" spans="1:27" x14ac:dyDescent="0.25">
      <c r="A28" s="98"/>
      <c r="B28" s="31">
        <v>2040</v>
      </c>
      <c r="C28" s="6">
        <f>SUMIF('R2'!$AF$7:$AK$7,B28,'R2'!$AF$17:$AK$17)</f>
        <v>17.447839999999999</v>
      </c>
      <c r="D28" s="43">
        <f>SUMIF('R2'!$AF$7:$AK$7,B28,'R2'!$AF$21:$AK$21)</f>
        <v>0.96439833420871968</v>
      </c>
      <c r="E28" s="35">
        <f>SUMIF('R2'!$AF$7:$AK$7,B28,'R2'!$AF$22:$AK$22)</f>
        <v>0.99844694181596516</v>
      </c>
      <c r="F28" s="47">
        <f t="shared" si="23"/>
        <v>1.0353055437773875</v>
      </c>
      <c r="G28" s="55"/>
      <c r="H28" s="4">
        <f>SUMIF('R2'!$AF$7:$AK$7,B28,'R2'!$AF$19:$AK$19)</f>
        <v>0.92311634638663587</v>
      </c>
      <c r="I28" s="5">
        <f>SUMIF('R2'!$AF$7:$AK$7,B28,'R2'!$AF$20:$AK$20)</f>
        <v>1</v>
      </c>
      <c r="J28" s="5">
        <f t="shared" si="24"/>
        <v>1.0832870676749584</v>
      </c>
      <c r="K28" s="55"/>
      <c r="L28" s="27">
        <f>SUMIF('R2'!$AF$7:$AK$7,B28,'R2'!$AF$11:$AK$11)</f>
        <v>0.26588057151300443</v>
      </c>
      <c r="M28" s="24">
        <f>SUMIF('R2'!$AF$7:$AK$7,B28,'R2'!$AF$12:$AK$12)</f>
        <v>1.370316692992275</v>
      </c>
      <c r="N28" s="24">
        <f t="shared" si="0"/>
        <v>1.6361972645052794</v>
      </c>
      <c r="O28" s="55"/>
      <c r="P28" s="40">
        <f t="shared" si="1"/>
        <v>5.1538805005361281</v>
      </c>
      <c r="Q28" s="55"/>
      <c r="R28" s="27">
        <f>SUMIF('R2'!$AF$7:$AK$7,B28,'R2'!$AF$15:$AK$15)</f>
        <v>200497.62255490059</v>
      </c>
      <c r="S28" s="55"/>
      <c r="T28" s="27">
        <f>SUMIF('R2'!$AF$7:$AK$7,B28,'R2'!$AF$16:$AK$16)</f>
        <v>261414.26557144479</v>
      </c>
      <c r="U28" s="55"/>
      <c r="V28" s="24">
        <f t="shared" si="2"/>
        <v>1.3038272585993578</v>
      </c>
      <c r="W28" s="55"/>
      <c r="X28" s="27">
        <f>SUMIF('R2'!$AF$7:$AK$7,B28,'R2'!$AF$27:$AK$27)</f>
        <v>150009.25288880811</v>
      </c>
      <c r="Y28" s="55"/>
      <c r="Z28" s="27">
        <f>SUMIF('R2'!$AF$7:$AK$7,B28,'R2'!$AF$10:$AK$10)</f>
        <v>245444.7292271484</v>
      </c>
      <c r="AA28" s="55"/>
    </row>
    <row r="29" spans="1:27" x14ac:dyDescent="0.25">
      <c r="A29" s="98"/>
      <c r="B29" s="31">
        <v>2060</v>
      </c>
      <c r="C29" s="6">
        <f>SUMIF('R2'!$AF$7:$AK$7,B29,'R2'!$AF$17:$AK$17)</f>
        <v>17.447839999999999</v>
      </c>
      <c r="D29" s="43">
        <f>SUMIF('R2'!$AF$7:$AK$7,B29,'R2'!$AF$21:$AK$21)</f>
        <v>0.96439833420871968</v>
      </c>
      <c r="E29" s="35">
        <f>SUMIF('R2'!$AF$7:$AK$7,B29,'R2'!$AF$22:$AK$22)</f>
        <v>0.99844694181596516</v>
      </c>
      <c r="F29" s="47">
        <f t="shared" si="23"/>
        <v>1.0353055437773875</v>
      </c>
      <c r="G29" s="55"/>
      <c r="H29" s="4">
        <f>SUMIF('R2'!$AF$7:$AK$7,B29,'R2'!$AF$19:$AK$19)</f>
        <v>0.92311634638663587</v>
      </c>
      <c r="I29" s="5">
        <f>SUMIF('R2'!$AF$7:$AK$7,B29,'R2'!$AF$20:$AK$20)</f>
        <v>1</v>
      </c>
      <c r="J29" s="5">
        <f t="shared" si="24"/>
        <v>1.0832870676749584</v>
      </c>
      <c r="K29" s="55"/>
      <c r="L29" s="27">
        <f>SUMIF('R2'!$AF$7:$AK$7,B29,'R2'!$AF$11:$AK$11)</f>
        <v>0.24847291520447939</v>
      </c>
      <c r="M29" s="24">
        <f>SUMIF('R2'!$AF$7:$AK$7,B29,'R2'!$AF$12:$AK$12)</f>
        <v>2.3764594843888571</v>
      </c>
      <c r="N29" s="24">
        <f t="shared" si="0"/>
        <v>2.6249323995933365</v>
      </c>
      <c r="O29" s="55"/>
      <c r="P29" s="40">
        <f t="shared" si="1"/>
        <v>9.5642596797045787</v>
      </c>
      <c r="Q29" s="55"/>
      <c r="R29" s="27">
        <f>SUMIF('R2'!$AF$7:$AK$7,B29,'R2'!$AF$15:$AK$15)</f>
        <v>309898.18916546792</v>
      </c>
      <c r="S29" s="55"/>
      <c r="T29" s="27">
        <f>SUMIF('R2'!$AF$7:$AK$7,B29,'R2'!$AF$16:$AK$16)</f>
        <v>404053.70642451697</v>
      </c>
      <c r="U29" s="55"/>
      <c r="V29" s="24">
        <f t="shared" si="2"/>
        <v>1.3038272585993569</v>
      </c>
      <c r="W29" s="55"/>
      <c r="X29" s="27">
        <f>SUMIF('R2'!$AF$7:$AK$7,B29,'R2'!$AF$27:$AK$27)</f>
        <v>236117.14833106019</v>
      </c>
      <c r="Y29" s="55"/>
      <c r="Z29" s="27">
        <f>SUMIF('R2'!$AF$7:$AK$7,B29,'R2'!$AF$10:$AK$10)</f>
        <v>619791.55275378539</v>
      </c>
      <c r="AA29" s="55"/>
    </row>
    <row r="30" spans="1:27" x14ac:dyDescent="0.25">
      <c r="A30" s="98"/>
      <c r="B30" s="31">
        <v>2080</v>
      </c>
      <c r="C30" s="6">
        <f>SUMIF('R2'!$AF$7:$AK$7,B30,'R2'!$AF$17:$AK$17)</f>
        <v>17.447839999999999</v>
      </c>
      <c r="D30" s="43">
        <f>SUMIF('R2'!$AF$7:$AK$7,B30,'R2'!$AF$21:$AK$21)</f>
        <v>0.96439833420871968</v>
      </c>
      <c r="E30" s="35">
        <f>SUMIF('R2'!$AF$7:$AK$7,B30,'R2'!$AF$22:$AK$22)</f>
        <v>0.99844694181596516</v>
      </c>
      <c r="F30" s="47">
        <f t="shared" si="23"/>
        <v>1.0353055437773875</v>
      </c>
      <c r="G30" s="55"/>
      <c r="H30" s="4">
        <f>SUMIF('R2'!$AF$7:$AK$7,B30,'R2'!$AF$19:$AK$19)</f>
        <v>0.92311634638663587</v>
      </c>
      <c r="I30" s="5">
        <f>SUMIF('R2'!$AF$7:$AK$7,B30,'R2'!$AF$20:$AK$20)</f>
        <v>1</v>
      </c>
      <c r="J30" s="5">
        <f t="shared" si="24"/>
        <v>1.0832870676749584</v>
      </c>
      <c r="K30" s="55"/>
      <c r="L30" s="27">
        <f>SUMIF('R2'!$AF$7:$AK$7,B30,'R2'!$AF$11:$AK$11)</f>
        <v>0.2221700132517532</v>
      </c>
      <c r="M30" s="24">
        <f>SUMIF('R2'!$AF$7:$AK$7,B30,'R2'!$AF$12:$AK$12)</f>
        <v>3.9432454838370941</v>
      </c>
      <c r="N30" s="24">
        <f t="shared" si="0"/>
        <v>4.1654154970888468</v>
      </c>
      <c r="O30" s="55"/>
      <c r="P30" s="40">
        <f t="shared" si="1"/>
        <v>17.748774580882721</v>
      </c>
      <c r="Q30" s="55"/>
      <c r="R30" s="27">
        <f>SUMIF('R2'!$AF$7:$AK$7,B30,'R2'!$AF$15:$AK$15)</f>
        <v>432120.26022089558</v>
      </c>
      <c r="S30" s="55"/>
      <c r="T30" s="27">
        <f>SUMIF('R2'!$AF$7:$AK$7,B30,'R2'!$AF$16:$AK$16)</f>
        <v>563410.17426905083</v>
      </c>
      <c r="U30" s="55"/>
      <c r="V30" s="24">
        <f t="shared" si="2"/>
        <v>1.3038272585993564</v>
      </c>
      <c r="W30" s="55"/>
      <c r="X30" s="27">
        <f>SUMIF('R2'!$AF$7:$AK$7,B30,'R2'!$AF$27:$AK$27)</f>
        <v>332855.22294734372</v>
      </c>
      <c r="Y30" s="55"/>
      <c r="Z30" s="27">
        <f>SUMIF('R2'!$AF$7:$AK$7,B30,'R2'!$AF$10:$AK$10)</f>
        <v>1386480.303951829</v>
      </c>
      <c r="AA30" s="55"/>
    </row>
    <row r="31" spans="1:27" ht="15.75" thickBot="1" x14ac:dyDescent="0.3">
      <c r="A31" s="99"/>
      <c r="B31" s="32">
        <v>2100</v>
      </c>
      <c r="C31" s="9">
        <f>SUMIF('R2'!$AF$7:$AK$7,B31,'R2'!$AF$17:$AK$17)</f>
        <v>17.447839999999999</v>
      </c>
      <c r="D31" s="44">
        <f>SUMIF('R2'!$AF$7:$AK$7,B31,'R2'!$AF$21:$AK$21)</f>
        <v>0.96439833420871968</v>
      </c>
      <c r="E31" s="36">
        <f>SUMIF('R2'!$AF$7:$AK$7,B31,'R2'!$AF$22:$AK$22)</f>
        <v>0.99844694181596516</v>
      </c>
      <c r="F31" s="48">
        <f t="shared" si="23"/>
        <v>1.0353055437773875</v>
      </c>
      <c r="G31" s="56"/>
      <c r="H31" s="7">
        <f>SUMIF('R2'!$AF$7:$AK$7,B31,'R2'!$AF$19:$AK$19)</f>
        <v>0.92311634638663587</v>
      </c>
      <c r="I31" s="8">
        <f>SUMIF('R2'!$AF$7:$AK$7,B31,'R2'!$AF$20:$AK$20)</f>
        <v>1</v>
      </c>
      <c r="J31" s="8">
        <f t="shared" si="24"/>
        <v>1.0832870676749584</v>
      </c>
      <c r="K31" s="56"/>
      <c r="L31" s="28">
        <f>SUMIF('R2'!$AF$7:$AK$7,B31,'R2'!$AF$11:$AK$11)</f>
        <v>0.1935564824648765</v>
      </c>
      <c r="M31" s="25">
        <f>SUMIF('R2'!$AF$7:$AK$7,B31,'R2'!$AF$12:$AK$12)</f>
        <v>6.3751896562615151</v>
      </c>
      <c r="N31" s="25">
        <f t="shared" si="0"/>
        <v>6.5687461387263912</v>
      </c>
      <c r="O31" s="56"/>
      <c r="P31" s="41">
        <f t="shared" si="1"/>
        <v>32.937102261188187</v>
      </c>
      <c r="Q31" s="56"/>
      <c r="R31" s="28">
        <f>SUMIF('R2'!$AF$7:$AK$7,B31,'R2'!$AF$15:$AK$15)</f>
        <v>567655.96896973415</v>
      </c>
      <c r="S31" s="56"/>
      <c r="T31" s="28">
        <f>SUMIF('R2'!$AF$7:$AK$7,B31,'R2'!$AF$16:$AK$16)</f>
        <v>740125.32584936998</v>
      </c>
      <c r="U31" s="56"/>
      <c r="V31" s="25">
        <f t="shared" si="2"/>
        <v>1.3038272585993567</v>
      </c>
      <c r="W31" s="56"/>
      <c r="X31" s="28">
        <f>SUMIF('R2'!$AF$7:$AK$7,B31,'R2'!$AF$27:$AK$27)</f>
        <v>439999.32611759641</v>
      </c>
      <c r="Y31" s="56"/>
      <c r="Z31" s="28">
        <f>SUMIF('R2'!$AF$7:$AK$7,B31,'R2'!$AF$10:$AK$10)</f>
        <v>2890243.874477176</v>
      </c>
      <c r="AA31" s="56"/>
    </row>
    <row r="32" spans="1:27" ht="15" customHeight="1" x14ac:dyDescent="0.25">
      <c r="A32" s="97" t="str">
        <f>'R2'!B1</f>
        <v>Northern Cape</v>
      </c>
      <c r="B32" s="21">
        <v>2000</v>
      </c>
      <c r="C32" s="3">
        <f>SUMIF('R2'!$AF$7:$AK$7,B32,'R2'!$AF$42:$AK$42)</f>
        <v>17.447839999999999</v>
      </c>
      <c r="D32" s="42">
        <f>SUMIF('R2'!$AF$7:$AK$7,B32,'R2'!$AF$46:$AK$46)</f>
        <v>1</v>
      </c>
      <c r="E32" s="34">
        <f>SUMIF('R2'!$AF$7:$AK$7,B32,'R2'!$AF$47:$AK$47)</f>
        <v>1</v>
      </c>
      <c r="F32" s="49">
        <f t="shared" si="23"/>
        <v>1</v>
      </c>
      <c r="G32" s="57">
        <f t="shared" ref="G32:G37" si="25">(F32-$F26)/$F26</f>
        <v>0</v>
      </c>
      <c r="H32" s="1">
        <f>SUMIF('R2'!$AF$7:$AK$7,B32,'R2'!$AF$44:$AK$44)</f>
        <v>0.92311634638663587</v>
      </c>
      <c r="I32" s="2">
        <f>SUMIF('R2'!$AF$7:$AK$7,B32,'R2'!$AF$45:$AK$45)</f>
        <v>1</v>
      </c>
      <c r="J32" s="2">
        <f t="shared" si="24"/>
        <v>1.0832870676749584</v>
      </c>
      <c r="K32" s="57">
        <f t="shared" ref="K32:K37" si="26">(J32-$J26)/$J26</f>
        <v>0</v>
      </c>
      <c r="L32" s="26">
        <f>SUMIF('R2'!$AF$7:$AK$7,B32,'R2'!$AF$36:$AK$36)</f>
        <v>0.23874911168999999</v>
      </c>
      <c r="M32" s="23">
        <f>SUMIF('R2'!$AF$7:$AK$7,B32,'R2'!$AF$37:$AK$37)</f>
        <v>0.35730745699799998</v>
      </c>
      <c r="N32" s="23">
        <f t="shared" si="0"/>
        <v>0.59605656868799994</v>
      </c>
      <c r="O32" s="57"/>
      <c r="P32" s="38">
        <f t="shared" si="1"/>
        <v>1.4965813044026743</v>
      </c>
      <c r="Q32" s="57">
        <f t="shared" ref="Q32:Q37" si="27">(P32-$P26)/$P26</f>
        <v>0</v>
      </c>
      <c r="R32" s="26">
        <f>SUMIF('R2'!$AF$7:$AK$7,B32,'R2'!$AF$40:$AK$40)</f>
        <v>45393.77360074802</v>
      </c>
      <c r="S32" s="57">
        <f t="shared" ref="S32:S37" si="28">(R32-$R26)/$R26</f>
        <v>0</v>
      </c>
      <c r="T32" s="26">
        <f>SUMIF('R2'!$AF$7:$AK$7,B32,'R2'!$AF$41:$AK$41)</f>
        <v>59185.639391343168</v>
      </c>
      <c r="U32" s="57">
        <f t="shared" ref="U32:U37" si="29">(T32-$T26)/$T26</f>
        <v>0</v>
      </c>
      <c r="V32" s="23">
        <f t="shared" si="2"/>
        <v>1.3038272585993573</v>
      </c>
      <c r="W32" s="57">
        <f t="shared" ref="W32:W37" si="30">(V32-$V26)/$V26</f>
        <v>0</v>
      </c>
      <c r="X32" s="26">
        <f>SUMIF('R2'!$AF$7:$AK$7,B32,'R2'!$AF$52:$AK$52)</f>
        <v>18427.26254075639</v>
      </c>
      <c r="Y32" s="57">
        <f t="shared" ref="Y32:Y37" si="31">(X32-$X26)/$X26</f>
        <v>0</v>
      </c>
      <c r="Z32" s="26">
        <f>SUMIF('R2'!$AF$7:$AK$7,B32,'R2'!$AF$35:$AK$35)</f>
        <v>19171.410103999999</v>
      </c>
      <c r="AA32" s="57">
        <f t="shared" ref="AA32:AA37" si="32">(Z32-$Z26)/$Z26</f>
        <v>0</v>
      </c>
    </row>
    <row r="33" spans="1:30" x14ac:dyDescent="0.25">
      <c r="A33" s="98"/>
      <c r="B33" s="31">
        <v>2020</v>
      </c>
      <c r="C33" s="14">
        <f>SUMIF('R2'!$AF$7:$AK$7,B33,'R2'!$AF$42:$AK$42)</f>
        <v>18.11337</v>
      </c>
      <c r="D33" s="43">
        <f>SUMIF('R2'!$AF$7:$AK$7,B33,'R2'!$AF$46:$AK$46)</f>
        <v>0.94627095271536965</v>
      </c>
      <c r="E33" s="35">
        <f>SUMIF('R2'!$AF$7:$AK$7,B33,'R2'!$AF$47:$AK$47)</f>
        <v>0.99356517912022047</v>
      </c>
      <c r="F33" s="50">
        <f t="shared" si="23"/>
        <v>1.0499795817140301</v>
      </c>
      <c r="G33" s="58">
        <f t="shared" si="25"/>
        <v>1.4173630214615944E-2</v>
      </c>
      <c r="H33" s="4">
        <f>SUMIF('R2'!$AF$7:$AK$7,B33,'R2'!$AF$44:$AK$44)</f>
        <v>0.95122942450071424</v>
      </c>
      <c r="I33" s="5">
        <f>SUMIF('R2'!$AF$7:$AK$7,B33,'R2'!$AF$45:$AK$45)</f>
        <v>1</v>
      </c>
      <c r="J33" s="13">
        <f t="shared" si="24"/>
        <v>1.0512710963760239</v>
      </c>
      <c r="K33" s="58">
        <f t="shared" si="26"/>
        <v>-2.9554466451491831E-2</v>
      </c>
      <c r="L33" s="27">
        <f>SUMIF('R2'!$AF$7:$AK$7,B33,'R2'!$AF$36:$AK$36)</f>
        <v>0.26430810337868738</v>
      </c>
      <c r="M33" s="24">
        <f>SUMIF('R2'!$AF$7:$AK$7,B33,'R2'!$AF$37:$AK$37)</f>
        <v>0.73698209791654368</v>
      </c>
      <c r="N33" s="24">
        <f t="shared" si="0"/>
        <v>1.0012902012952312</v>
      </c>
      <c r="O33" s="58"/>
      <c r="P33" s="39">
        <f t="shared" si="1"/>
        <v>2.7883446950570137</v>
      </c>
      <c r="Q33" s="58">
        <f t="shared" si="27"/>
        <v>3.9894057119240732E-3</v>
      </c>
      <c r="R33" s="27">
        <f>SUMIF('R2'!$AF$7:$AK$7,B33,'R2'!$AF$40:$AK$40)</f>
        <v>109970.4914349871</v>
      </c>
      <c r="S33" s="58">
        <f t="shared" si="28"/>
        <v>3.2538288677264582E-3</v>
      </c>
      <c r="T33" s="27">
        <f>SUMIF('R2'!$AF$7:$AK$7,B33,'R2'!$AF$41:$AK$41)</f>
        <v>141378.67531042109</v>
      </c>
      <c r="U33" s="58">
        <f t="shared" si="29"/>
        <v>-1.0767191160924863E-2</v>
      </c>
      <c r="V33" s="24">
        <f t="shared" si="2"/>
        <v>1.2856055607790209</v>
      </c>
      <c r="W33" s="58">
        <f t="shared" si="30"/>
        <v>-1.3975545993654845E-2</v>
      </c>
      <c r="X33" s="27">
        <f>SUMIF('R2'!$AF$7:$AK$7,B33,'R2'!$AF$52:$AK$52)</f>
        <v>78515.190280982453</v>
      </c>
      <c r="Y33" s="58">
        <f t="shared" si="31"/>
        <v>-1.5391800537370617E-2</v>
      </c>
      <c r="Z33" s="27">
        <f>SUMIF('R2'!$AF$7:$AK$7,B33,'R2'!$AF$35:$AK$35)</f>
        <v>78616.4906811783</v>
      </c>
      <c r="AA33" s="58">
        <f t="shared" si="32"/>
        <v>-1.5603902678928989E-2</v>
      </c>
    </row>
    <row r="34" spans="1:30" x14ac:dyDescent="0.25">
      <c r="A34" s="98"/>
      <c r="B34" s="31">
        <v>2040</v>
      </c>
      <c r="C34" s="6">
        <f>SUMIF('R2'!$AF$7:$AK$7,B34,'R2'!$AF$42:$AK$42)</f>
        <v>19.21679</v>
      </c>
      <c r="D34" s="43">
        <f>SUMIF('R2'!$AF$7:$AK$7,B34,'R2'!$AF$46:$AK$46)</f>
        <v>0.9087454042219193</v>
      </c>
      <c r="E34" s="35">
        <f>SUMIF('R2'!$AF$7:$AK$7,B34,'R2'!$AF$47:$AK$47)</f>
        <v>0.97818889133398601</v>
      </c>
      <c r="F34" s="50">
        <f t="shared" si="23"/>
        <v>1.0764168784672152</v>
      </c>
      <c r="G34" s="58">
        <f t="shared" si="25"/>
        <v>3.9709373659712145E-2</v>
      </c>
      <c r="H34" s="4">
        <f>SUMIF('R2'!$AF$7:$AK$7,B34,'R2'!$AF$44:$AK$44)</f>
        <v>0.98019867330675492</v>
      </c>
      <c r="I34" s="5">
        <f>SUMIF('R2'!$AF$7:$AK$7,B34,'R2'!$AF$45:$AK$45)</f>
        <v>1</v>
      </c>
      <c r="J34" s="5">
        <f t="shared" si="24"/>
        <v>1.0202013400267562</v>
      </c>
      <c r="K34" s="58">
        <f t="shared" si="26"/>
        <v>-5.8235466415750788E-2</v>
      </c>
      <c r="L34" s="27">
        <f>SUMIF('R2'!$AF$7:$AK$7,B34,'R2'!$AF$36:$AK$36)</f>
        <v>0.26460210712599019</v>
      </c>
      <c r="M34" s="24">
        <f>SUMIF('R2'!$AF$7:$AK$7,B34,'R2'!$AF$37:$AK$37)</f>
        <v>1.3709261808930859</v>
      </c>
      <c r="N34" s="24">
        <f t="shared" si="0"/>
        <v>1.635528288019076</v>
      </c>
      <c r="O34" s="58"/>
      <c r="P34" s="40">
        <f t="shared" si="1"/>
        <v>5.1810856526562725</v>
      </c>
      <c r="Q34" s="58">
        <f t="shared" si="27"/>
        <v>5.2785764274733207E-3</v>
      </c>
      <c r="R34" s="27">
        <f>SUMIF('R2'!$AF$7:$AK$7,B34,'R2'!$AF$40:$AK$40)</f>
        <v>202219.95451455389</v>
      </c>
      <c r="S34" s="58">
        <f t="shared" si="28"/>
        <v>8.5902861974419906E-3</v>
      </c>
      <c r="T34" s="27">
        <f>SUMIF('R2'!$AF$7:$AK$7,B34,'R2'!$AF$41:$AK$41)</f>
        <v>253589.9892878056</v>
      </c>
      <c r="U34" s="58">
        <f t="shared" si="29"/>
        <v>-2.9930563531165858E-2</v>
      </c>
      <c r="V34" s="24">
        <f t="shared" si="2"/>
        <v>1.2540304931655721</v>
      </c>
      <c r="W34" s="58">
        <f t="shared" si="30"/>
        <v>-3.8192762964075498E-2</v>
      </c>
      <c r="X34" s="27">
        <f>SUMIF('R2'!$AF$7:$AK$7,B34,'R2'!$AF$52:$AK$52)</f>
        <v>142594.45659846201</v>
      </c>
      <c r="Y34" s="58">
        <f t="shared" si="31"/>
        <v>-4.942892619992046E-2</v>
      </c>
      <c r="Z34" s="27">
        <f>SUMIF('R2'!$AF$7:$AK$7,B34,'R2'!$AF$35:$AK$35)</f>
        <v>233217.26748149309</v>
      </c>
      <c r="AA34" s="58">
        <f t="shared" si="32"/>
        <v>-4.9817577196124375E-2</v>
      </c>
    </row>
    <row r="35" spans="1:30" x14ac:dyDescent="0.25">
      <c r="A35" s="98"/>
      <c r="B35" s="31">
        <v>2060</v>
      </c>
      <c r="C35" s="6">
        <f>SUMIF('R2'!$AF$7:$AK$7,B35,'R2'!$AF$42:$AK$42)</f>
        <v>20.49081</v>
      </c>
      <c r="D35" s="43">
        <f>SUMIF('R2'!$AF$7:$AK$7,B35,'R2'!$AF$46:$AK$46)</f>
        <v>0.86311515559253815</v>
      </c>
      <c r="E35" s="35">
        <f>SUMIF('R2'!$AF$7:$AK$7,B35,'R2'!$AF$47:$AK$47)</f>
        <v>0.95414178358867729</v>
      </c>
      <c r="F35" s="50">
        <f t="shared" si="23"/>
        <v>1.105462900757024</v>
      </c>
      <c r="G35" s="58">
        <f t="shared" si="25"/>
        <v>6.7764881006685554E-2</v>
      </c>
      <c r="H35" s="4">
        <f>SUMIF('R2'!$AF$7:$AK$7,B35,'R2'!$AF$44:$AK$44)</f>
        <v>1</v>
      </c>
      <c r="I35" s="5">
        <f>SUMIF('R2'!$AF$7:$AK$7,B35,'R2'!$AF$45:$AK$45)</f>
        <v>1</v>
      </c>
      <c r="J35" s="5">
        <f t="shared" si="24"/>
        <v>1</v>
      </c>
      <c r="K35" s="58">
        <f t="shared" si="26"/>
        <v>-7.6883653613364092E-2</v>
      </c>
      <c r="L35" s="27">
        <f>SUMIF('R2'!$AF$7:$AK$7,B35,'R2'!$AF$36:$AK$36)</f>
        <v>0.2475408805316153</v>
      </c>
      <c r="M35" s="24">
        <f>SUMIF('R2'!$AF$7:$AK$7,B35,'R2'!$AF$37:$AK$37)</f>
        <v>2.3761030515160191</v>
      </c>
      <c r="N35" s="24">
        <f t="shared" si="0"/>
        <v>2.6236439320476346</v>
      </c>
      <c r="O35" s="58"/>
      <c r="P35" s="40">
        <f t="shared" si="1"/>
        <v>9.5988308937624112</v>
      </c>
      <c r="Q35" s="58">
        <f t="shared" si="27"/>
        <v>3.6146252000238783E-3</v>
      </c>
      <c r="R35" s="27">
        <f>SUMIF('R2'!$AF$7:$AK$7,B35,'R2'!$AF$40:$AK$40)</f>
        <v>313182.16308629827</v>
      </c>
      <c r="S35" s="58">
        <f t="shared" si="28"/>
        <v>1.0596944530956573E-2</v>
      </c>
      <c r="T35" s="27">
        <f>SUMIF('R2'!$AF$7:$AK$7,B35,'R2'!$AF$41:$AK$41)</f>
        <v>382420.74486852193</v>
      </c>
      <c r="U35" s="58">
        <f t="shared" si="29"/>
        <v>-5.3539817138235794E-2</v>
      </c>
      <c r="V35" s="24">
        <f t="shared" si="2"/>
        <v>1.2210808594586045</v>
      </c>
      <c r="W35" s="58">
        <f t="shared" si="30"/>
        <v>-6.3464234694435809E-2</v>
      </c>
      <c r="X35" s="27">
        <f>SUMIF('R2'!$AF$7:$AK$7,B35,'R2'!$AF$52:$AK$52)</f>
        <v>213576.4817533202</v>
      </c>
      <c r="Y35" s="58">
        <f t="shared" si="31"/>
        <v>-9.5463911609400307E-2</v>
      </c>
      <c r="Z35" s="27">
        <f>SUMIF('R2'!$AF$7:$AK$7,B35,'R2'!$AF$35:$AK$35)</f>
        <v>560348.64038018079</v>
      </c>
      <c r="AA35" s="58">
        <f t="shared" si="32"/>
        <v>-9.5907909860169602E-2</v>
      </c>
    </row>
    <row r="36" spans="1:30" x14ac:dyDescent="0.25">
      <c r="A36" s="98"/>
      <c r="B36" s="31">
        <v>2080</v>
      </c>
      <c r="C36" s="6">
        <f>SUMIF('R2'!$AF$7:$AK$7,B36,'R2'!$AF$42:$AK$42)</f>
        <v>21.925709999999999</v>
      </c>
      <c r="D36" s="43">
        <f>SUMIF('R2'!$AF$7:$AK$7,B36,'R2'!$AF$46:$AK$46)</f>
        <v>0.79962112494024751</v>
      </c>
      <c r="E36" s="35">
        <f>SUMIF('R2'!$AF$7:$AK$7,B36,'R2'!$AF$47:$AK$47)</f>
        <v>0.91477656450376754</v>
      </c>
      <c r="F36" s="50">
        <f t="shared" si="23"/>
        <v>1.1440125028864454</v>
      </c>
      <c r="G36" s="58">
        <f t="shared" si="25"/>
        <v>0.10499988120650131</v>
      </c>
      <c r="H36" s="4">
        <f>SUMIF('R2'!$AF$7:$AK$7,B36,'R2'!$AF$44:$AK$44)</f>
        <v>0.99004983374916744</v>
      </c>
      <c r="I36" s="5">
        <f>SUMIF('R2'!$AF$7:$AK$7,B36,'R2'!$AF$45:$AK$45)</f>
        <v>1</v>
      </c>
      <c r="J36" s="5">
        <f t="shared" si="24"/>
        <v>1.0100501670841686</v>
      </c>
      <c r="K36" s="58">
        <f t="shared" si="26"/>
        <v>-6.760618009405113E-2</v>
      </c>
      <c r="L36" s="27">
        <f>SUMIF('R2'!$AF$7:$AK$7,B36,'R2'!$AF$36:$AK$36)</f>
        <v>0.2236569086468024</v>
      </c>
      <c r="M36" s="24">
        <f>SUMIF('R2'!$AF$7:$AK$7,B36,'R2'!$AF$37:$AK$37)</f>
        <v>3.9401276049736849</v>
      </c>
      <c r="N36" s="24">
        <f t="shared" si="0"/>
        <v>4.1637845136204872</v>
      </c>
      <c r="O36" s="58"/>
      <c r="P36" s="40">
        <f t="shared" si="1"/>
        <v>17.616838347685068</v>
      </c>
      <c r="Q36" s="58">
        <f t="shared" si="27"/>
        <v>-7.433540416912042E-3</v>
      </c>
      <c r="R36" s="27">
        <f>SUMIF('R2'!$AF$7:$AK$7,B36,'R2'!$AF$40:$AK$40)</f>
        <v>433843.97600425268</v>
      </c>
      <c r="S36" s="58">
        <f t="shared" si="28"/>
        <v>3.9889723811513721E-3</v>
      </c>
      <c r="T36" s="27">
        <f>SUMIF('R2'!$AF$7:$AK$7,B36,'R2'!$AF$41:$AK$41)</f>
        <v>511907.38706311252</v>
      </c>
      <c r="U36" s="58">
        <f t="shared" si="29"/>
        <v>-9.1412596999612711E-2</v>
      </c>
      <c r="V36" s="24">
        <f t="shared" si="2"/>
        <v>1.1799342975274933</v>
      </c>
      <c r="W36" s="58">
        <f t="shared" si="30"/>
        <v>-9.5022527144397781E-2</v>
      </c>
      <c r="X36" s="27">
        <f>SUMIF('R2'!$AF$7:$AK$7,B36,'R2'!$AF$52:$AK$52)</f>
        <v>277056.90603520971</v>
      </c>
      <c r="Y36" s="58">
        <f t="shared" si="31"/>
        <v>-0.16763539540721301</v>
      </c>
      <c r="Z36" s="27">
        <f>SUMIF('R2'!$AF$7:$AK$7,B36,'R2'!$AF$35:$AK$35)</f>
        <v>1153605.2547410131</v>
      </c>
      <c r="AA36" s="58">
        <f t="shared" si="32"/>
        <v>-0.16796131077164353</v>
      </c>
    </row>
    <row r="37" spans="1:30" ht="15.75" thickBot="1" x14ac:dyDescent="0.3">
      <c r="A37" s="99"/>
      <c r="B37" s="32">
        <v>2100</v>
      </c>
      <c r="C37" s="9">
        <f>SUMIF('R2'!$AF$7:$AK$7,B37,'R2'!$AF$42:$AK$42)</f>
        <v>23.287559999999999</v>
      </c>
      <c r="D37" s="44">
        <f>SUMIF('R2'!$AF$7:$AK$7,B37,'R2'!$AF$46:$AK$46)</f>
        <v>0.72910433227696836</v>
      </c>
      <c r="E37" s="36">
        <f>SUMIF('R2'!$AF$7:$AK$7,B37,'R2'!$AF$47:$AK$47)</f>
        <v>0.86537970249071072</v>
      </c>
      <c r="F37" s="51">
        <f t="shared" si="23"/>
        <v>1.1869079145204897</v>
      </c>
      <c r="G37" s="59">
        <f t="shared" si="25"/>
        <v>0.14643249198682928</v>
      </c>
      <c r="H37" s="7">
        <f>SUMIF('R2'!$AF$7:$AK$7,B37,'R2'!$AF$44:$AK$44)</f>
        <v>0.97044553354850793</v>
      </c>
      <c r="I37" s="8">
        <f>SUMIF('R2'!$AF$7:$AK$7,B37,'R2'!$AF$45:$AK$45)</f>
        <v>1</v>
      </c>
      <c r="J37" s="8">
        <f t="shared" si="24"/>
        <v>1.0304545339535172</v>
      </c>
      <c r="K37" s="59">
        <f t="shared" si="26"/>
        <v>-4.8770575499285589E-2</v>
      </c>
      <c r="L37" s="28">
        <f>SUMIF('R2'!$AF$7:$AK$7,B37,'R2'!$AF$36:$AK$36)</f>
        <v>0.1976227381194387</v>
      </c>
      <c r="M37" s="25">
        <f>SUMIF('R2'!$AF$7:$AK$7,B37,'R2'!$AF$37:$AK$37)</f>
        <v>6.3696249283067141</v>
      </c>
      <c r="N37" s="25">
        <f t="shared" si="0"/>
        <v>6.5672476664261525</v>
      </c>
      <c r="O37" s="59"/>
      <c r="P37" s="41">
        <f t="shared" si="1"/>
        <v>32.231235074058418</v>
      </c>
      <c r="Q37" s="59">
        <f t="shared" si="27"/>
        <v>-2.1430761623542571E-2</v>
      </c>
      <c r="R37" s="33">
        <f>SUMIF('R2'!$AF$7:$AK$7,B37,'R2'!$AF$40:$AK$40)</f>
        <v>560444.79680418654</v>
      </c>
      <c r="S37" s="59">
        <f t="shared" si="28"/>
        <v>-1.2703419958105106E-2</v>
      </c>
      <c r="T37" s="28">
        <f>SUMIF('R2'!$AF$7:$AK$7,B37,'R2'!$AF$41:$AK$41)</f>
        <v>637388.77615645214</v>
      </c>
      <c r="U37" s="59">
        <f t="shared" si="29"/>
        <v>-0.1388096665588589</v>
      </c>
      <c r="V37" s="25">
        <f t="shared" si="2"/>
        <v>1.1372909156994975</v>
      </c>
      <c r="W37" s="59">
        <f t="shared" si="30"/>
        <v>-0.12772883969212434</v>
      </c>
      <c r="X37" s="28">
        <f>SUMIF('R2'!$AF$7:$AK$7,B37,'R2'!$AF$52:$AK$52)</f>
        <v>328368.78917626513</v>
      </c>
      <c r="Y37" s="59">
        <f t="shared" si="31"/>
        <v>-0.25370615433964633</v>
      </c>
      <c r="Z37" s="28">
        <f>SUMIF('R2'!$AF$7:$AK$7,B37,'R2'!$AF$35:$AK$35)</f>
        <v>2156479.1644450082</v>
      </c>
      <c r="AA37" s="59">
        <f t="shared" si="32"/>
        <v>-0.25387640002001577</v>
      </c>
    </row>
    <row r="38" spans="1:30" x14ac:dyDescent="0.25">
      <c r="A38" s="94" t="s">
        <v>6</v>
      </c>
      <c r="B38" s="21">
        <v>2000</v>
      </c>
      <c r="C38" s="3">
        <f>SUMIF('R3'!$AF$7:$AK$7,B38,'R3'!$AF$17:$AK$17)</f>
        <v>15.19354</v>
      </c>
      <c r="D38" s="42">
        <f>SUMIF('R3'!$AF$7:$AK$7,B38,'R3'!$AF$21:$AK$21)</f>
        <v>1</v>
      </c>
      <c r="E38" s="34">
        <f>SUMIF('R3'!$AF$7:$AK$7,B38,'R3'!$AF$22:$AK$22)</f>
        <v>1</v>
      </c>
      <c r="F38" s="45">
        <f>E38/D38</f>
        <v>1</v>
      </c>
      <c r="G38" s="53"/>
      <c r="H38" s="1">
        <f>SUMIF('R3'!$AF$7:$AK$7,B38,'R3'!$AF$19:$AK$19)</f>
        <v>0.81873075307798171</v>
      </c>
      <c r="I38" s="2">
        <f>SUMIF('R3'!$AF$7:$AK$7,B38,'R3'!$AF$20:$AK$20)</f>
        <v>1</v>
      </c>
      <c r="J38" s="2">
        <f>I38/H38</f>
        <v>1.2214027581601701</v>
      </c>
      <c r="K38" s="53"/>
      <c r="L38" s="26">
        <f>SUMIF('R3'!$AF$7:$AK$7,B38,'R3'!$AF$11:$AK$11)</f>
        <v>0.75821948022449992</v>
      </c>
      <c r="M38" s="24">
        <f>SUMIF('R3'!$AF$7:$AK$7,B38,'R3'!$AF$12:$AK$12)</f>
        <v>1.1347370987379</v>
      </c>
      <c r="N38" s="23">
        <f t="shared" si="0"/>
        <v>1.8929565789623999</v>
      </c>
      <c r="O38" s="53"/>
      <c r="P38" s="38">
        <f t="shared" si="1"/>
        <v>1.4965813044026746</v>
      </c>
      <c r="Q38" s="53"/>
      <c r="R38" s="26">
        <f>SUMIF('R3'!$AF$7:$AK$7,B38,'R3'!$AF$15:$AK$15)</f>
        <v>44364.207815122681</v>
      </c>
      <c r="S38" s="53"/>
      <c r="T38" s="26">
        <f>SUMIF('R3'!$AF$7:$AK$7,B38,'R3'!$AF$16:$AK$16)</f>
        <v>60345.050465605484</v>
      </c>
      <c r="U38" s="53"/>
      <c r="V38" s="23">
        <f t="shared" si="2"/>
        <v>1.3602192721907529</v>
      </c>
      <c r="W38" s="53"/>
      <c r="X38" s="26">
        <f>SUMIF('R3'!$AF$7:$AK$7,B38,'R3'!$AF$27:$AK$27)</f>
        <v>18427.26254075639</v>
      </c>
      <c r="Y38" s="53"/>
      <c r="Z38" s="26">
        <f>SUMIF('R3'!$AF$7:$AK$7,B38,'R3'!$AF$10:$AK$10)</f>
        <v>60884.568329200003</v>
      </c>
      <c r="AA38" s="53"/>
      <c r="AB38" s="5"/>
      <c r="AC38" s="5"/>
      <c r="AD38" s="5"/>
    </row>
    <row r="39" spans="1:30" s="10" customFormat="1" x14ac:dyDescent="0.25">
      <c r="A39" s="95"/>
      <c r="B39" s="31">
        <v>2020</v>
      </c>
      <c r="C39" s="14">
        <f>SUMIF('R3'!$AF$7:$AK$7,B39,'R3'!$AF$17:$AK$17)</f>
        <v>15.19354</v>
      </c>
      <c r="D39" s="43">
        <f>SUMIF('R3'!$AF$7:$AK$7,B39,'R3'!$AF$21:$AK$21)</f>
        <v>0.99826693183986537</v>
      </c>
      <c r="E39" s="35">
        <f>SUMIF('R3'!$AF$7:$AK$7,B39,'R3'!$AF$22:$AK$22)</f>
        <v>0.99066394502072841</v>
      </c>
      <c r="F39" s="46">
        <f t="shared" ref="F39:F49" si="33">E39/D39</f>
        <v>0.99238381381107732</v>
      </c>
      <c r="G39" s="54"/>
      <c r="H39" s="4">
        <f>SUMIF('R3'!$AF$7:$AK$7,B39,'R3'!$AF$19:$AK$19)</f>
        <v>0.81873075307798171</v>
      </c>
      <c r="I39" s="5">
        <f>SUMIF('R3'!$AF$7:$AK$7,B39,'R3'!$AF$20:$AK$20)</f>
        <v>1</v>
      </c>
      <c r="J39" s="5">
        <f t="shared" ref="J39:J49" si="34">I39/H39</f>
        <v>1.2214027581601701</v>
      </c>
      <c r="K39" s="55"/>
      <c r="L39" s="27">
        <f>SUMIF('R3'!$AF$7:$AK$7,B39,'R3'!$AF$11:$AK$11)</f>
        <v>0.84203325471364565</v>
      </c>
      <c r="M39" s="24">
        <f>SUMIF('R3'!$AF$7:$AK$7,B39,'R3'!$AF$12:$AK$12)</f>
        <v>2.3385495359659849</v>
      </c>
      <c r="N39" s="24">
        <f t="shared" si="0"/>
        <v>3.1805827906796305</v>
      </c>
      <c r="O39" s="55"/>
      <c r="P39" s="39">
        <f t="shared" si="1"/>
        <v>2.7772650579712161</v>
      </c>
      <c r="Q39" s="55"/>
      <c r="R39" s="27">
        <f>SUMIF('R3'!$AF$7:$AK$7,B39,'R3'!$AF$15:$AK$15)</f>
        <v>108634.0552435243</v>
      </c>
      <c r="S39" s="55"/>
      <c r="T39" s="27">
        <f>SUMIF('R3'!$AF$7:$AK$7,B39,'R3'!$AF$16:$AK$16)</f>
        <v>147766.1355584767</v>
      </c>
      <c r="U39" s="55"/>
      <c r="V39" s="24">
        <f t="shared" si="2"/>
        <v>1.3602192721907531</v>
      </c>
      <c r="W39" s="55"/>
      <c r="X39" s="27">
        <f>SUMIF('R3'!$AF$7:$AK$7,B39,'R3'!$AF$27:$AK$27)</f>
        <v>81805.240320235811</v>
      </c>
      <c r="Y39" s="55"/>
      <c r="Z39" s="27">
        <f>SUMIF('R3'!$AF$7:$AK$7,B39,'R3'!$AF$10:$AK$10)</f>
        <v>260188.3395499535</v>
      </c>
      <c r="AA39" s="55"/>
      <c r="AB39" s="13"/>
      <c r="AC39" s="13"/>
      <c r="AD39" s="13"/>
    </row>
    <row r="40" spans="1:30" x14ac:dyDescent="0.25">
      <c r="A40" s="95"/>
      <c r="B40" s="31">
        <v>2040</v>
      </c>
      <c r="C40" s="6">
        <f>SUMIF('R3'!$AF$7:$AK$7,B40,'R3'!$AF$17:$AK$17)</f>
        <v>15.19354</v>
      </c>
      <c r="D40" s="43">
        <f>SUMIF('R3'!$AF$7:$AK$7,B40,'R3'!$AF$21:$AK$21)</f>
        <v>0.99826693183986537</v>
      </c>
      <c r="E40" s="35">
        <f>SUMIF('R3'!$AF$7:$AK$7,B40,'R3'!$AF$22:$AK$22)</f>
        <v>0.99066394502072841</v>
      </c>
      <c r="F40" s="47">
        <f t="shared" si="33"/>
        <v>0.99238381381107732</v>
      </c>
      <c r="G40" s="55"/>
      <c r="H40" s="4">
        <f>SUMIF('R3'!$AF$7:$AK$7,B40,'R3'!$AF$19:$AK$19)</f>
        <v>0.81873075307798171</v>
      </c>
      <c r="I40" s="5">
        <f>SUMIF('R3'!$AF$7:$AK$7,B40,'R3'!$AF$20:$AK$20)</f>
        <v>1</v>
      </c>
      <c r="J40" s="5">
        <f t="shared" si="34"/>
        <v>1.2214027581601701</v>
      </c>
      <c r="K40" s="55"/>
      <c r="L40" s="27">
        <f>SUMIF('R3'!$AF$7:$AK$7,B40,'R3'!$AF$11:$AK$11)</f>
        <v>0.84438357616233595</v>
      </c>
      <c r="M40" s="24">
        <f>SUMIF('R3'!$AF$7:$AK$7,B40,'R3'!$AF$12:$AK$12)</f>
        <v>4.3518520481560241</v>
      </c>
      <c r="N40" s="24">
        <f t="shared" si="0"/>
        <v>5.1962356243183603</v>
      </c>
      <c r="O40" s="55"/>
      <c r="P40" s="40">
        <f t="shared" si="1"/>
        <v>5.1538805005361263</v>
      </c>
      <c r="Q40" s="55"/>
      <c r="R40" s="27">
        <f>SUMIF('R3'!$AF$7:$AK$7,B40,'R3'!$AF$15:$AK$15)</f>
        <v>196040.7048850698</v>
      </c>
      <c r="S40" s="55"/>
      <c r="T40" s="27">
        <f>SUMIF('R3'!$AF$7:$AK$7,B40,'R3'!$AF$16:$AK$16)</f>
        <v>266658.34491853189</v>
      </c>
      <c r="U40" s="55"/>
      <c r="V40" s="24">
        <f t="shared" si="2"/>
        <v>1.3602192721907531</v>
      </c>
      <c r="W40" s="55"/>
      <c r="X40" s="27">
        <f>SUMIF('R3'!$AF$7:$AK$7,B40,'R3'!$AF$27:$AK$27)</f>
        <v>151825.70616905531</v>
      </c>
      <c r="Y40" s="55"/>
      <c r="Z40" s="27">
        <f>SUMIF('R3'!$AF$7:$AK$7,B40,'R3'!$AF$10:$AK$10)</f>
        <v>788922.14308293711</v>
      </c>
      <c r="AA40" s="55"/>
      <c r="AB40" s="5"/>
      <c r="AC40" s="5"/>
      <c r="AD40" s="5"/>
    </row>
    <row r="41" spans="1:30" x14ac:dyDescent="0.25">
      <c r="A41" s="95"/>
      <c r="B41" s="31">
        <v>2060</v>
      </c>
      <c r="C41" s="6">
        <f>SUMIF('R3'!$AF$7:$AK$7,B41,'R3'!$AF$17:$AK$17)</f>
        <v>15.19354</v>
      </c>
      <c r="D41" s="43">
        <f>SUMIF('R3'!$AF$7:$AK$7,B41,'R3'!$AF$21:$AK$21)</f>
        <v>0.99826693183986537</v>
      </c>
      <c r="E41" s="35">
        <f>SUMIF('R3'!$AF$7:$AK$7,B41,'R3'!$AF$22:$AK$22)</f>
        <v>0.99066394502072841</v>
      </c>
      <c r="F41" s="47">
        <f t="shared" si="33"/>
        <v>0.99238381381107732</v>
      </c>
      <c r="G41" s="55"/>
      <c r="H41" s="4">
        <f>SUMIF('R3'!$AF$7:$AK$7,B41,'R3'!$AF$19:$AK$19)</f>
        <v>0.81873075307798171</v>
      </c>
      <c r="I41" s="5">
        <f>SUMIF('R3'!$AF$7:$AK$7,B41,'R3'!$AF$20:$AK$20)</f>
        <v>1</v>
      </c>
      <c r="J41" s="5">
        <f t="shared" si="34"/>
        <v>1.2214027581601701</v>
      </c>
      <c r="K41" s="55"/>
      <c r="L41" s="27">
        <f>SUMIF('R3'!$AF$7:$AK$7,B41,'R3'!$AF$11:$AK$11)</f>
        <v>0.78910033751592634</v>
      </c>
      <c r="M41" s="24">
        <f>SUMIF('R3'!$AF$7:$AK$7,B41,'R3'!$AF$12:$AK$12)</f>
        <v>7.547160541344847</v>
      </c>
      <c r="N41" s="24">
        <f t="shared" si="0"/>
        <v>8.3362608788607737</v>
      </c>
      <c r="O41" s="55"/>
      <c r="P41" s="40">
        <f t="shared" si="1"/>
        <v>9.5642596797045769</v>
      </c>
      <c r="Q41" s="55"/>
      <c r="R41" s="27">
        <f>SUMIF('R3'!$AF$7:$AK$7,B41,'R3'!$AF$15:$AK$15)</f>
        <v>300439.14844479109</v>
      </c>
      <c r="S41" s="55"/>
      <c r="T41" s="27">
        <f>SUMIF('R3'!$AF$7:$AK$7,B41,'R3'!$AF$16:$AK$16)</f>
        <v>408663.11983518308</v>
      </c>
      <c r="U41" s="55"/>
      <c r="V41" s="24">
        <f t="shared" si="2"/>
        <v>1.3602192721907522</v>
      </c>
      <c r="W41" s="55"/>
      <c r="X41" s="27">
        <f>SUMIF('R3'!$AF$7:$AK$7,B41,'R3'!$AF$27:$AK$27)</f>
        <v>236949.20004547</v>
      </c>
      <c r="Y41" s="55"/>
      <c r="Z41" s="27">
        <f>SUMIF('R3'!$AF$7:$AK$7,B41,'R3'!$AF$10:$AK$10)</f>
        <v>1975270.3466164069</v>
      </c>
      <c r="AA41" s="55"/>
      <c r="AB41" s="5"/>
      <c r="AC41" s="5"/>
      <c r="AD41" s="5"/>
    </row>
    <row r="42" spans="1:30" x14ac:dyDescent="0.25">
      <c r="A42" s="95"/>
      <c r="B42" s="31">
        <v>2080</v>
      </c>
      <c r="C42" s="6">
        <f>SUMIF('R3'!$AF$7:$AK$7,B42,'R3'!$AF$17:$AK$17)</f>
        <v>15.19354</v>
      </c>
      <c r="D42" s="43">
        <f>SUMIF('R3'!$AF$7:$AK$7,B42,'R3'!$AF$21:$AK$21)</f>
        <v>0.99826693183986537</v>
      </c>
      <c r="E42" s="35">
        <f>SUMIF('R3'!$AF$7:$AK$7,B42,'R3'!$AF$22:$AK$22)</f>
        <v>0.99066394502072841</v>
      </c>
      <c r="F42" s="47">
        <f t="shared" si="33"/>
        <v>0.99238381381107732</v>
      </c>
      <c r="G42" s="55"/>
      <c r="H42" s="4">
        <f>SUMIF('R3'!$AF$7:$AK$7,B42,'R3'!$AF$19:$AK$19)</f>
        <v>0.81873075307798171</v>
      </c>
      <c r="I42" s="5">
        <f>SUMIF('R3'!$AF$7:$AK$7,B42,'R3'!$AF$20:$AK$20)</f>
        <v>1</v>
      </c>
      <c r="J42" s="5">
        <f t="shared" si="34"/>
        <v>1.2214027581601701</v>
      </c>
      <c r="K42" s="55"/>
      <c r="L42" s="27">
        <f>SUMIF('R3'!$AF$7:$AK$7,B42,'R3'!$AF$11:$AK$11)</f>
        <v>0.70556757584061891</v>
      </c>
      <c r="M42" s="24">
        <f>SUMIF('R3'!$AF$7:$AK$7,B42,'R3'!$AF$12:$AK$12)</f>
        <v>12.522959855175021</v>
      </c>
      <c r="N42" s="24">
        <f t="shared" si="0"/>
        <v>13.228527431015639</v>
      </c>
      <c r="O42" s="55"/>
      <c r="P42" s="40">
        <f t="shared" si="1"/>
        <v>17.748774580882724</v>
      </c>
      <c r="Q42" s="55"/>
      <c r="R42" s="27">
        <f>SUMIF('R3'!$AF$7:$AK$7,B42,'R3'!$AF$15:$AK$15)</f>
        <v>416829.90615871153</v>
      </c>
      <c r="S42" s="55"/>
      <c r="T42" s="27">
        <f>SUMIF('R3'!$AF$7:$AK$7,B42,'R3'!$AF$16:$AK$16)</f>
        <v>566980.07158254273</v>
      </c>
      <c r="U42" s="55"/>
      <c r="V42" s="24">
        <f t="shared" si="2"/>
        <v>1.3602192721907536</v>
      </c>
      <c r="W42" s="55"/>
      <c r="X42" s="27">
        <f>SUMIF('R3'!$AF$7:$AK$7,B42,'R3'!$AF$27:$AK$27)</f>
        <v>332353.18970149761</v>
      </c>
      <c r="Y42" s="55"/>
      <c r="Z42" s="27">
        <f>SUMIF('R3'!$AF$7:$AK$7,B42,'R3'!$AF$10:$AK$10)</f>
        <v>4396543.2867518058</v>
      </c>
      <c r="AA42" s="55"/>
      <c r="AB42" s="5"/>
      <c r="AC42" s="5"/>
      <c r="AD42" s="5"/>
    </row>
    <row r="43" spans="1:30" ht="15.75" thickBot="1" x14ac:dyDescent="0.3">
      <c r="A43" s="96"/>
      <c r="B43" s="32">
        <v>2100</v>
      </c>
      <c r="C43" s="9">
        <f>SUMIF('R3'!$AF$7:$AK$7,B43,'R3'!$AF$17:$AK$17)</f>
        <v>15.19354</v>
      </c>
      <c r="D43" s="44">
        <f>SUMIF('R3'!$AF$7:$AK$7,B43,'R3'!$AF$21:$AK$21)</f>
        <v>0.99826693183986537</v>
      </c>
      <c r="E43" s="36">
        <f>SUMIF('R3'!$AF$7:$AK$7,B43,'R3'!$AF$22:$AK$22)</f>
        <v>0.99066394502072841</v>
      </c>
      <c r="F43" s="48">
        <f t="shared" si="33"/>
        <v>0.99238381381107732</v>
      </c>
      <c r="G43" s="56"/>
      <c r="H43" s="7">
        <f>SUMIF('R3'!$AF$7:$AK$7,B43,'R3'!$AF$19:$AK$19)</f>
        <v>0.81873075307798171</v>
      </c>
      <c r="I43" s="8">
        <f>SUMIF('R3'!$AF$7:$AK$7,B43,'R3'!$AF$20:$AK$20)</f>
        <v>1</v>
      </c>
      <c r="J43" s="8">
        <f t="shared" si="34"/>
        <v>1.2214027581601701</v>
      </c>
      <c r="K43" s="56"/>
      <c r="L43" s="28">
        <f>SUMIF('R3'!$AF$7:$AK$7,B43,'R3'!$AF$11:$AK$11)</f>
        <v>0.61469671861714426</v>
      </c>
      <c r="M43" s="25">
        <f>SUMIF('R3'!$AF$7:$AK$7,B43,'R3'!$AF$12:$AK$12)</f>
        <v>20.246328680709709</v>
      </c>
      <c r="N43" s="25">
        <f t="shared" si="0"/>
        <v>20.861025399326852</v>
      </c>
      <c r="O43" s="56"/>
      <c r="P43" s="41">
        <f t="shared" si="1"/>
        <v>32.937102261188201</v>
      </c>
      <c r="Q43" s="56"/>
      <c r="R43" s="28">
        <f>SUMIF('R3'!$AF$7:$AK$7,B43,'R3'!$AF$15:$AK$15)</f>
        <v>546011.19105995714</v>
      </c>
      <c r="S43" s="56"/>
      <c r="T43" s="28">
        <f>SUMIF('R3'!$AF$7:$AK$7,B43,'R3'!$AF$16:$AK$16)</f>
        <v>742694.94491158111</v>
      </c>
      <c r="U43" s="56"/>
      <c r="V43" s="25">
        <f t="shared" si="2"/>
        <v>1.3602192721907531</v>
      </c>
      <c r="W43" s="56"/>
      <c r="X43" s="28">
        <f>SUMIF('R3'!$AF$7:$AK$7,B43,'R3'!$AF$27:$AK$27)</f>
        <v>438085.19861956878</v>
      </c>
      <c r="Y43" s="56"/>
      <c r="Z43" s="28">
        <f>SUMIF('R3'!$AF$7:$AK$7,B43,'R3'!$AF$10:$AK$10)</f>
        <v>9138906.4554719739</v>
      </c>
      <c r="AA43" s="56"/>
      <c r="AB43" s="5"/>
      <c r="AC43" s="5"/>
      <c r="AD43" s="5"/>
    </row>
    <row r="44" spans="1:30" x14ac:dyDescent="0.25">
      <c r="A44" s="94" t="str">
        <f>'R3'!B1</f>
        <v>Free State</v>
      </c>
      <c r="B44" s="21">
        <v>2000</v>
      </c>
      <c r="C44" s="3">
        <f>SUMIF('R3'!$AF$7:$AK$7,B44,'R3'!$AF$42:$AK$42)</f>
        <v>15.19354</v>
      </c>
      <c r="D44" s="42">
        <f>SUMIF('R3'!$AF$7:$AK$7,B44,'R3'!$AF$46:$AK$46)</f>
        <v>1</v>
      </c>
      <c r="E44" s="34">
        <f>SUMIF('R3'!$AF$7:$AK$7,B44,'R3'!$AF$47:$AK$47)</f>
        <v>1</v>
      </c>
      <c r="F44" s="49">
        <f t="shared" si="33"/>
        <v>1</v>
      </c>
      <c r="G44" s="57">
        <f t="shared" ref="G44:G49" si="35">(F44-$F38)/$F38</f>
        <v>0</v>
      </c>
      <c r="H44" s="1">
        <f>SUMIF('R3'!$AF$7:$AK$7,B44,'R3'!$AF$44:$AK$44)</f>
        <v>0.81873075307798171</v>
      </c>
      <c r="I44" s="2">
        <f>SUMIF('R3'!$AF$7:$AK$7,B44,'R3'!$AF$45:$AK$45)</f>
        <v>1</v>
      </c>
      <c r="J44" s="2">
        <f t="shared" si="34"/>
        <v>1.2214027581601701</v>
      </c>
      <c r="K44" s="57">
        <f t="shared" ref="K44:K49" si="36">(J44-$J38)/$J38</f>
        <v>0</v>
      </c>
      <c r="L44" s="26">
        <f>SUMIF('R3'!$AF$7:$AK$7,B44,'R3'!$AF$36:$AK$36)</f>
        <v>0.75821948022449992</v>
      </c>
      <c r="M44" s="23">
        <f>SUMIF('R3'!$AF$7:$AK$7,B44,'R3'!$AF$37:$AK$37)</f>
        <v>1.1347370987379</v>
      </c>
      <c r="N44" s="23">
        <f t="shared" si="0"/>
        <v>1.8929565789623999</v>
      </c>
      <c r="O44" s="57"/>
      <c r="P44" s="38">
        <f t="shared" si="1"/>
        <v>1.4965813044026746</v>
      </c>
      <c r="Q44" s="57">
        <f t="shared" ref="Q44:Q49" si="37">(P44-$P38)/$P38</f>
        <v>0</v>
      </c>
      <c r="R44" s="26">
        <f>SUMIF('R3'!$AF$7:$AK$7,B44,'R3'!$AF$40:$AK$40)</f>
        <v>44364.207815122681</v>
      </c>
      <c r="S44" s="57">
        <f t="shared" ref="S44:S49" si="38">(R44-$R38)/$R38</f>
        <v>0</v>
      </c>
      <c r="T44" s="26">
        <f>SUMIF('R3'!$AF$7:$AK$7,B44,'R3'!$AF$41:$AK$41)</f>
        <v>60345.050465605484</v>
      </c>
      <c r="U44" s="57">
        <f t="shared" ref="U44:U49" si="39">(T44-$T38)/$T38</f>
        <v>0</v>
      </c>
      <c r="V44" s="23">
        <f t="shared" si="2"/>
        <v>1.3602192721907529</v>
      </c>
      <c r="W44" s="57">
        <f t="shared" ref="W44:W49" si="40">(V44-$V38)/$V38</f>
        <v>0</v>
      </c>
      <c r="X44" s="26">
        <f>SUMIF('R3'!$AF$7:$AK$7,B44,'R3'!$AF$52:$AK$52)</f>
        <v>18427.26254075639</v>
      </c>
      <c r="Y44" s="57">
        <f t="shared" ref="Y44:Y49" si="41">(X44-$X38)/$X38</f>
        <v>0</v>
      </c>
      <c r="Z44" s="26">
        <f>SUMIF('R3'!$AF$7:$AK$7,B44,'R3'!$AF$35:$AK$35)</f>
        <v>60884.568329200003</v>
      </c>
      <c r="AA44" s="57">
        <f t="shared" ref="AA44:AA49" si="42">(Z44-$Z38)/$Z38</f>
        <v>0</v>
      </c>
      <c r="AB44" s="5"/>
      <c r="AC44" s="5"/>
      <c r="AD44" s="5"/>
    </row>
    <row r="45" spans="1:30" x14ac:dyDescent="0.25">
      <c r="A45" s="95"/>
      <c r="B45" s="31">
        <v>2020</v>
      </c>
      <c r="C45" s="14">
        <f>SUMIF('R3'!$AF$7:$AK$7,B45,'R3'!$AF$42:$AK$42)</f>
        <v>15.7546</v>
      </c>
      <c r="D45" s="43">
        <f>SUMIF('R3'!$AF$7:$AK$7,B45,'R3'!$AF$46:$AK$46)</f>
        <v>0.99491095649231731</v>
      </c>
      <c r="E45" s="35">
        <f>SUMIF('R3'!$AF$7:$AK$7,B45,'R3'!$AF$47:$AK$47)</f>
        <v>0.99517135492944209</v>
      </c>
      <c r="F45" s="50">
        <f t="shared" si="33"/>
        <v>1.0002617303944896</v>
      </c>
      <c r="G45" s="58">
        <f t="shared" si="35"/>
        <v>7.9383767386919935E-3</v>
      </c>
      <c r="H45" s="4">
        <f>SUMIF('R3'!$AF$7:$AK$7,B45,'R3'!$AF$44:$AK$44)</f>
        <v>0.85214378896621124</v>
      </c>
      <c r="I45" s="5">
        <f>SUMIF('R3'!$AF$7:$AK$7,B45,'R3'!$AF$45:$AK$45)</f>
        <v>1</v>
      </c>
      <c r="J45" s="13">
        <f t="shared" si="34"/>
        <v>1.1735108709918103</v>
      </c>
      <c r="K45" s="58">
        <f t="shared" si="36"/>
        <v>-3.9210560847676941E-2</v>
      </c>
      <c r="L45" s="27">
        <f>SUMIF('R3'!$AF$7:$AK$7,B45,'R3'!$AF$36:$AK$36)</f>
        <v>0.83671240813467718</v>
      </c>
      <c r="M45" s="24">
        <f>SUMIF('R3'!$AF$7:$AK$7,B45,'R3'!$AF$37:$AK$37)</f>
        <v>2.342491313779397</v>
      </c>
      <c r="N45" s="24">
        <f t="shared" si="0"/>
        <v>3.1792037219140741</v>
      </c>
      <c r="O45" s="58"/>
      <c r="P45" s="39">
        <f t="shared" si="1"/>
        <v>2.799637355685479</v>
      </c>
      <c r="Q45" s="58">
        <f t="shared" si="37"/>
        <v>8.0555140569138744E-3</v>
      </c>
      <c r="R45" s="27">
        <f>SUMIF('R3'!$AF$7:$AK$7,B45,'R3'!$AF$40:$AK$40)</f>
        <v>109647.17717542029</v>
      </c>
      <c r="S45" s="58">
        <f t="shared" si="38"/>
        <v>9.3260067446150549E-3</v>
      </c>
      <c r="T45" s="27">
        <f>SUMIF('R3'!$AF$7:$AK$7,B45,'R3'!$AF$41:$AK$41)</f>
        <v>147969.56537947801</v>
      </c>
      <c r="U45" s="58">
        <f t="shared" si="39"/>
        <v>1.3767012328802673E-3</v>
      </c>
      <c r="V45" s="24">
        <f t="shared" si="2"/>
        <v>1.34950638211823</v>
      </c>
      <c r="W45" s="58">
        <f t="shared" si="40"/>
        <v>-7.8758552327148103E-3</v>
      </c>
      <c r="X45" s="27">
        <f>SUMIF('R3'!$AF$7:$AK$7,B45,'R3'!$AF$52:$AK$52)</f>
        <v>82326.274630318192</v>
      </c>
      <c r="Y45" s="58">
        <f t="shared" si="41"/>
        <v>6.369204564924371E-3</v>
      </c>
      <c r="Z45" s="27">
        <f>SUMIF('R3'!$AF$7:$AK$7,B45,'R3'!$AF$35:$AK$35)</f>
        <v>261731.99871602791</v>
      </c>
      <c r="AA45" s="58">
        <f t="shared" si="42"/>
        <v>5.9328529815920105E-3</v>
      </c>
      <c r="AB45" s="5"/>
      <c r="AC45" s="5"/>
      <c r="AD45" s="5"/>
    </row>
    <row r="46" spans="1:30" x14ac:dyDescent="0.25">
      <c r="A46" s="95"/>
      <c r="B46" s="31">
        <v>2040</v>
      </c>
      <c r="C46" s="6">
        <f>SUMIF('R3'!$AF$7:$AK$7,B46,'R3'!$AF$42:$AK$42)</f>
        <v>16.701039999999999</v>
      </c>
      <c r="D46" s="43">
        <f>SUMIF('R3'!$AF$7:$AK$7,B46,'R3'!$AF$46:$AK$46)</f>
        <v>0.98300570279749855</v>
      </c>
      <c r="E46" s="35">
        <f>SUMIF('R3'!$AF$7:$AK$7,B46,'R3'!$AF$47:$AK$47)</f>
        <v>0.99977488244563673</v>
      </c>
      <c r="F46" s="50">
        <f t="shared" si="33"/>
        <v>1.0170590868398988</v>
      </c>
      <c r="G46" s="58">
        <f t="shared" si="35"/>
        <v>2.4864646808436294E-2</v>
      </c>
      <c r="H46" s="4">
        <f>SUMIF('R3'!$AF$7:$AK$7,B46,'R3'!$AF$44:$AK$44)</f>
        <v>0.895834135296528</v>
      </c>
      <c r="I46" s="5">
        <f>SUMIF('R3'!$AF$7:$AK$7,B46,'R3'!$AF$45:$AK$45)</f>
        <v>1</v>
      </c>
      <c r="J46" s="5">
        <f t="shared" si="34"/>
        <v>1.1162780704588715</v>
      </c>
      <c r="K46" s="58">
        <f t="shared" si="36"/>
        <v>-8.6068814728771814E-2</v>
      </c>
      <c r="L46" s="27">
        <f>SUMIF('R3'!$AF$7:$AK$7,B46,'R3'!$AF$36:$AK$36)</f>
        <v>0.83201852392539588</v>
      </c>
      <c r="M46" s="24">
        <f>SUMIF('R3'!$AF$7:$AK$7,B46,'R3'!$AF$37:$AK$37)</f>
        <v>4.3588541540687187</v>
      </c>
      <c r="N46" s="24">
        <f t="shared" si="0"/>
        <v>5.1908726779941148</v>
      </c>
      <c r="O46" s="58"/>
      <c r="P46" s="40">
        <f t="shared" si="1"/>
        <v>5.2388907563067209</v>
      </c>
      <c r="Q46" s="58">
        <f t="shared" si="37"/>
        <v>1.6494417315603537E-2</v>
      </c>
      <c r="R46" s="27">
        <f>SUMIF('R3'!$AF$7:$AK$7,B46,'R3'!$AF$40:$AK$40)</f>
        <v>201568.76902294619</v>
      </c>
      <c r="S46" s="58">
        <f t="shared" si="38"/>
        <v>2.8198552648120951E-2</v>
      </c>
      <c r="T46" s="27">
        <f>SUMIF('R3'!$AF$7:$AK$7,B46,'R3'!$AF$41:$AK$41)</f>
        <v>267525.79001588508</v>
      </c>
      <c r="U46" s="58">
        <f t="shared" si="39"/>
        <v>3.2530206306433441E-3</v>
      </c>
      <c r="V46" s="24">
        <f t="shared" si="2"/>
        <v>1.3272184540921141</v>
      </c>
      <c r="W46" s="58">
        <f t="shared" si="40"/>
        <v>-2.426139577149811E-2</v>
      </c>
      <c r="X46" s="27">
        <f>SUMIF('R3'!$AF$7:$AK$7,B46,'R3'!$AF$52:$AK$52)</f>
        <v>153812.54675750239</v>
      </c>
      <c r="Y46" s="58">
        <f t="shared" si="41"/>
        <v>1.3086325356753303E-2</v>
      </c>
      <c r="Z46" s="27">
        <f>SUMIF('R3'!$AF$7:$AK$7,B46,'R3'!$AF$35:$AK$35)</f>
        <v>798421.34649621148</v>
      </c>
      <c r="AA46" s="58">
        <f t="shared" si="42"/>
        <v>1.2040736207699203E-2</v>
      </c>
      <c r="AB46" s="5"/>
      <c r="AC46" s="5"/>
      <c r="AD46" s="5"/>
    </row>
    <row r="47" spans="1:30" x14ac:dyDescent="0.25">
      <c r="A47" s="95"/>
      <c r="B47" s="31">
        <v>2060</v>
      </c>
      <c r="C47" s="6">
        <f>SUMIF('R3'!$AF$7:$AK$7,B47,'R3'!$AF$42:$AK$42)</f>
        <v>17.93713</v>
      </c>
      <c r="D47" s="43">
        <f>SUMIF('R3'!$AF$7:$AK$7,B47,'R3'!$AF$46:$AK$46)</f>
        <v>0.95269766517752652</v>
      </c>
      <c r="E47" s="35">
        <f>SUMIF('R3'!$AF$7:$AK$7,B47,'R3'!$AF$47:$AK$47)</f>
        <v>0.99556088418081246</v>
      </c>
      <c r="F47" s="50">
        <f t="shared" si="33"/>
        <v>1.0449914181277002</v>
      </c>
      <c r="G47" s="58">
        <f t="shared" si="35"/>
        <v>5.3011348617822147E-2</v>
      </c>
      <c r="H47" s="4">
        <f>SUMIF('R3'!$AF$7:$AK$7,B47,'R3'!$AF$44:$AK$44)</f>
        <v>0.94176453358424828</v>
      </c>
      <c r="I47" s="5">
        <f>SUMIF('R3'!$AF$7:$AK$7,B47,'R3'!$AF$45:$AK$45)</f>
        <v>1</v>
      </c>
      <c r="J47" s="5">
        <f t="shared" si="34"/>
        <v>1.0618365465453601</v>
      </c>
      <c r="K47" s="58">
        <f t="shared" si="36"/>
        <v>-0.13064176460119398</v>
      </c>
      <c r="L47" s="27">
        <f>SUMIF('R3'!$AF$7:$AK$7,B47,'R3'!$AF$36:$AK$36)</f>
        <v>0.77227906380223066</v>
      </c>
      <c r="M47" s="24">
        <f>SUMIF('R3'!$AF$7:$AK$7,B47,'R3'!$AF$37:$AK$37)</f>
        <v>7.5512294096643444</v>
      </c>
      <c r="N47" s="24">
        <f t="shared" si="0"/>
        <v>8.3235084734665747</v>
      </c>
      <c r="O47" s="58"/>
      <c r="P47" s="40">
        <f t="shared" si="1"/>
        <v>9.7778507324628237</v>
      </c>
      <c r="Q47" s="58">
        <f t="shared" si="37"/>
        <v>2.2332209696427251E-2</v>
      </c>
      <c r="R47" s="27">
        <f>SUMIF('R3'!$AF$7:$AK$7,B47,'R3'!$AF$40:$AK$40)</f>
        <v>315655.23138392088</v>
      </c>
      <c r="S47" s="58">
        <f t="shared" si="38"/>
        <v>5.0646139219522872E-2</v>
      </c>
      <c r="T47" s="27">
        <f>SUMIF('R3'!$AF$7:$AK$7,B47,'R3'!$AF$41:$AK$41)</f>
        <v>407745.20584209968</v>
      </c>
      <c r="U47" s="58">
        <f t="shared" si="39"/>
        <v>-2.2461385638459569E-3</v>
      </c>
      <c r="V47" s="24">
        <f t="shared" si="2"/>
        <v>1.2917422722710172</v>
      </c>
      <c r="W47" s="58">
        <f t="shared" si="40"/>
        <v>-5.0342618517268019E-2</v>
      </c>
      <c r="X47" s="27">
        <f>SUMIF('R3'!$AF$7:$AK$7,B47,'R3'!$AF$52:$AK$52)</f>
        <v>237704.02923751139</v>
      </c>
      <c r="Y47" s="58">
        <f t="shared" si="41"/>
        <v>3.1856161231881785E-3</v>
      </c>
      <c r="Z47" s="27">
        <f>SUMIF('R3'!$AF$7:$AK$7,B47,'R3'!$AF$35:$AK$35)</f>
        <v>1978531.5015355721</v>
      </c>
      <c r="AA47" s="58">
        <f t="shared" si="42"/>
        <v>1.6509916856451931E-3</v>
      </c>
      <c r="AB47" s="5"/>
      <c r="AC47" s="5"/>
      <c r="AD47" s="5"/>
    </row>
    <row r="48" spans="1:30" x14ac:dyDescent="0.25">
      <c r="A48" s="95"/>
      <c r="B48" s="31">
        <v>2080</v>
      </c>
      <c r="C48" s="6">
        <f>SUMIF('R3'!$AF$7:$AK$7,B48,'R3'!$AF$42:$AK$42)</f>
        <v>19.343160000000001</v>
      </c>
      <c r="D48" s="43">
        <f>SUMIF('R3'!$AF$7:$AK$7,B48,'R3'!$AF$46:$AK$46)</f>
        <v>0.9087454042219193</v>
      </c>
      <c r="E48" s="35">
        <f>SUMIF('R3'!$AF$7:$AK$7,B48,'R3'!$AF$47:$AK$47)</f>
        <v>0.97818889133398601</v>
      </c>
      <c r="F48" s="50">
        <f t="shared" si="33"/>
        <v>1.0764168784672152</v>
      </c>
      <c r="G48" s="58">
        <f t="shared" si="35"/>
        <v>8.4677987978686947E-2</v>
      </c>
      <c r="H48" s="4">
        <f>SUMIF('R3'!$AF$7:$AK$7,B48,'R3'!$AF$44:$AK$44)</f>
        <v>0.98019867330675492</v>
      </c>
      <c r="I48" s="5">
        <f>SUMIF('R3'!$AF$7:$AK$7,B48,'R3'!$AF$45:$AK$45)</f>
        <v>1</v>
      </c>
      <c r="J48" s="5">
        <f t="shared" si="34"/>
        <v>1.0202013400267562</v>
      </c>
      <c r="K48" s="58">
        <f t="shared" si="36"/>
        <v>-0.1647297885887278</v>
      </c>
      <c r="L48" s="27">
        <f>SUMIF('R3'!$AF$7:$AK$7,B48,'R3'!$AF$36:$AK$36)</f>
        <v>0.68798677065905145</v>
      </c>
      <c r="M48" s="24">
        <f>SUMIF('R3'!$AF$7:$AK$7,B48,'R3'!$AF$37:$AK$37)</f>
        <v>12.51602741871182</v>
      </c>
      <c r="N48" s="24">
        <f t="shared" si="0"/>
        <v>13.204014189370872</v>
      </c>
      <c r="O48" s="58"/>
      <c r="P48" s="40">
        <f t="shared" si="1"/>
        <v>18.192250131092187</v>
      </c>
      <c r="Q48" s="58">
        <f t="shared" si="37"/>
        <v>2.4986263034019962E-2</v>
      </c>
      <c r="R48" s="27">
        <f>SUMIF('R3'!$AF$7:$AK$7,B48,'R3'!$AF$40:$AK$40)</f>
        <v>443600.65807644901</v>
      </c>
      <c r="S48" s="58">
        <f t="shared" si="38"/>
        <v>6.422464300712695E-2</v>
      </c>
      <c r="T48" s="27">
        <f>SUMIF('R3'!$AF$7:$AK$7,B48,'R3'!$AF$41:$AK$41)</f>
        <v>556288.75201618171</v>
      </c>
      <c r="U48" s="58">
        <f t="shared" si="39"/>
        <v>-1.8856605553206906E-2</v>
      </c>
      <c r="V48" s="24">
        <f t="shared" si="2"/>
        <v>1.2540304931655721</v>
      </c>
      <c r="W48" s="58">
        <f t="shared" si="40"/>
        <v>-7.8067397805763328E-2</v>
      </c>
      <c r="X48" s="27">
        <f>SUMIF('R3'!$AF$7:$AK$7,B48,'R3'!$AF$52:$AK$52)</f>
        <v>322084.15003767592</v>
      </c>
      <c r="Y48" s="58">
        <f t="shared" si="41"/>
        <v>-3.0897972343953764E-2</v>
      </c>
      <c r="Z48" s="27">
        <f>SUMIF('R3'!$AF$7:$AK$7,B48,'R3'!$AF$35:$AK$35)</f>
        <v>4252803.6872689296</v>
      </c>
      <c r="AA48" s="58">
        <f t="shared" si="42"/>
        <v>-3.2693775565911007E-2</v>
      </c>
      <c r="AB48" s="5"/>
      <c r="AC48" s="5"/>
      <c r="AD48" s="5"/>
    </row>
    <row r="49" spans="1:30" ht="15.75" thickBot="1" x14ac:dyDescent="0.3">
      <c r="A49" s="96"/>
      <c r="B49" s="32">
        <v>2100</v>
      </c>
      <c r="C49" s="9">
        <f>SUMIF('R3'!$AF$7:$AK$7,B49,'R3'!$AF$42:$AK$42)</f>
        <v>20.68487</v>
      </c>
      <c r="D49" s="44">
        <f>SUMIF('R3'!$AF$7:$AK$7,B49,'R3'!$AF$46:$AK$46)</f>
        <v>0.85313575176011658</v>
      </c>
      <c r="E49" s="36">
        <f>SUMIF('R3'!$AF$7:$AK$7,B49,'R3'!$AF$47:$AK$47)</f>
        <v>0.94834437421114004</v>
      </c>
      <c r="F49" s="51">
        <f t="shared" si="33"/>
        <v>1.1115984440396469</v>
      </c>
      <c r="G49" s="59">
        <f t="shared" si="35"/>
        <v>0.12012955931913738</v>
      </c>
      <c r="H49" s="7">
        <f>SUMIF('R3'!$AF$7:$AK$7,B49,'R3'!$AF$44:$AK$44)</f>
        <v>1</v>
      </c>
      <c r="I49" s="8">
        <f>SUMIF('R3'!$AF$7:$AK$7,B49,'R3'!$AF$45:$AK$45)</f>
        <v>1</v>
      </c>
      <c r="J49" s="8">
        <f t="shared" si="34"/>
        <v>1</v>
      </c>
      <c r="K49" s="59">
        <f t="shared" si="36"/>
        <v>-0.18126924692201832</v>
      </c>
      <c r="L49" s="28">
        <f>SUMIF('R3'!$AF$7:$AK$7,B49,'R3'!$AF$36:$AK$36)</f>
        <v>0.60070640763727567</v>
      </c>
      <c r="M49" s="25">
        <f>SUMIF('R3'!$AF$7:$AK$7,B49,'R3'!$AF$37:$AK$37)</f>
        <v>20.218331467887591</v>
      </c>
      <c r="N49" s="25">
        <f t="shared" si="0"/>
        <v>20.819037875524867</v>
      </c>
      <c r="O49" s="59"/>
      <c r="P49" s="41">
        <f t="shared" si="1"/>
        <v>33.657592479179975</v>
      </c>
      <c r="Q49" s="59">
        <f t="shared" si="37"/>
        <v>2.1874729971032437E-2</v>
      </c>
      <c r="R49" s="33">
        <f>SUMIF('R3'!$AF$7:$AK$7,B49,'R3'!$AF$40:$AK$40)</f>
        <v>582589.61955569009</v>
      </c>
      <c r="S49" s="59">
        <f t="shared" si="38"/>
        <v>6.6992085683672917E-2</v>
      </c>
      <c r="T49" s="28">
        <f>SUMIF('R3'!$AF$7:$AK$7,B49,'R3'!$AF$41:$AK$41)</f>
        <v>707462.47316213418</v>
      </c>
      <c r="U49" s="59">
        <f t="shared" si="39"/>
        <v>-4.7438685278302806E-2</v>
      </c>
      <c r="V49" s="25">
        <f t="shared" si="2"/>
        <v>1.2143410205311895</v>
      </c>
      <c r="W49" s="59">
        <f t="shared" si="40"/>
        <v>-0.10724612909256447</v>
      </c>
      <c r="X49" s="28">
        <f>SUMIF('R3'!$AF$7:$AK$7,B49,'R3'!$AF$52:$AK$52)</f>
        <v>399540.41081940802</v>
      </c>
      <c r="Y49" s="59">
        <f t="shared" si="41"/>
        <v>-8.7984684078844855E-2</v>
      </c>
      <c r="Z49" s="28">
        <f>SUMIF('R3'!$AF$7:$AK$7,B49,'R3'!$AF$35:$AK$35)</f>
        <v>8318046.9456520211</v>
      </c>
      <c r="AA49" s="59">
        <f t="shared" si="42"/>
        <v>-8.9820320824977734E-2</v>
      </c>
      <c r="AB49" s="5"/>
      <c r="AC49" s="5"/>
      <c r="AD49" s="5"/>
    </row>
    <row r="50" spans="1:30" x14ac:dyDescent="0.25">
      <c r="A50" s="103" t="s">
        <v>6</v>
      </c>
      <c r="B50" s="21">
        <v>2000</v>
      </c>
      <c r="C50" s="3">
        <f>SUMIF('R4'!$AF$7:$AK$7,B50,'R4'!$AF$17:$AK$17)</f>
        <v>19.07366</v>
      </c>
      <c r="D50" s="42">
        <f>SUMIF('R4'!$AF$7:$AK$7,B50,'R4'!$AF$21:$AK$21)</f>
        <v>1</v>
      </c>
      <c r="E50" s="34">
        <f>SUMIF('R4'!$AF$7:$AK$7,B50,'R4'!$AF$22:$AK$22)</f>
        <v>1</v>
      </c>
      <c r="F50" s="45">
        <f>E50/D50</f>
        <v>1</v>
      </c>
      <c r="G50" s="53"/>
      <c r="H50" s="1">
        <f>SUMIF('R4'!$AF$7:$AK$7,B50,'R4'!$AF$19:$AK$19)</f>
        <v>0.97044553354850793</v>
      </c>
      <c r="I50" s="2">
        <f>SUMIF('R4'!$AF$7:$AK$7,B50,'R4'!$AF$20:$AK$20)</f>
        <v>1</v>
      </c>
      <c r="J50" s="2">
        <f>I50/H50</f>
        <v>1.0304545339535172</v>
      </c>
      <c r="K50" s="53"/>
      <c r="L50" s="26">
        <f>SUMIF('R4'!$AF$7:$AK$7,B50,'R4'!$AF$11:$AK$11)</f>
        <v>2.4328473815880001</v>
      </c>
      <c r="M50" s="24">
        <f>SUMIF('R4'!$AF$7:$AK$7,B50,'R4'!$AF$12:$AK$12)</f>
        <v>3.6409539077496</v>
      </c>
      <c r="N50" s="23">
        <f t="shared" si="0"/>
        <v>6.0738012893376006</v>
      </c>
      <c r="O50" s="53"/>
      <c r="P50" s="38">
        <f t="shared" si="1"/>
        <v>1.4965813044026743</v>
      </c>
      <c r="Q50" s="53"/>
      <c r="R50" s="26">
        <f>SUMIF('R4'!$AF$7:$AK$7,B50,'R4'!$AF$15:$AK$15)</f>
        <v>46919.594157542197</v>
      </c>
      <c r="S50" s="53"/>
      <c r="T50" s="26">
        <f>SUMIF('R4'!$AF$7:$AK$7,B50,'R4'!$AF$16:$AK$16)</f>
        <v>59140.312213546342</v>
      </c>
      <c r="U50" s="53"/>
      <c r="V50" s="23">
        <f t="shared" si="2"/>
        <v>1.2604608644944917</v>
      </c>
      <c r="W50" s="53"/>
      <c r="X50" s="26">
        <f>SUMIF('R4'!$AF$7:$AK$7,B50,'R4'!$AF$27:$AK$27)</f>
        <v>18427.26254075639</v>
      </c>
      <c r="Y50" s="53"/>
      <c r="Z50" s="26">
        <f>SUMIF('R4'!$AF$7:$AK$7,B50,'R4'!$AF$10:$AK$10)</f>
        <v>195356.1818208</v>
      </c>
      <c r="AA50" s="53"/>
      <c r="AB50" s="5"/>
      <c r="AC50" s="5"/>
      <c r="AD50" s="5"/>
    </row>
    <row r="51" spans="1:30" s="10" customFormat="1" x14ac:dyDescent="0.25">
      <c r="A51" s="104"/>
      <c r="B51" s="31">
        <v>2020</v>
      </c>
      <c r="C51" s="14">
        <f>SUMIF('R4'!$AF$7:$AK$7,B51,'R4'!$AF$17:$AK$17)</f>
        <v>19.07366</v>
      </c>
      <c r="D51" s="43">
        <f>SUMIF('R4'!$AF$7:$AK$7,B51,'R4'!$AF$21:$AK$21)</f>
        <v>0.91693862656807257</v>
      </c>
      <c r="E51" s="35">
        <f>SUMIF('R4'!$AF$7:$AK$7,B51,'R4'!$AF$22:$AK$22)</f>
        <v>0.98197288977586894</v>
      </c>
      <c r="F51" s="46">
        <f t="shared" ref="F51:F61" si="43">E51/D51</f>
        <v>1.0709254265481294</v>
      </c>
      <c r="G51" s="54"/>
      <c r="H51" s="4">
        <f>SUMIF('R4'!$AF$7:$AK$7,B51,'R4'!$AF$19:$AK$19)</f>
        <v>0.97044553354850793</v>
      </c>
      <c r="I51" s="5">
        <f>SUMIF('R4'!$AF$7:$AK$7,B51,'R4'!$AF$20:$AK$20)</f>
        <v>1</v>
      </c>
      <c r="J51" s="5">
        <f t="shared" ref="J51:J61" si="44">I51/H51</f>
        <v>1.0304545339535172</v>
      </c>
      <c r="K51" s="55"/>
      <c r="L51" s="27">
        <f>SUMIF('R4'!$AF$7:$AK$7,B51,'R4'!$AF$11:$AK$11)</f>
        <v>2.701774950880405</v>
      </c>
      <c r="M51" s="24">
        <f>SUMIF('R4'!$AF$7:$AK$7,B51,'R4'!$AF$12:$AK$12)</f>
        <v>7.5035451655820484</v>
      </c>
      <c r="N51" s="24">
        <f t="shared" si="0"/>
        <v>10.205320116462453</v>
      </c>
      <c r="O51" s="55"/>
      <c r="P51" s="39">
        <f t="shared" si="1"/>
        <v>2.7772650579712166</v>
      </c>
      <c r="Q51" s="55"/>
      <c r="R51" s="27">
        <f>SUMIF('R4'!$AF$7:$AK$7,B51,'R4'!$AF$15:$AK$15)</f>
        <v>111385.2807478568</v>
      </c>
      <c r="S51" s="55"/>
      <c r="T51" s="27">
        <f>SUMIF('R4'!$AF$7:$AK$7,B51,'R4'!$AF$16:$AK$16)</f>
        <v>140396.78726340531</v>
      </c>
      <c r="U51" s="55"/>
      <c r="V51" s="24">
        <f t="shared" si="2"/>
        <v>1.2604608644944924</v>
      </c>
      <c r="W51" s="55"/>
      <c r="X51" s="27">
        <f>SUMIF('R4'!$AF$7:$AK$7,B51,'R4'!$AF$27:$AK$27)</f>
        <v>77043.59148459624</v>
      </c>
      <c r="Y51" s="55"/>
      <c r="Z51" s="27">
        <f>SUMIF('R4'!$AF$7:$AK$7,B51,'R4'!$AF$10:$AK$10)</f>
        <v>786254.51402226533</v>
      </c>
      <c r="AA51" s="55"/>
      <c r="AB51" s="13"/>
      <c r="AC51" s="13"/>
      <c r="AD51" s="13"/>
    </row>
    <row r="52" spans="1:30" x14ac:dyDescent="0.25">
      <c r="A52" s="104"/>
      <c r="B52" s="31">
        <v>2040</v>
      </c>
      <c r="C52" s="6">
        <f>SUMIF('R4'!$AF$7:$AK$7,B52,'R4'!$AF$17:$AK$17)</f>
        <v>19.07366</v>
      </c>
      <c r="D52" s="43">
        <f>SUMIF('R4'!$AF$7:$AK$7,B52,'R4'!$AF$21:$AK$21)</f>
        <v>0.91693862656807257</v>
      </c>
      <c r="E52" s="35">
        <f>SUMIF('R4'!$AF$7:$AK$7,B52,'R4'!$AF$22:$AK$22)</f>
        <v>0.98197288977586894</v>
      </c>
      <c r="F52" s="47">
        <f t="shared" si="43"/>
        <v>1.0709254265481294</v>
      </c>
      <c r="G52" s="55"/>
      <c r="H52" s="4">
        <f>SUMIF('R4'!$AF$7:$AK$7,B52,'R4'!$AF$19:$AK$19)</f>
        <v>0.97044553354850793</v>
      </c>
      <c r="I52" s="5">
        <f>SUMIF('R4'!$AF$7:$AK$7,B52,'R4'!$AF$20:$AK$20)</f>
        <v>1</v>
      </c>
      <c r="J52" s="5">
        <f t="shared" si="44"/>
        <v>1.0304545339535172</v>
      </c>
      <c r="K52" s="55"/>
      <c r="L52" s="27">
        <f>SUMIF('R4'!$AF$7:$AK$7,B52,'R4'!$AF$11:$AK$11)</f>
        <v>2.7093162677833198</v>
      </c>
      <c r="M52" s="24">
        <f>SUMIF('R4'!$AF$7:$AK$7,B52,'R4'!$AF$12:$AK$12)</f>
        <v>13.963492282313769</v>
      </c>
      <c r="N52" s="24">
        <f t="shared" si="0"/>
        <v>16.672808550097088</v>
      </c>
      <c r="O52" s="55"/>
      <c r="P52" s="40">
        <f t="shared" si="1"/>
        <v>5.1538805005361272</v>
      </c>
      <c r="Q52" s="55"/>
      <c r="R52" s="27">
        <f>SUMIF('R4'!$AF$7:$AK$7,B52,'R4'!$AF$15:$AK$15)</f>
        <v>205202.7093355548</v>
      </c>
      <c r="S52" s="55"/>
      <c r="T52" s="27">
        <f>SUMIF('R4'!$AF$7:$AK$7,B52,'R4'!$AF$16:$AK$16)</f>
        <v>258649.9844057055</v>
      </c>
      <c r="U52" s="55"/>
      <c r="V52" s="24">
        <f t="shared" si="2"/>
        <v>1.2604608644944926</v>
      </c>
      <c r="W52" s="55"/>
      <c r="X52" s="27">
        <f>SUMIF('R4'!$AF$7:$AK$7,B52,'R4'!$AF$27:$AK$27)</f>
        <v>145974.07363833889</v>
      </c>
      <c r="Y52" s="55"/>
      <c r="Z52" s="27">
        <f>SUMIF('R4'!$AF$7:$AK$7,B52,'R4'!$AF$10:$AK$10)</f>
        <v>2433797.783049799</v>
      </c>
      <c r="AA52" s="55"/>
      <c r="AB52" s="5"/>
      <c r="AC52" s="5"/>
      <c r="AD52" s="5"/>
    </row>
    <row r="53" spans="1:30" x14ac:dyDescent="0.25">
      <c r="A53" s="104"/>
      <c r="B53" s="31">
        <v>2060</v>
      </c>
      <c r="C53" s="6">
        <f>SUMIF('R4'!$AF$7:$AK$7,B53,'R4'!$AF$17:$AK$17)</f>
        <v>19.07366</v>
      </c>
      <c r="D53" s="43">
        <f>SUMIF('R4'!$AF$7:$AK$7,B53,'R4'!$AF$21:$AK$21)</f>
        <v>0.91693862656807257</v>
      </c>
      <c r="E53" s="35">
        <f>SUMIF('R4'!$AF$7:$AK$7,B53,'R4'!$AF$22:$AK$22)</f>
        <v>0.98197288977586894</v>
      </c>
      <c r="F53" s="47">
        <f t="shared" si="43"/>
        <v>1.0709254265481294</v>
      </c>
      <c r="G53" s="55"/>
      <c r="H53" s="4">
        <f>SUMIF('R4'!$AF$7:$AK$7,B53,'R4'!$AF$19:$AK$19)</f>
        <v>0.97044553354850793</v>
      </c>
      <c r="I53" s="5">
        <f>SUMIF('R4'!$AF$7:$AK$7,B53,'R4'!$AF$20:$AK$20)</f>
        <v>1</v>
      </c>
      <c r="J53" s="5">
        <f t="shared" si="44"/>
        <v>1.0304545339535172</v>
      </c>
      <c r="K53" s="55"/>
      <c r="L53" s="27">
        <f>SUMIF('R4'!$AF$7:$AK$7,B53,'R4'!$AF$11:$AK$11)</f>
        <v>2.5319326923220289</v>
      </c>
      <c r="M53" s="24">
        <f>SUMIF('R4'!$AF$7:$AK$7,B53,'R4'!$AF$12:$AK$12)</f>
        <v>24.21606176090145</v>
      </c>
      <c r="N53" s="24">
        <f t="shared" si="0"/>
        <v>26.74799445322348</v>
      </c>
      <c r="O53" s="55"/>
      <c r="P53" s="40">
        <f t="shared" si="1"/>
        <v>9.5642596797045822</v>
      </c>
      <c r="Q53" s="55"/>
      <c r="R53" s="27">
        <f>SUMIF('R4'!$AF$7:$AK$7,B53,'R4'!$AF$15:$AK$15)</f>
        <v>318615.70184212731</v>
      </c>
      <c r="S53" s="55"/>
      <c r="T53" s="27">
        <f>SUMIF('R4'!$AF$7:$AK$7,B53,'R4'!$AF$16:$AK$16)</f>
        <v>401602.62298544688</v>
      </c>
      <c r="U53" s="55"/>
      <c r="V53" s="24">
        <f t="shared" si="2"/>
        <v>1.2604608644944912</v>
      </c>
      <c r="W53" s="55"/>
      <c r="X53" s="27">
        <f>SUMIF('R4'!$AF$7:$AK$7,B53,'R4'!$AF$27:$AK$27)</f>
        <v>230812.58346790471</v>
      </c>
      <c r="Y53" s="55"/>
      <c r="Z53" s="27">
        <f>SUMIF('R4'!$AF$7:$AK$7,B53,'R4'!$AF$10:$AK$10)</f>
        <v>6173773.7023336971</v>
      </c>
      <c r="AA53" s="55"/>
      <c r="AB53" s="5"/>
      <c r="AC53" s="5"/>
      <c r="AD53" s="5"/>
    </row>
    <row r="54" spans="1:30" x14ac:dyDescent="0.25">
      <c r="A54" s="104"/>
      <c r="B54" s="31">
        <v>2080</v>
      </c>
      <c r="C54" s="6">
        <f>SUMIF('R4'!$AF$7:$AK$7,B54,'R4'!$AF$17:$AK$17)</f>
        <v>19.07366</v>
      </c>
      <c r="D54" s="43">
        <f>SUMIF('R4'!$AF$7:$AK$7,B54,'R4'!$AF$21:$AK$21)</f>
        <v>0.91693862656807257</v>
      </c>
      <c r="E54" s="35">
        <f>SUMIF('R4'!$AF$7:$AK$7,B54,'R4'!$AF$22:$AK$22)</f>
        <v>0.98197288977586894</v>
      </c>
      <c r="F54" s="47">
        <f t="shared" si="43"/>
        <v>1.0709254265481294</v>
      </c>
      <c r="G54" s="55"/>
      <c r="H54" s="4">
        <f>SUMIF('R4'!$AF$7:$AK$7,B54,'R4'!$AF$19:$AK$19)</f>
        <v>0.97044553354850793</v>
      </c>
      <c r="I54" s="5">
        <f>SUMIF('R4'!$AF$7:$AK$7,B54,'R4'!$AF$20:$AK$20)</f>
        <v>1</v>
      </c>
      <c r="J54" s="5">
        <f t="shared" si="44"/>
        <v>1.0304545339535172</v>
      </c>
      <c r="K54" s="55"/>
      <c r="L54" s="27">
        <f>SUMIF('R4'!$AF$7:$AK$7,B54,'R4'!$AF$11:$AK$11)</f>
        <v>2.263906789771474</v>
      </c>
      <c r="M54" s="24">
        <f>SUMIF('R4'!$AF$7:$AK$7,B54,'R4'!$AF$12:$AK$12)</f>
        <v>40.181571283783732</v>
      </c>
      <c r="N54" s="24">
        <f t="shared" si="0"/>
        <v>42.445478073555208</v>
      </c>
      <c r="O54" s="55"/>
      <c r="P54" s="40">
        <f t="shared" si="1"/>
        <v>17.748774580882717</v>
      </c>
      <c r="Q54" s="55"/>
      <c r="R54" s="27">
        <f>SUMIF('R4'!$AF$7:$AK$7,B54,'R4'!$AF$15:$AK$15)</f>
        <v>445473.58636310161</v>
      </c>
      <c r="S54" s="55"/>
      <c r="T54" s="27">
        <f>SUMIF('R4'!$AF$7:$AK$7,B54,'R4'!$AF$16:$AK$16)</f>
        <v>561502.02177669655</v>
      </c>
      <c r="U54" s="55"/>
      <c r="V54" s="24">
        <f t="shared" si="2"/>
        <v>1.2604608644944915</v>
      </c>
      <c r="W54" s="55"/>
      <c r="X54" s="27">
        <f>SUMIF('R4'!$AF$7:$AK$7,B54,'R4'!$AF$27:$AK$27)</f>
        <v>326254.50848547119</v>
      </c>
      <c r="Y54" s="55"/>
      <c r="Z54" s="27">
        <f>SUMIF('R4'!$AF$7:$AK$7,B54,'R4'!$AF$10:$AK$10)</f>
        <v>13848028.586318601</v>
      </c>
      <c r="AA54" s="55"/>
      <c r="AB54" s="5"/>
      <c r="AC54" s="5"/>
      <c r="AD54" s="5"/>
    </row>
    <row r="55" spans="1:30" ht="15.75" thickBot="1" x14ac:dyDescent="0.3">
      <c r="A55" s="105"/>
      <c r="B55" s="32">
        <v>2100</v>
      </c>
      <c r="C55" s="9">
        <f>SUMIF('R4'!$AF$7:$AK$7,B55,'R4'!$AF$17:$AK$17)</f>
        <v>19.07366</v>
      </c>
      <c r="D55" s="44">
        <f>SUMIF('R4'!$AF$7:$AK$7,B55,'R4'!$AF$21:$AK$21)</f>
        <v>0.91693862656807257</v>
      </c>
      <c r="E55" s="36">
        <f>SUMIF('R4'!$AF$7:$AK$7,B55,'R4'!$AF$22:$AK$22)</f>
        <v>0.98197288977586894</v>
      </c>
      <c r="F55" s="48">
        <f t="shared" si="43"/>
        <v>1.0709254265481294</v>
      </c>
      <c r="G55" s="56"/>
      <c r="H55" s="7">
        <f>SUMIF('R4'!$AF$7:$AK$7,B55,'R4'!$AF$19:$AK$19)</f>
        <v>0.97044553354850793</v>
      </c>
      <c r="I55" s="8">
        <f>SUMIF('R4'!$AF$7:$AK$7,B55,'R4'!$AF$20:$AK$20)</f>
        <v>1</v>
      </c>
      <c r="J55" s="8">
        <f t="shared" si="44"/>
        <v>1.0304545339535172</v>
      </c>
      <c r="K55" s="56"/>
      <c r="L55" s="28">
        <f>SUMIF('R4'!$AF$7:$AK$7,B55,'R4'!$AF$11:$AK$11)</f>
        <v>1.9723356381132111</v>
      </c>
      <c r="M55" s="25">
        <f>SUMIF('R4'!$AF$7:$AK$7,B55,'R4'!$AF$12:$AK$12)</f>
        <v>64.96302060592069</v>
      </c>
      <c r="N55" s="25">
        <f t="shared" si="0"/>
        <v>66.935356244033898</v>
      </c>
      <c r="O55" s="56"/>
      <c r="P55" s="41">
        <f t="shared" si="1"/>
        <v>32.937102261188187</v>
      </c>
      <c r="Q55" s="56"/>
      <c r="R55" s="28">
        <f>SUMIF('R4'!$AF$7:$AK$7,B55,'R4'!$AF$15:$AK$15)</f>
        <v>586093.40474029782</v>
      </c>
      <c r="S55" s="56"/>
      <c r="T55" s="28">
        <f>SUMIF('R4'!$AF$7:$AK$7,B55,'R4'!$AF$16:$AK$16)</f>
        <v>738747.79961347592</v>
      </c>
      <c r="U55" s="56"/>
      <c r="V55" s="25">
        <f t="shared" si="2"/>
        <v>1.2604608644944919</v>
      </c>
      <c r="W55" s="56"/>
      <c r="X55" s="28">
        <f>SUMIF('R4'!$AF$7:$AK$7,B55,'R4'!$AF$27:$AK$27)</f>
        <v>431934.06172673282</v>
      </c>
      <c r="Y55" s="56"/>
      <c r="Z55" s="28">
        <f>SUMIF('R4'!$AF$7:$AK$7,B55,'R4'!$AF$10:$AK$10)</f>
        <v>28911660.295611389</v>
      </c>
      <c r="AA55" s="56"/>
      <c r="AB55" s="5"/>
      <c r="AC55" s="5"/>
      <c r="AD55" s="5"/>
    </row>
    <row r="56" spans="1:30" x14ac:dyDescent="0.25">
      <c r="A56" s="103" t="str">
        <f>'R4'!B1</f>
        <v>KwaZulu-Natal</v>
      </c>
      <c r="B56" s="21">
        <v>2000</v>
      </c>
      <c r="C56" s="3">
        <f>SUMIF('R4'!$AF$7:$AK$7,B56,'R4'!$AF$42:$AK$42)</f>
        <v>19.07366</v>
      </c>
      <c r="D56" s="42">
        <f>SUMIF('R4'!$AF$7:$AK$7,B56,'R4'!$AF$46:$AK$46)</f>
        <v>1</v>
      </c>
      <c r="E56" s="34">
        <f>SUMIF('R4'!$AF$7:$AK$7,B56,'R4'!$AF$47:$AK$47)</f>
        <v>1</v>
      </c>
      <c r="F56" s="49">
        <f t="shared" si="43"/>
        <v>1</v>
      </c>
      <c r="G56" s="57">
        <f t="shared" ref="G56:G61" si="45">(F56-$F50)/$F50</f>
        <v>0</v>
      </c>
      <c r="H56" s="1">
        <f>SUMIF('R4'!$AF$7:$AK$7,B56,'R4'!$AF$44:$AK$44)</f>
        <v>0.97044553354850793</v>
      </c>
      <c r="I56" s="2">
        <f>SUMIF('R4'!$AF$7:$AK$7,B56,'R4'!$AF$45:$AK$45)</f>
        <v>1</v>
      </c>
      <c r="J56" s="2">
        <f t="shared" si="44"/>
        <v>1.0304545339535172</v>
      </c>
      <c r="K56" s="57">
        <f t="shared" ref="K56:K61" si="46">(J56-$J50)/$J50</f>
        <v>0</v>
      </c>
      <c r="L56" s="26">
        <f>SUMIF('R4'!$AF$7:$AK$7,B56,'R4'!$AF$36:$AK$36)</f>
        <v>2.4328473815880001</v>
      </c>
      <c r="M56" s="23">
        <f>SUMIF('R4'!$AF$7:$AK$7,B56,'R4'!$AF$37:$AK$37)</f>
        <v>3.6409539077496</v>
      </c>
      <c r="N56" s="23">
        <f t="shared" si="0"/>
        <v>6.0738012893376006</v>
      </c>
      <c r="O56" s="57"/>
      <c r="P56" s="38">
        <f t="shared" si="1"/>
        <v>1.4965813044026743</v>
      </c>
      <c r="Q56" s="57">
        <f t="shared" ref="Q56:Q61" si="47">(P56-$P50)/$P50</f>
        <v>0</v>
      </c>
      <c r="R56" s="26">
        <f>SUMIF('R4'!$AF$7:$AK$7,B56,'R4'!$AF$40:$AK$40)</f>
        <v>46919.594157542197</v>
      </c>
      <c r="S56" s="57">
        <f t="shared" ref="S56:S61" si="48">(R56-$R50)/$R50</f>
        <v>0</v>
      </c>
      <c r="T56" s="26">
        <f>SUMIF('R4'!$AF$7:$AK$7,B56,'R4'!$AF$41:$AK$41)</f>
        <v>59140.312213546342</v>
      </c>
      <c r="U56" s="57">
        <f t="shared" ref="U56:U61" si="49">(T56-$T50)/$T50</f>
        <v>0</v>
      </c>
      <c r="V56" s="23">
        <f t="shared" si="2"/>
        <v>1.2604608644944917</v>
      </c>
      <c r="W56" s="57">
        <f t="shared" ref="W56:W61" si="50">(V56-$V50)/$V50</f>
        <v>0</v>
      </c>
      <c r="X56" s="26">
        <f>SUMIF('R4'!$AF$7:$AK$7,B56,'R4'!$AF$52:$AK$52)</f>
        <v>18427.26254075639</v>
      </c>
      <c r="Y56" s="57">
        <f t="shared" ref="Y56:Y61" si="51">(X56-$X50)/$X50</f>
        <v>0</v>
      </c>
      <c r="Z56" s="26">
        <f>SUMIF('R4'!$AF$7:$AK$7,B56,'R4'!$AF$35:$AK$35)</f>
        <v>195356.1818208</v>
      </c>
      <c r="AA56" s="57">
        <f t="shared" ref="AA56:AA61" si="52">(Z56-$Z50)/$Z50</f>
        <v>0</v>
      </c>
      <c r="AB56" s="5"/>
      <c r="AC56" s="5"/>
      <c r="AD56" s="5"/>
    </row>
    <row r="57" spans="1:30" x14ac:dyDescent="0.25">
      <c r="A57" s="104"/>
      <c r="B57" s="31">
        <v>2020</v>
      </c>
      <c r="C57" s="14">
        <f>SUMIF('R4'!$AF$7:$AK$7,B57,'R4'!$AF$42:$AK$42)</f>
        <v>19.379049999999999</v>
      </c>
      <c r="D57" s="43">
        <f>SUMIF('R4'!$AF$7:$AK$7,B57,'R4'!$AF$46:$AK$46)</f>
        <v>0.9087454042219193</v>
      </c>
      <c r="E57" s="35">
        <f>SUMIF('R4'!$AF$7:$AK$7,B57,'R4'!$AF$47:$AK$47)</f>
        <v>0.97818889133398601</v>
      </c>
      <c r="F57" s="50">
        <f t="shared" si="43"/>
        <v>1.0764168784672152</v>
      </c>
      <c r="G57" s="58">
        <f t="shared" si="45"/>
        <v>5.1277631317301134E-3</v>
      </c>
      <c r="H57" s="4">
        <f>SUMIF('R4'!$AF$7:$AK$7,B57,'R4'!$AF$44:$AK$44)</f>
        <v>0.98019867330675492</v>
      </c>
      <c r="I57" s="5">
        <f>SUMIF('R4'!$AF$7:$AK$7,B57,'R4'!$AF$45:$AK$45)</f>
        <v>1</v>
      </c>
      <c r="J57" s="13">
        <f t="shared" si="44"/>
        <v>1.0202013400267562</v>
      </c>
      <c r="K57" s="58">
        <f t="shared" si="46"/>
        <v>-9.9501662508318413E-3</v>
      </c>
      <c r="L57" s="27">
        <f>SUMIF('R4'!$AF$7:$AK$7,B57,'R4'!$AF$36:$AK$36)</f>
        <v>2.6991709470711531</v>
      </c>
      <c r="M57" s="24">
        <f>SUMIF('R4'!$AF$7:$AK$7,B57,'R4'!$AF$37:$AK$37)</f>
        <v>7.5054742579339893</v>
      </c>
      <c r="N57" s="24">
        <f t="shared" si="0"/>
        <v>10.204645205005143</v>
      </c>
      <c r="O57" s="58"/>
      <c r="P57" s="39">
        <f t="shared" si="1"/>
        <v>2.7806591005575672</v>
      </c>
      <c r="Q57" s="58">
        <f t="shared" si="47"/>
        <v>1.2220809017162743E-3</v>
      </c>
      <c r="R57" s="27">
        <f>SUMIF('R4'!$AF$7:$AK$7,B57,'R4'!$AF$40:$AK$40)</f>
        <v>111280.914594737</v>
      </c>
      <c r="S57" s="58">
        <f t="shared" si="48"/>
        <v>-9.3698334662418537E-4</v>
      </c>
      <c r="T57" s="27">
        <f>SUMIF('R4'!$AF$7:$AK$7,B57,'R4'!$AF$41:$AK$41)</f>
        <v>139549.6602091541</v>
      </c>
      <c r="U57" s="58">
        <f t="shared" si="49"/>
        <v>-6.0338065475947812E-3</v>
      </c>
      <c r="V57" s="24">
        <f t="shared" si="2"/>
        <v>1.2540304931655735</v>
      </c>
      <c r="W57" s="58">
        <f t="shared" si="50"/>
        <v>-5.1016033183210185E-3</v>
      </c>
      <c r="X57" s="27">
        <f>SUMIF('R4'!$AF$7:$AK$7,B57,'R4'!$AF$52:$AK$52)</f>
        <v>76288.677119760148</v>
      </c>
      <c r="Y57" s="58">
        <f t="shared" si="51"/>
        <v>-9.7985354821760323E-3</v>
      </c>
      <c r="Z57" s="27">
        <f>SUMIF('R4'!$AF$7:$AK$7,B57,'R4'!$AF$35:$AK$35)</f>
        <v>778498.883166346</v>
      </c>
      <c r="AA57" s="58">
        <f t="shared" si="52"/>
        <v>-9.8640207688520838E-3</v>
      </c>
      <c r="AB57" s="5"/>
      <c r="AC57" s="5"/>
      <c r="AD57" s="5"/>
    </row>
    <row r="58" spans="1:30" x14ac:dyDescent="0.25">
      <c r="A58" s="104"/>
      <c r="B58" s="31">
        <v>2040</v>
      </c>
      <c r="C58" s="6">
        <f>SUMIF('R4'!$AF$7:$AK$7,B58,'R4'!$AF$42:$AK$42)</f>
        <v>20.165400000000002</v>
      </c>
      <c r="D58" s="43">
        <f>SUMIF('R4'!$AF$7:$AK$7,B58,'R4'!$AF$46:$AK$46)</f>
        <v>0.87282505847383773</v>
      </c>
      <c r="E58" s="35">
        <f>SUMIF('R4'!$AF$7:$AK$7,B58,'R4'!$AF$47:$AK$47)</f>
        <v>0.95961542839364711</v>
      </c>
      <c r="F58" s="50">
        <f t="shared" si="43"/>
        <v>1.0994361574260541</v>
      </c>
      <c r="G58" s="58">
        <f t="shared" si="45"/>
        <v>2.6622517470541479E-2</v>
      </c>
      <c r="H58" s="4">
        <f>SUMIF('R4'!$AF$7:$AK$7,B58,'R4'!$AF$44:$AK$44)</f>
        <v>0.99004983374916744</v>
      </c>
      <c r="I58" s="5">
        <f>SUMIF('R4'!$AF$7:$AK$7,B58,'R4'!$AF$45:$AK$45)</f>
        <v>1</v>
      </c>
      <c r="J58" s="5">
        <f t="shared" si="44"/>
        <v>1.0100501670841686</v>
      </c>
      <c r="K58" s="58">
        <f t="shared" si="46"/>
        <v>-1.9801326693244446E-2</v>
      </c>
      <c r="L58" s="27">
        <f>SUMIF('R4'!$AF$7:$AK$7,B58,'R4'!$AF$36:$AK$36)</f>
        <v>2.7128547063282258</v>
      </c>
      <c r="M58" s="24">
        <f>SUMIF('R4'!$AF$7:$AK$7,B58,'R4'!$AF$37:$AK$37)</f>
        <v>13.95981475553447</v>
      </c>
      <c r="N58" s="24">
        <f t="shared" si="0"/>
        <v>16.672669461862696</v>
      </c>
      <c r="O58" s="58"/>
      <c r="P58" s="40">
        <f t="shared" si="1"/>
        <v>5.1458025831500187</v>
      </c>
      <c r="Q58" s="58">
        <f t="shared" si="47"/>
        <v>-1.567346659525425E-3</v>
      </c>
      <c r="R58" s="27">
        <f>SUMIF('R4'!$AF$7:$AK$7,B58,'R4'!$AF$40:$AK$40)</f>
        <v>204464.26334428761</v>
      </c>
      <c r="S58" s="58">
        <f t="shared" si="48"/>
        <v>-3.5986171608468139E-3</v>
      </c>
      <c r="T58" s="27">
        <f>SUMIF('R4'!$AF$7:$AK$7,B58,'R4'!$AF$41:$AK$41)</f>
        <v>251035.99204910811</v>
      </c>
      <c r="U58" s="58">
        <f t="shared" si="49"/>
        <v>-2.9437435977782461E-2</v>
      </c>
      <c r="V58" s="24">
        <f t="shared" si="2"/>
        <v>1.2277744185858073</v>
      </c>
      <c r="W58" s="58">
        <f t="shared" si="50"/>
        <v>-2.5932138656120981E-2</v>
      </c>
      <c r="X58" s="27">
        <f>SUMIF('R4'!$AF$7:$AK$7,B58,'R4'!$AF$52:$AK$52)</f>
        <v>138443.2826443066</v>
      </c>
      <c r="Y58" s="58">
        <f t="shared" si="51"/>
        <v>-5.158992145886368E-2</v>
      </c>
      <c r="Z58" s="27">
        <f>SUMIF('R4'!$AF$7:$AK$7,B58,'R4'!$AF$35:$AK$35)</f>
        <v>2308219.0907437569</v>
      </c>
      <c r="AA58" s="58">
        <f t="shared" si="52"/>
        <v>-5.1597833304244022E-2</v>
      </c>
      <c r="AB58" s="5"/>
      <c r="AC58" s="5"/>
      <c r="AD58" s="5"/>
    </row>
    <row r="59" spans="1:30" x14ac:dyDescent="0.25">
      <c r="A59" s="104"/>
      <c r="B59" s="31">
        <v>2060</v>
      </c>
      <c r="C59" s="6">
        <f>SUMIF('R4'!$AF$7:$AK$7,B59,'R4'!$AF$42:$AK$42)</f>
        <v>21.018370000000001</v>
      </c>
      <c r="D59" s="43">
        <f>SUMIF('R4'!$AF$7:$AK$7,B59,'R4'!$AF$46:$AK$46)</f>
        <v>0.84289864993793617</v>
      </c>
      <c r="E59" s="35">
        <f>SUMIF('R4'!$AF$7:$AK$7,B59,'R4'!$AF$47:$AK$47)</f>
        <v>0.94223331790392795</v>
      </c>
      <c r="F59" s="50">
        <f t="shared" si="43"/>
        <v>1.117848887257449</v>
      </c>
      <c r="G59" s="58">
        <f t="shared" si="45"/>
        <v>4.3815805980595798E-2</v>
      </c>
      <c r="H59" s="4">
        <f>SUMIF('R4'!$AF$7:$AK$7,B59,'R4'!$AF$44:$AK$44)</f>
        <v>1</v>
      </c>
      <c r="I59" s="5">
        <f>SUMIF('R4'!$AF$7:$AK$7,B59,'R4'!$AF$45:$AK$45)</f>
        <v>1</v>
      </c>
      <c r="J59" s="5">
        <f t="shared" si="44"/>
        <v>1</v>
      </c>
      <c r="K59" s="58">
        <f t="shared" si="46"/>
        <v>-2.9554466451492109E-2</v>
      </c>
      <c r="L59" s="27">
        <f>SUMIF('R4'!$AF$7:$AK$7,B59,'R4'!$AF$36:$AK$36)</f>
        <v>2.5394904664766611</v>
      </c>
      <c r="M59" s="24">
        <f>SUMIF('R4'!$AF$7:$AK$7,B59,'R4'!$AF$37:$AK$37)</f>
        <v>24.210245164121549</v>
      </c>
      <c r="N59" s="24">
        <f t="shared" si="0"/>
        <v>26.749735630598209</v>
      </c>
      <c r="O59" s="58"/>
      <c r="P59" s="40">
        <f t="shared" si="1"/>
        <v>9.5335050411554878</v>
      </c>
      <c r="Q59" s="58">
        <f t="shared" si="47"/>
        <v>-3.2155796244591694E-3</v>
      </c>
      <c r="R59" s="27">
        <f>SUMIF('R4'!$AF$7:$AK$7,B59,'R4'!$AF$40:$AK$40)</f>
        <v>317065.40048654692</v>
      </c>
      <c r="S59" s="58">
        <f t="shared" si="48"/>
        <v>-4.8657405978960802E-3</v>
      </c>
      <c r="T59" s="27">
        <f>SUMIF('R4'!$AF$7:$AK$7,B59,'R4'!$AF$41:$AK$41)</f>
        <v>382872.65483886981</v>
      </c>
      <c r="U59" s="58">
        <f t="shared" si="49"/>
        <v>-4.6638062289886484E-2</v>
      </c>
      <c r="V59" s="24">
        <f t="shared" si="2"/>
        <v>1.2075510423128464</v>
      </c>
      <c r="W59" s="58">
        <f t="shared" si="50"/>
        <v>-4.197656878689715E-2</v>
      </c>
      <c r="X59" s="27">
        <f>SUMIF('R4'!$AF$7:$AK$7,B59,'R4'!$AF$52:$AK$52)</f>
        <v>211127.28233554561</v>
      </c>
      <c r="Y59" s="58">
        <f t="shared" si="51"/>
        <v>-8.528694942273983E-2</v>
      </c>
      <c r="Z59" s="27">
        <f>SUMIF('R4'!$AF$7:$AK$7,B59,'R4'!$AF$35:$AK$35)</f>
        <v>5647598.9868825134</v>
      </c>
      <c r="AA59" s="58">
        <f t="shared" si="52"/>
        <v>-8.5227405606442749E-2</v>
      </c>
      <c r="AB59" s="5"/>
      <c r="AC59" s="5"/>
      <c r="AD59" s="5"/>
    </row>
    <row r="60" spans="1:30" x14ac:dyDescent="0.25">
      <c r="A60" s="104"/>
      <c r="B60" s="31">
        <v>2080</v>
      </c>
      <c r="C60" s="6">
        <f>SUMIF('R4'!$AF$7:$AK$7,B60,'R4'!$AF$42:$AK$42)</f>
        <v>22.066310000000001</v>
      </c>
      <c r="D60" s="43">
        <f>SUMIF('R4'!$AF$7:$AK$7,B60,'R4'!$AF$46:$AK$46)</f>
        <v>0.78828241339085314</v>
      </c>
      <c r="E60" s="35">
        <f>SUMIF('R4'!$AF$7:$AK$7,B60,'R4'!$AF$47:$AK$47)</f>
        <v>0.90719339115566244</v>
      </c>
      <c r="F60" s="50">
        <f t="shared" si="43"/>
        <v>1.1508481931663364</v>
      </c>
      <c r="G60" s="58">
        <f t="shared" si="45"/>
        <v>7.4629628391417305E-2</v>
      </c>
      <c r="H60" s="4">
        <f>SUMIF('R4'!$AF$7:$AK$7,B60,'R4'!$AF$44:$AK$44)</f>
        <v>0.99004983374916744</v>
      </c>
      <c r="I60" s="5">
        <f>SUMIF('R4'!$AF$7:$AK$7,B60,'R4'!$AF$45:$AK$45)</f>
        <v>1</v>
      </c>
      <c r="J60" s="5">
        <f t="shared" si="44"/>
        <v>1.0100501670841686</v>
      </c>
      <c r="K60" s="58">
        <f t="shared" si="46"/>
        <v>-1.9801326693244446E-2</v>
      </c>
      <c r="L60" s="27">
        <f>SUMIF('R4'!$AF$7:$AK$7,B60,'R4'!$AF$36:$AK$36)</f>
        <v>2.292463978021078</v>
      </c>
      <c r="M60" s="24">
        <f>SUMIF('R4'!$AF$7:$AK$7,B60,'R4'!$AF$37:$AK$37)</f>
        <v>40.16314042970874</v>
      </c>
      <c r="N60" s="24">
        <f t="shared" si="0"/>
        <v>42.455604407729815</v>
      </c>
      <c r="O60" s="58"/>
      <c r="P60" s="40">
        <f t="shared" si="1"/>
        <v>17.519638613636467</v>
      </c>
      <c r="Q60" s="58">
        <f t="shared" si="47"/>
        <v>-1.2909959851146787E-2</v>
      </c>
      <c r="R60" s="27">
        <f>SUMIF('R4'!$AF$7:$AK$7,B60,'R4'!$AF$40:$AK$40)</f>
        <v>439551.87892402592</v>
      </c>
      <c r="S60" s="58">
        <f t="shared" si="48"/>
        <v>-1.3293060734355096E-2</v>
      </c>
      <c r="T60" s="27">
        <f>SUMIF('R4'!$AF$7:$AK$7,B60,'R4'!$AF$41:$AK$41)</f>
        <v>515561.75882483303</v>
      </c>
      <c r="U60" s="58">
        <f t="shared" si="49"/>
        <v>-8.1816736485649702E-2</v>
      </c>
      <c r="V60" s="24">
        <f t="shared" si="2"/>
        <v>1.1729258445826027</v>
      </c>
      <c r="W60" s="58">
        <f t="shared" si="50"/>
        <v>-6.9446836770290912E-2</v>
      </c>
      <c r="X60" s="27">
        <f>SUMIF('R4'!$AF$7:$AK$7,B60,'R4'!$AF$52:$AK$52)</f>
        <v>276701.13792918879</v>
      </c>
      <c r="Y60" s="58">
        <f t="shared" si="51"/>
        <v>-0.15188562691843727</v>
      </c>
      <c r="Z60" s="27">
        <f>SUMIF('R4'!$AF$7:$AK$7,B60,'R4'!$AF$35:$AK$35)</f>
        <v>11747514.05109033</v>
      </c>
      <c r="AA60" s="58">
        <f t="shared" si="52"/>
        <v>-0.15168328994522084</v>
      </c>
      <c r="AB60" s="5"/>
      <c r="AC60" s="5"/>
      <c r="AD60" s="5"/>
    </row>
    <row r="61" spans="1:30" ht="15.75" thickBot="1" x14ac:dyDescent="0.3">
      <c r="A61" s="105"/>
      <c r="B61" s="32">
        <v>2100</v>
      </c>
      <c r="C61" s="9">
        <f>SUMIF('R4'!$AF$7:$AK$7,B61,'R4'!$AF$42:$AK$42)</f>
        <v>23.01595</v>
      </c>
      <c r="D61" s="44">
        <f>SUMIF('R4'!$AF$7:$AK$7,B61,'R4'!$AF$46:$AK$46)</f>
        <v>0.74122794075700271</v>
      </c>
      <c r="E61" s="36">
        <f>SUMIF('R4'!$AF$7:$AK$7,B61,'R4'!$AF$47:$AK$47)</f>
        <v>0.8742351694325774</v>
      </c>
      <c r="F61" s="51">
        <f t="shared" si="43"/>
        <v>1.1794417362892942</v>
      </c>
      <c r="G61" s="59">
        <f t="shared" si="45"/>
        <v>0.10132947360391004</v>
      </c>
      <c r="H61" s="7">
        <f>SUMIF('R4'!$AF$7:$AK$7,B61,'R4'!$AF$44:$AK$44)</f>
        <v>0.98019867330675492</v>
      </c>
      <c r="I61" s="8">
        <f>SUMIF('R4'!$AF$7:$AK$7,B61,'R4'!$AF$45:$AK$45)</f>
        <v>1</v>
      </c>
      <c r="J61" s="8">
        <f t="shared" si="44"/>
        <v>1.0202013400267562</v>
      </c>
      <c r="K61" s="59">
        <f t="shared" si="46"/>
        <v>-9.9501662508318413E-3</v>
      </c>
      <c r="L61" s="28">
        <f>SUMIF('R4'!$AF$7:$AK$7,B61,'R4'!$AF$36:$AK$36)</f>
        <v>2.0149727039346241</v>
      </c>
      <c r="M61" s="25">
        <f>SUMIF('R4'!$AF$7:$AK$7,B61,'R4'!$AF$37:$AK$37)</f>
        <v>64.947281303549644</v>
      </c>
      <c r="N61" s="25">
        <f t="shared" si="0"/>
        <v>66.962254007484262</v>
      </c>
      <c r="O61" s="59"/>
      <c r="P61" s="41">
        <f t="shared" si="1"/>
        <v>32.232338024593339</v>
      </c>
      <c r="Q61" s="59">
        <f t="shared" si="47"/>
        <v>-2.139727505492536E-2</v>
      </c>
      <c r="R61" s="33">
        <f>SUMIF('R4'!$AF$7:$AK$7,B61,'R4'!$AF$40:$AK$40)</f>
        <v>572026.99685496849</v>
      </c>
      <c r="S61" s="59">
        <f t="shared" si="48"/>
        <v>-2.4000283524026784E-2</v>
      </c>
      <c r="T61" s="28">
        <f>SUMIF('R4'!$AF$7:$AK$7,B61,'R4'!$AF$41:$AK$41)</f>
        <v>654679.33098221431</v>
      </c>
      <c r="U61" s="59">
        <f t="shared" si="49"/>
        <v>-0.11379860444287958</v>
      </c>
      <c r="V61" s="25">
        <f t="shared" si="2"/>
        <v>1.1444902680846747</v>
      </c>
      <c r="W61" s="59">
        <f t="shared" si="50"/>
        <v>-9.2006503078798291E-2</v>
      </c>
      <c r="X61" s="28">
        <f>SUMIF('R4'!$AF$7:$AK$7,B61,'R4'!$AF$52:$AK$52)</f>
        <v>340727.95930937602</v>
      </c>
      <c r="Y61" s="59">
        <f t="shared" si="51"/>
        <v>-0.21115746707435915</v>
      </c>
      <c r="Z61" s="28">
        <f>SUMIF('R4'!$AF$7:$AK$7,B61,'R4'!$AF$35:$AK$35)</f>
        <v>22815912.1587262</v>
      </c>
      <c r="AA61" s="59">
        <f t="shared" si="52"/>
        <v>-0.21084047317097473</v>
      </c>
      <c r="AB61" s="5"/>
      <c r="AC61" s="5"/>
      <c r="AD61" s="5"/>
    </row>
    <row r="62" spans="1:30" x14ac:dyDescent="0.25">
      <c r="A62" s="106" t="s">
        <v>6</v>
      </c>
      <c r="B62" s="21">
        <v>2000</v>
      </c>
      <c r="C62" s="3">
        <f>SUMIF('R5'!$AF$7:$AK$7,B62,'R5'!$AF$17:$AK$17)</f>
        <v>17.39819</v>
      </c>
      <c r="D62" s="42">
        <f>SUMIF('R5'!$AF$7:$AK$7,B62,'R5'!$AF$21:$AK$21)</f>
        <v>1</v>
      </c>
      <c r="E62" s="34">
        <f>SUMIF('R5'!$AF$7:$AK$7,B62,'R5'!$AF$22:$AK$22)</f>
        <v>1</v>
      </c>
      <c r="F62" s="45">
        <f>E62/D62</f>
        <v>1</v>
      </c>
      <c r="G62" s="53"/>
      <c r="H62" s="1">
        <f>SUMIF('R5'!$AF$7:$AK$7,B62,'R5'!$AF$19:$AK$19)</f>
        <v>0.92311634638663587</v>
      </c>
      <c r="I62" s="2">
        <f>SUMIF('R5'!$AF$7:$AK$7,B62,'R5'!$AF$20:$AK$20)</f>
        <v>1</v>
      </c>
      <c r="J62" s="2">
        <f>I62/H62</f>
        <v>1.0832870676749584</v>
      </c>
      <c r="K62" s="53"/>
      <c r="L62" s="26">
        <f>SUMIF('R5'!$AF$7:$AK$7,B62,'R5'!$AF$11:$AK$11)</f>
        <v>0.97033136301899992</v>
      </c>
      <c r="M62" s="24">
        <f>SUMIF('R5'!$AF$7:$AK$7,B62,'R5'!$AF$12:$AK$12)</f>
        <v>1.4521797769697999</v>
      </c>
      <c r="N62" s="23">
        <f t="shared" si="0"/>
        <v>2.4225111399887997</v>
      </c>
      <c r="O62" s="53"/>
      <c r="P62" s="38">
        <f t="shared" si="1"/>
        <v>1.4965813044026746</v>
      </c>
      <c r="Q62" s="53"/>
      <c r="R62" s="26">
        <f>SUMIF('R5'!$AF$7:$AK$7,B62,'R5'!$AF$15:$AK$15)</f>
        <v>45393.773600747983</v>
      </c>
      <c r="S62" s="53"/>
      <c r="T62" s="26">
        <f>SUMIF('R5'!$AF$7:$AK$7,B62,'R5'!$AF$16:$AK$16)</f>
        <v>59185.639391343168</v>
      </c>
      <c r="U62" s="53"/>
      <c r="V62" s="23">
        <f t="shared" si="2"/>
        <v>1.3038272585993584</v>
      </c>
      <c r="W62" s="53"/>
      <c r="X62" s="26">
        <f>SUMIF('R5'!$AF$7:$AK$7,B62,'R5'!$AF$27:$AK$27)</f>
        <v>18427.26254075639</v>
      </c>
      <c r="Y62" s="53"/>
      <c r="Z62" s="26">
        <f>SUMIF('R5'!$AF$7:$AK$7,B62,'R5'!$AF$10:$AK$10)</f>
        <v>77917.024970400002</v>
      </c>
      <c r="AA62" s="53"/>
      <c r="AB62" s="5"/>
      <c r="AC62" s="5"/>
      <c r="AD62" s="5"/>
    </row>
    <row r="63" spans="1:30" s="10" customFormat="1" x14ac:dyDescent="0.25">
      <c r="A63" s="107"/>
      <c r="B63" s="31">
        <v>2020</v>
      </c>
      <c r="C63" s="14">
        <f>SUMIF('R5'!$AF$7:$AK$7,B63,'R5'!$AF$17:$AK$17)</f>
        <v>17.39819</v>
      </c>
      <c r="D63" s="43">
        <f>SUMIF('R5'!$AF$7:$AK$7,B63,'R5'!$AF$21:$AK$21)</f>
        <v>0.96439833420871968</v>
      </c>
      <c r="E63" s="35">
        <f>SUMIF('R5'!$AF$7:$AK$7,B63,'R5'!$AF$22:$AK$22)</f>
        <v>0.99844694181596516</v>
      </c>
      <c r="F63" s="46">
        <f t="shared" ref="F63:F73" si="53">E63/D63</f>
        <v>1.0353055437773875</v>
      </c>
      <c r="G63" s="54"/>
      <c r="H63" s="4">
        <f>SUMIF('R5'!$AF$7:$AK$7,B63,'R5'!$AF$19:$AK$19)</f>
        <v>0.92311634638663587</v>
      </c>
      <c r="I63" s="5">
        <f>SUMIF('R5'!$AF$7:$AK$7,B63,'R5'!$AF$20:$AK$20)</f>
        <v>1</v>
      </c>
      <c r="J63" s="5">
        <f t="shared" ref="J63:J73" si="54">I63/H63</f>
        <v>1.0832870676749584</v>
      </c>
      <c r="K63" s="55"/>
      <c r="L63" s="27">
        <f>SUMIF('R5'!$AF$7:$AK$7,B63,'R5'!$AF$11:$AK$11)</f>
        <v>1.077592039064595</v>
      </c>
      <c r="M63" s="24">
        <f>SUMIF('R5'!$AF$7:$AK$7,B63,'R5'!$AF$12:$AK$12)</f>
        <v>2.9927587168420549</v>
      </c>
      <c r="N63" s="24">
        <f t="shared" si="0"/>
        <v>4.0703507559066496</v>
      </c>
      <c r="O63" s="55"/>
      <c r="P63" s="39">
        <f t="shared" si="1"/>
        <v>2.7772650579712175</v>
      </c>
      <c r="Q63" s="55"/>
      <c r="R63" s="27">
        <f>SUMIF('R5'!$AF$7:$AK$7,B63,'R5'!$AF$15:$AK$15)</f>
        <v>109613.8268010399</v>
      </c>
      <c r="S63" s="55"/>
      <c r="T63" s="27">
        <f>SUMIF('R5'!$AF$7:$AK$7,B63,'R5'!$AF$16:$AK$16)</f>
        <v>142917.4953025846</v>
      </c>
      <c r="U63" s="55"/>
      <c r="V63" s="24">
        <f t="shared" si="2"/>
        <v>1.3038272585993571</v>
      </c>
      <c r="W63" s="55"/>
      <c r="X63" s="27">
        <f>SUMIF('R5'!$AF$7:$AK$7,B63,'R5'!$AF$27:$AK$27)</f>
        <v>79742.572044224056</v>
      </c>
      <c r="Y63" s="55"/>
      <c r="Z63" s="27">
        <f>SUMIF('R5'!$AF$7:$AK$7,B63,'R5'!$AF$10:$AK$10)</f>
        <v>324580.23839814792</v>
      </c>
      <c r="AA63" s="55"/>
      <c r="AB63" s="13"/>
      <c r="AC63" s="13"/>
      <c r="AD63" s="13"/>
    </row>
    <row r="64" spans="1:30" x14ac:dyDescent="0.25">
      <c r="A64" s="107"/>
      <c r="B64" s="31">
        <v>2040</v>
      </c>
      <c r="C64" s="6">
        <f>SUMIF('R5'!$AF$7:$AK$7,B64,'R5'!$AF$17:$AK$17)</f>
        <v>17.39819</v>
      </c>
      <c r="D64" s="43">
        <f>SUMIF('R5'!$AF$7:$AK$7,B64,'R5'!$AF$21:$AK$21)</f>
        <v>0.96439833420871968</v>
      </c>
      <c r="E64" s="35">
        <f>SUMIF('R5'!$AF$7:$AK$7,B64,'R5'!$AF$22:$AK$22)</f>
        <v>0.99844694181596516</v>
      </c>
      <c r="F64" s="47">
        <f t="shared" si="53"/>
        <v>1.0353055437773875</v>
      </c>
      <c r="G64" s="55"/>
      <c r="H64" s="4">
        <f>SUMIF('R5'!$AF$7:$AK$7,B64,'R5'!$AF$19:$AK$19)</f>
        <v>0.92311634638663587</v>
      </c>
      <c r="I64" s="5">
        <f>SUMIF('R5'!$AF$7:$AK$7,B64,'R5'!$AF$20:$AK$20)</f>
        <v>1</v>
      </c>
      <c r="J64" s="5">
        <f t="shared" si="54"/>
        <v>1.0832870676749584</v>
      </c>
      <c r="K64" s="55"/>
      <c r="L64" s="27">
        <f>SUMIF('R5'!$AF$7:$AK$7,B64,'R5'!$AF$11:$AK$11)</f>
        <v>1.0805998628864859</v>
      </c>
      <c r="M64" s="24">
        <f>SUMIF('R5'!$AF$7:$AK$7,B64,'R5'!$AF$12:$AK$12)</f>
        <v>5.5692825622126696</v>
      </c>
      <c r="N64" s="24">
        <f t="shared" si="0"/>
        <v>6.6498824250991557</v>
      </c>
      <c r="O64" s="55"/>
      <c r="P64" s="40">
        <f t="shared" si="1"/>
        <v>5.1538805005361246</v>
      </c>
      <c r="Q64" s="55"/>
      <c r="R64" s="27">
        <f>SUMIF('R5'!$AF$7:$AK$7,B64,'R5'!$AF$15:$AK$15)</f>
        <v>200497.62255490071</v>
      </c>
      <c r="S64" s="55"/>
      <c r="T64" s="27">
        <f>SUMIF('R5'!$AF$7:$AK$7,B64,'R5'!$AF$16:$AK$16)</f>
        <v>261414.26557144479</v>
      </c>
      <c r="U64" s="55"/>
      <c r="V64" s="24">
        <f t="shared" si="2"/>
        <v>1.3038272585993569</v>
      </c>
      <c r="W64" s="55"/>
      <c r="X64" s="27">
        <f>SUMIF('R5'!$AF$7:$AK$7,B64,'R5'!$AF$27:$AK$27)</f>
        <v>150009.25288880811</v>
      </c>
      <c r="Y64" s="55"/>
      <c r="Z64" s="27">
        <f>SUMIF('R5'!$AF$7:$AK$7,B64,'R5'!$AF$10:$AK$10)</f>
        <v>997543.89438753994</v>
      </c>
      <c r="AA64" s="55"/>
      <c r="AB64" s="5"/>
      <c r="AC64" s="5"/>
      <c r="AD64" s="5"/>
    </row>
    <row r="65" spans="1:30" x14ac:dyDescent="0.25">
      <c r="A65" s="107"/>
      <c r="B65" s="31">
        <v>2060</v>
      </c>
      <c r="C65" s="6">
        <f>SUMIF('R5'!$AF$7:$AK$7,B65,'R5'!$AF$17:$AK$17)</f>
        <v>17.39819</v>
      </c>
      <c r="D65" s="43">
        <f>SUMIF('R5'!$AF$7:$AK$7,B65,'R5'!$AF$21:$AK$21)</f>
        <v>0.96439833420871968</v>
      </c>
      <c r="E65" s="35">
        <f>SUMIF('R5'!$AF$7:$AK$7,B65,'R5'!$AF$22:$AK$22)</f>
        <v>0.99844694181596516</v>
      </c>
      <c r="F65" s="47">
        <f t="shared" si="53"/>
        <v>1.0353055437773875</v>
      </c>
      <c r="G65" s="55"/>
      <c r="H65" s="4">
        <f>SUMIF('R5'!$AF$7:$AK$7,B65,'R5'!$AF$19:$AK$19)</f>
        <v>0.92311634638663587</v>
      </c>
      <c r="I65" s="5">
        <f>SUMIF('R5'!$AF$7:$AK$7,B65,'R5'!$AF$20:$AK$20)</f>
        <v>1</v>
      </c>
      <c r="J65" s="5">
        <f t="shared" si="54"/>
        <v>1.0832870676749584</v>
      </c>
      <c r="K65" s="55"/>
      <c r="L65" s="27">
        <f>SUMIF('R5'!$AF$7:$AK$7,B65,'R5'!$AF$11:$AK$11)</f>
        <v>1.009851139453539</v>
      </c>
      <c r="M65" s="24">
        <f>SUMIF('R5'!$AF$7:$AK$7,B65,'R5'!$AF$12:$AK$12)</f>
        <v>9.6584785355792118</v>
      </c>
      <c r="N65" s="24">
        <f t="shared" si="0"/>
        <v>10.668329675032751</v>
      </c>
      <c r="O65" s="55"/>
      <c r="P65" s="40">
        <f t="shared" si="1"/>
        <v>9.5642596797045822</v>
      </c>
      <c r="Q65" s="55"/>
      <c r="R65" s="27">
        <f>SUMIF('R5'!$AF$7:$AK$7,B65,'R5'!$AF$15:$AK$15)</f>
        <v>309898.1891654678</v>
      </c>
      <c r="S65" s="55"/>
      <c r="T65" s="27">
        <f>SUMIF('R5'!$AF$7:$AK$7,B65,'R5'!$AF$16:$AK$16)</f>
        <v>404053.70642451692</v>
      </c>
      <c r="U65" s="55"/>
      <c r="V65" s="24">
        <f t="shared" si="2"/>
        <v>1.3038272585993573</v>
      </c>
      <c r="W65" s="55"/>
      <c r="X65" s="27">
        <f>SUMIF('R5'!$AF$7:$AK$7,B65,'R5'!$AF$27:$AK$27)</f>
        <v>236117.14833106019</v>
      </c>
      <c r="Y65" s="55"/>
      <c r="Z65" s="27">
        <f>SUMIF('R5'!$AF$7:$AK$7,B65,'R5'!$AF$10:$AK$10)</f>
        <v>2518975.5803243588</v>
      </c>
      <c r="AA65" s="55"/>
      <c r="AB65" s="5"/>
      <c r="AC65" s="5"/>
      <c r="AD65" s="5"/>
    </row>
    <row r="66" spans="1:30" x14ac:dyDescent="0.25">
      <c r="A66" s="107"/>
      <c r="B66" s="31">
        <v>2080</v>
      </c>
      <c r="C66" s="6">
        <f>SUMIF('R5'!$AF$7:$AK$7,B66,'R5'!$AF$17:$AK$17)</f>
        <v>17.39819</v>
      </c>
      <c r="D66" s="43">
        <f>SUMIF('R5'!$AF$7:$AK$7,B66,'R5'!$AF$21:$AK$21)</f>
        <v>0.96439833420871968</v>
      </c>
      <c r="E66" s="35">
        <f>SUMIF('R5'!$AF$7:$AK$7,B66,'R5'!$AF$22:$AK$22)</f>
        <v>0.99844694181596516</v>
      </c>
      <c r="F66" s="47">
        <f t="shared" si="53"/>
        <v>1.0353055437773875</v>
      </c>
      <c r="G66" s="55"/>
      <c r="H66" s="4">
        <f>SUMIF('R5'!$AF$7:$AK$7,B66,'R5'!$AF$19:$AK$19)</f>
        <v>0.92311634638663587</v>
      </c>
      <c r="I66" s="5">
        <f>SUMIF('R5'!$AF$7:$AK$7,B66,'R5'!$AF$20:$AK$20)</f>
        <v>1</v>
      </c>
      <c r="J66" s="5">
        <f t="shared" si="54"/>
        <v>1.0832870676749584</v>
      </c>
      <c r="K66" s="55"/>
      <c r="L66" s="27">
        <f>SUMIF('R5'!$AF$7:$AK$7,B66,'R5'!$AF$11:$AK$11)</f>
        <v>0.90295008955022826</v>
      </c>
      <c r="M66" s="24">
        <f>SUMIF('R5'!$AF$7:$AK$7,B66,'R5'!$AF$12:$AK$12)</f>
        <v>16.026257597214869</v>
      </c>
      <c r="N66" s="24">
        <f t="shared" ref="N66:N129" si="55">M66+L66</f>
        <v>16.929207686765096</v>
      </c>
      <c r="O66" s="55"/>
      <c r="P66" s="40">
        <f t="shared" ref="P66:P129" si="56">M66/L66</f>
        <v>17.748774580882721</v>
      </c>
      <c r="Q66" s="55"/>
      <c r="R66" s="27">
        <f>SUMIF('R5'!$AF$7:$AK$7,B66,'R5'!$AF$15:$AK$15)</f>
        <v>432120.26022089558</v>
      </c>
      <c r="S66" s="55"/>
      <c r="T66" s="27">
        <f>SUMIF('R5'!$AF$7:$AK$7,B66,'R5'!$AF$16:$AK$16)</f>
        <v>563410.17426905094</v>
      </c>
      <c r="U66" s="55"/>
      <c r="V66" s="24">
        <f t="shared" ref="V66:V129" si="57">T66/R66</f>
        <v>1.3038272585993567</v>
      </c>
      <c r="W66" s="55"/>
      <c r="X66" s="27">
        <f>SUMIF('R5'!$AF$7:$AK$7,B66,'R5'!$AF$27:$AK$27)</f>
        <v>332855.22294734378</v>
      </c>
      <c r="Y66" s="55"/>
      <c r="Z66" s="27">
        <f>SUMIF('R5'!$AF$7:$AK$7,B66,'R5'!$AF$10:$AK$10)</f>
        <v>5634975.1989000821</v>
      </c>
      <c r="AA66" s="55"/>
      <c r="AB66" s="5"/>
      <c r="AC66" s="5"/>
      <c r="AD66" s="5"/>
    </row>
    <row r="67" spans="1:30" ht="15.75" thickBot="1" x14ac:dyDescent="0.3">
      <c r="A67" s="108"/>
      <c r="B67" s="32">
        <v>2100</v>
      </c>
      <c r="C67" s="9">
        <f>SUMIF('R5'!$AF$7:$AK$7,B67,'R5'!$AF$17:$AK$17)</f>
        <v>17.39819</v>
      </c>
      <c r="D67" s="44">
        <f>SUMIF('R5'!$AF$7:$AK$7,B67,'R5'!$AF$21:$AK$21)</f>
        <v>0.96439833420871968</v>
      </c>
      <c r="E67" s="36">
        <f>SUMIF('R5'!$AF$7:$AK$7,B67,'R5'!$AF$22:$AK$22)</f>
        <v>0.99844694181596516</v>
      </c>
      <c r="F67" s="48">
        <f t="shared" si="53"/>
        <v>1.0353055437773875</v>
      </c>
      <c r="G67" s="56"/>
      <c r="H67" s="7">
        <f>SUMIF('R5'!$AF$7:$AK$7,B67,'R5'!$AF$19:$AK$19)</f>
        <v>0.92311634638663587</v>
      </c>
      <c r="I67" s="8">
        <f>SUMIF('R5'!$AF$7:$AK$7,B67,'R5'!$AF$20:$AK$20)</f>
        <v>1</v>
      </c>
      <c r="J67" s="8">
        <f t="shared" si="54"/>
        <v>1.0832870676749584</v>
      </c>
      <c r="K67" s="56"/>
      <c r="L67" s="28">
        <f>SUMIF('R5'!$AF$7:$AK$7,B67,'R5'!$AF$11:$AK$11)</f>
        <v>0.78665811203172464</v>
      </c>
      <c r="M67" s="25">
        <f>SUMIF('R5'!$AF$7:$AK$7,B67,'R5'!$AF$12:$AK$12)</f>
        <v>25.91023868058215</v>
      </c>
      <c r="N67" s="25">
        <f t="shared" si="55"/>
        <v>26.696896792613874</v>
      </c>
      <c r="O67" s="56"/>
      <c r="P67" s="41">
        <f t="shared" si="56"/>
        <v>32.937102261188187</v>
      </c>
      <c r="Q67" s="56"/>
      <c r="R67" s="28">
        <f>SUMIF('R5'!$AF$7:$AK$7,B67,'R5'!$AF$15:$AK$15)</f>
        <v>567655.96896973415</v>
      </c>
      <c r="S67" s="56"/>
      <c r="T67" s="28">
        <f>SUMIF('R5'!$AF$7:$AK$7,B67,'R5'!$AF$16:$AK$16)</f>
        <v>740125.32584936998</v>
      </c>
      <c r="U67" s="56"/>
      <c r="V67" s="25">
        <f t="shared" si="57"/>
        <v>1.3038272585993567</v>
      </c>
      <c r="W67" s="56"/>
      <c r="X67" s="28">
        <f>SUMIF('R5'!$AF$7:$AK$7,B67,'R5'!$AF$27:$AK$27)</f>
        <v>439999.32611759641</v>
      </c>
      <c r="Y67" s="56"/>
      <c r="Z67" s="28">
        <f>SUMIF('R5'!$AF$7:$AK$7,B67,'R5'!$AF$10:$AK$10)</f>
        <v>11746616.598181119</v>
      </c>
      <c r="AA67" s="56"/>
      <c r="AB67" s="5"/>
      <c r="AC67" s="5"/>
      <c r="AD67" s="5"/>
    </row>
    <row r="68" spans="1:30" x14ac:dyDescent="0.25">
      <c r="A68" s="106" t="str">
        <f>'R5'!B1</f>
        <v>North West</v>
      </c>
      <c r="B68" s="21">
        <v>2000</v>
      </c>
      <c r="C68" s="3">
        <f>SUMIF('R5'!$AF$7:$AK$7,B68,'R5'!$AF$42:$AK$42)</f>
        <v>17.39819</v>
      </c>
      <c r="D68" s="42">
        <f>SUMIF('R5'!$AF$7:$AK$7,B68,'R5'!$AF$46:$AK$46)</f>
        <v>1</v>
      </c>
      <c r="E68" s="34">
        <f>SUMIF('R5'!$AF$7:$AK$7,B68,'R5'!$AF$47:$AK$47)</f>
        <v>1</v>
      </c>
      <c r="F68" s="49">
        <f t="shared" si="53"/>
        <v>1</v>
      </c>
      <c r="G68" s="57">
        <f t="shared" ref="G68:G73" si="58">(F68-$F62)/$F62</f>
        <v>0</v>
      </c>
      <c r="H68" s="1">
        <f>SUMIF('R5'!$AF$7:$AK$7,B68,'R5'!$AF$44:$AK$44)</f>
        <v>0.92311634638663587</v>
      </c>
      <c r="I68" s="2">
        <f>SUMIF('R5'!$AF$7:$AK$7,B68,'R5'!$AF$45:$AK$45)</f>
        <v>1</v>
      </c>
      <c r="J68" s="2">
        <f t="shared" si="54"/>
        <v>1.0832870676749584</v>
      </c>
      <c r="K68" s="57">
        <f t="shared" ref="K68:K73" si="59">(J68-$J62)/$J62</f>
        <v>0</v>
      </c>
      <c r="L68" s="26">
        <f>SUMIF('R5'!$AF$7:$AK$7,B68,'R5'!$AF$36:$AK$36)</f>
        <v>0.97033136301899992</v>
      </c>
      <c r="M68" s="23">
        <f>SUMIF('R5'!$AF$7:$AK$7,B68,'R5'!$AF$37:$AK$37)</f>
        <v>1.4521797769697999</v>
      </c>
      <c r="N68" s="23">
        <f t="shared" si="55"/>
        <v>2.4225111399887997</v>
      </c>
      <c r="O68" s="57"/>
      <c r="P68" s="38">
        <f t="shared" si="56"/>
        <v>1.4965813044026746</v>
      </c>
      <c r="Q68" s="57">
        <f t="shared" ref="Q68:Q73" si="60">(P68-$P62)/$P62</f>
        <v>0</v>
      </c>
      <c r="R68" s="26">
        <f>SUMIF('R5'!$AF$7:$AK$7,B68,'R5'!$AF$40:$AK$40)</f>
        <v>45393.773600747983</v>
      </c>
      <c r="S68" s="57">
        <f t="shared" ref="S68:S73" si="61">(R68-$R62)/$R62</f>
        <v>0</v>
      </c>
      <c r="T68" s="26">
        <f>SUMIF('R5'!$AF$7:$AK$7,B68,'R5'!$AF$41:$AK$41)</f>
        <v>59185.639391343168</v>
      </c>
      <c r="U68" s="57">
        <f t="shared" ref="U68:U73" si="62">(T68-$T62)/$T62</f>
        <v>0</v>
      </c>
      <c r="V68" s="23">
        <f t="shared" si="57"/>
        <v>1.3038272585993584</v>
      </c>
      <c r="W68" s="57">
        <f t="shared" ref="W68:W73" si="63">(V68-$V62)/$V62</f>
        <v>0</v>
      </c>
      <c r="X68" s="26">
        <f>SUMIF('R5'!$AF$7:$AK$7,B68,'R5'!$AF$52:$AK$52)</f>
        <v>18427.26254075639</v>
      </c>
      <c r="Y68" s="57">
        <f t="shared" ref="Y68:Y73" si="64">(X68-$X62)/$X62</f>
        <v>0</v>
      </c>
      <c r="Z68" s="26">
        <f>SUMIF('R5'!$AF$7:$AK$7,B68,'R5'!$AF$35:$AK$35)</f>
        <v>77917.024970400002</v>
      </c>
      <c r="AA68" s="57">
        <f t="shared" ref="AA68:AA73" si="65">(Z68-$Z62)/$Z62</f>
        <v>0</v>
      </c>
      <c r="AB68" s="5"/>
      <c r="AC68" s="5"/>
      <c r="AD68" s="5"/>
    </row>
    <row r="69" spans="1:30" x14ac:dyDescent="0.25">
      <c r="A69" s="107"/>
      <c r="B69" s="31">
        <v>2020</v>
      </c>
      <c r="C69" s="14">
        <f>SUMIF('R5'!$AF$7:$AK$7,B69,'R5'!$AF$42:$AK$42)</f>
        <v>17.954029999999999</v>
      </c>
      <c r="D69" s="43">
        <f>SUMIF('R5'!$AF$7:$AK$7,B69,'R5'!$AF$46:$AK$46)</f>
        <v>0.95269766517752652</v>
      </c>
      <c r="E69" s="35">
        <f>SUMIF('R5'!$AF$7:$AK$7,B69,'R5'!$AF$47:$AK$47)</f>
        <v>0.99556088418081246</v>
      </c>
      <c r="F69" s="50">
        <f t="shared" si="53"/>
        <v>1.0449914181277002</v>
      </c>
      <c r="G69" s="58">
        <f t="shared" si="58"/>
        <v>9.3555708346476588E-3</v>
      </c>
      <c r="H69" s="4">
        <f>SUMIF('R5'!$AF$7:$AK$7,B69,'R5'!$AF$44:$AK$44)</f>
        <v>0.94176453358424828</v>
      </c>
      <c r="I69" s="5">
        <f>SUMIF('R5'!$AF$7:$AK$7,B69,'R5'!$AF$45:$AK$45)</f>
        <v>1</v>
      </c>
      <c r="J69" s="13">
        <f t="shared" si="54"/>
        <v>1.0618365465453601</v>
      </c>
      <c r="K69" s="58">
        <f t="shared" si="59"/>
        <v>-1.9801326693244147E-2</v>
      </c>
      <c r="L69" s="27">
        <f>SUMIF('R5'!$AF$7:$AK$7,B69,'R5'!$AF$36:$AK$36)</f>
        <v>1.0753207996371921</v>
      </c>
      <c r="M69" s="24">
        <f>SUMIF('R5'!$AF$7:$AK$7,B69,'R5'!$AF$37:$AK$37)</f>
        <v>2.9944412914194309</v>
      </c>
      <c r="N69" s="24">
        <f t="shared" si="55"/>
        <v>4.0697620910566226</v>
      </c>
      <c r="O69" s="58"/>
      <c r="P69" s="39">
        <f t="shared" si="56"/>
        <v>2.7846957786269368</v>
      </c>
      <c r="Q69" s="58">
        <f t="shared" si="60"/>
        <v>2.6755532873579901E-3</v>
      </c>
      <c r="R69" s="27">
        <f>SUMIF('R5'!$AF$7:$AK$7,B69,'R5'!$AF$40:$AK$40)</f>
        <v>109888.4179177875</v>
      </c>
      <c r="S69" s="58">
        <f t="shared" si="61"/>
        <v>2.5050773680770312E-3</v>
      </c>
      <c r="T69" s="27">
        <f>SUMIF('R5'!$AF$7:$AK$7,B69,'R5'!$AF$41:$AK$41)</f>
        <v>141947.51465739001</v>
      </c>
      <c r="U69" s="58">
        <f t="shared" si="62"/>
        <v>-6.7869972332005304E-3</v>
      </c>
      <c r="V69" s="24">
        <f t="shared" si="57"/>
        <v>1.2917422722710175</v>
      </c>
      <c r="W69" s="58">
        <f t="shared" si="63"/>
        <v>-9.2688554013834693E-3</v>
      </c>
      <c r="X69" s="27">
        <f>SUMIF('R5'!$AF$7:$AK$7,B69,'R5'!$AF$52:$AK$52)</f>
        <v>78983.847042603476</v>
      </c>
      <c r="Y69" s="58">
        <f t="shared" si="64"/>
        <v>-9.5146793258662661E-3</v>
      </c>
      <c r="Z69" s="27">
        <f>SUMIF('R5'!$AF$7:$AK$7,B69,'R5'!$AF$35:$AK$35)</f>
        <v>321445.46649980242</v>
      </c>
      <c r="AA69" s="58">
        <f t="shared" si="65"/>
        <v>-9.6579259224654785E-3</v>
      </c>
      <c r="AB69" s="5"/>
      <c r="AC69" s="5"/>
      <c r="AD69" s="5"/>
    </row>
    <row r="70" spans="1:30" x14ac:dyDescent="0.25">
      <c r="A70" s="107"/>
      <c r="B70" s="31">
        <v>2040</v>
      </c>
      <c r="C70" s="6">
        <f>SUMIF('R5'!$AF$7:$AK$7,B70,'R5'!$AF$42:$AK$42)</f>
        <v>18.92239</v>
      </c>
      <c r="D70" s="43">
        <f>SUMIF('R5'!$AF$7:$AK$7,B70,'R5'!$AF$46:$AK$46)</f>
        <v>0.92479939883583451</v>
      </c>
      <c r="E70" s="35">
        <f>SUMIF('R5'!$AF$7:$AK$7,B70,'R5'!$AF$47:$AK$47)</f>
        <v>0.98540782953795247</v>
      </c>
      <c r="F70" s="50">
        <f t="shared" si="53"/>
        <v>1.0655368405066155</v>
      </c>
      <c r="G70" s="58">
        <f t="shared" si="58"/>
        <v>2.9200362067923341E-2</v>
      </c>
      <c r="H70" s="4">
        <f>SUMIF('R5'!$AF$7:$AK$7,B70,'R5'!$AF$44:$AK$44)</f>
        <v>0.97044553354850793</v>
      </c>
      <c r="I70" s="5">
        <f>SUMIF('R5'!$AF$7:$AK$7,B70,'R5'!$AF$45:$AK$45)</f>
        <v>1</v>
      </c>
      <c r="J70" s="5">
        <f t="shared" si="54"/>
        <v>1.0304545339535172</v>
      </c>
      <c r="K70" s="58">
        <f t="shared" si="59"/>
        <v>-4.8770575499285589E-2</v>
      </c>
      <c r="L70" s="27">
        <f>SUMIF('R5'!$AF$7:$AK$7,B70,'R5'!$AF$36:$AK$36)</f>
        <v>1.0754426202107621</v>
      </c>
      <c r="M70" s="24">
        <f>SUMIF('R5'!$AF$7:$AK$7,B70,'R5'!$AF$37:$AK$37)</f>
        <v>5.572181920615618</v>
      </c>
      <c r="N70" s="24">
        <f t="shared" si="55"/>
        <v>6.6476245408263797</v>
      </c>
      <c r="O70" s="58"/>
      <c r="P70" s="40">
        <f t="shared" si="56"/>
        <v>5.1812916987831468</v>
      </c>
      <c r="Q70" s="58">
        <f t="shared" si="60"/>
        <v>5.3185552602880099E-3</v>
      </c>
      <c r="R70" s="27">
        <f>SUMIF('R5'!$AF$7:$AK$7,B70,'R5'!$AF$40:$AK$40)</f>
        <v>202180.47743507181</v>
      </c>
      <c r="S70" s="58">
        <f t="shared" si="61"/>
        <v>8.3933906982378171E-3</v>
      </c>
      <c r="T70" s="27">
        <f>SUMIF('R5'!$AF$7:$AK$7,B70,'R5'!$AF$41:$AK$41)</f>
        <v>256129.34794039809</v>
      </c>
      <c r="U70" s="58">
        <f t="shared" si="62"/>
        <v>-2.0216638214039347E-2</v>
      </c>
      <c r="V70" s="24">
        <f t="shared" si="57"/>
        <v>1.2668352117362638</v>
      </c>
      <c r="W70" s="58">
        <f t="shared" si="63"/>
        <v>-2.8371892533395868E-2</v>
      </c>
      <c r="X70" s="27">
        <f>SUMIF('R5'!$AF$7:$AK$7,B70,'R5'!$AF$52:$AK$52)</f>
        <v>145085.42850926501</v>
      </c>
      <c r="Y70" s="58">
        <f t="shared" si="64"/>
        <v>-3.2823471117430392E-2</v>
      </c>
      <c r="Z70" s="27">
        <f>SUMIF('R5'!$AF$7:$AK$7,B70,'R5'!$AF$35:$AK$35)</f>
        <v>964473.45507450099</v>
      </c>
      <c r="AA70" s="58">
        <f t="shared" si="65"/>
        <v>-3.315186379176141E-2</v>
      </c>
      <c r="AB70" s="5"/>
      <c r="AC70" s="5"/>
      <c r="AD70" s="5"/>
    </row>
    <row r="71" spans="1:30" x14ac:dyDescent="0.25">
      <c r="A71" s="107"/>
      <c r="B71" s="31">
        <v>2060</v>
      </c>
      <c r="C71" s="6">
        <f>SUMIF('R5'!$AF$7:$AK$7,B71,'R5'!$AF$42:$AK$42)</f>
        <v>20.179099999999998</v>
      </c>
      <c r="D71" s="43">
        <f>SUMIF('R5'!$AF$7:$AK$7,B71,'R5'!$AF$46:$AK$46)</f>
        <v>0.87282505847383773</v>
      </c>
      <c r="E71" s="35">
        <f>SUMIF('R5'!$AF$7:$AK$7,B71,'R5'!$AF$47:$AK$47)</f>
        <v>0.95961542839364711</v>
      </c>
      <c r="F71" s="50">
        <f t="shared" si="53"/>
        <v>1.0994361574260541</v>
      </c>
      <c r="G71" s="58">
        <f t="shared" si="58"/>
        <v>6.1943659081242206E-2</v>
      </c>
      <c r="H71" s="4">
        <f>SUMIF('R5'!$AF$7:$AK$7,B71,'R5'!$AF$44:$AK$44)</f>
        <v>0.99004983374916744</v>
      </c>
      <c r="I71" s="5">
        <f>SUMIF('R5'!$AF$7:$AK$7,B71,'R5'!$AF$45:$AK$45)</f>
        <v>1</v>
      </c>
      <c r="J71" s="5">
        <f t="shared" si="54"/>
        <v>1.0100501670841686</v>
      </c>
      <c r="K71" s="58">
        <f t="shared" si="59"/>
        <v>-6.760618009405113E-2</v>
      </c>
      <c r="L71" s="27">
        <f>SUMIF('R5'!$AF$7:$AK$7,B71,'R5'!$AF$36:$AK$36)</f>
        <v>1.007191999226976</v>
      </c>
      <c r="M71" s="24">
        <f>SUMIF('R5'!$AF$7:$AK$7,B71,'R5'!$AF$37:$AK$37)</f>
        <v>9.6569150452662615</v>
      </c>
      <c r="N71" s="24">
        <f t="shared" si="55"/>
        <v>10.664107044493237</v>
      </c>
      <c r="O71" s="58"/>
      <c r="P71" s="40">
        <f t="shared" si="56"/>
        <v>9.5879584554662696</v>
      </c>
      <c r="Q71" s="58">
        <f t="shared" si="60"/>
        <v>2.4778473771447547E-3</v>
      </c>
      <c r="R71" s="27">
        <f>SUMIF('R5'!$AF$7:$AK$7,B71,'R5'!$AF$40:$AK$40)</f>
        <v>313516.19245169312</v>
      </c>
      <c r="S71" s="58">
        <f t="shared" si="61"/>
        <v>1.1674812608516109E-2</v>
      </c>
      <c r="T71" s="27">
        <f>SUMIF('R5'!$AF$7:$AK$7,B71,'R5'!$AF$41:$AK$41)</f>
        <v>384927.16090461361</v>
      </c>
      <c r="U71" s="58">
        <f t="shared" si="62"/>
        <v>-4.7336641678539876E-2</v>
      </c>
      <c r="V71" s="24">
        <f t="shared" si="57"/>
        <v>1.2277744185858075</v>
      </c>
      <c r="W71" s="58">
        <f t="shared" si="63"/>
        <v>-5.8330457130686138E-2</v>
      </c>
      <c r="X71" s="27">
        <f>SUMIF('R5'!$AF$7:$AK$7,B71,'R5'!$AF$52:$AK$52)</f>
        <v>216203.9725729757</v>
      </c>
      <c r="Y71" s="58">
        <f t="shared" si="64"/>
        <v>-8.4335999730795475E-2</v>
      </c>
      <c r="Z71" s="27">
        <f>SUMIF('R5'!$AF$7:$AK$7,B71,'R5'!$AF$35:$AK$35)</f>
        <v>2305622.3069628929</v>
      </c>
      <c r="AA71" s="58">
        <f t="shared" si="65"/>
        <v>-8.4698428610408841E-2</v>
      </c>
      <c r="AB71" s="5"/>
      <c r="AC71" s="5"/>
      <c r="AD71" s="5"/>
    </row>
    <row r="72" spans="1:30" x14ac:dyDescent="0.25">
      <c r="A72" s="107"/>
      <c r="B72" s="31">
        <v>2080</v>
      </c>
      <c r="C72" s="6">
        <f>SUMIF('R5'!$AF$7:$AK$7,B72,'R5'!$AF$42:$AK$42)</f>
        <v>21.695489999999999</v>
      </c>
      <c r="D72" s="43">
        <f>SUMIF('R5'!$AF$7:$AK$7,B72,'R5'!$AF$46:$AK$46)</f>
        <v>0.81076508762715238</v>
      </c>
      <c r="E72" s="35">
        <f>SUMIF('R5'!$AF$7:$AK$7,B72,'R5'!$AF$47:$AK$47)</f>
        <v>0.92207897326159938</v>
      </c>
      <c r="F72" s="50">
        <f t="shared" si="53"/>
        <v>1.1372948679379211</v>
      </c>
      <c r="G72" s="58">
        <f t="shared" si="58"/>
        <v>9.8511328151898211E-2</v>
      </c>
      <c r="H72" s="4">
        <f>SUMIF('R5'!$AF$7:$AK$7,B72,'R5'!$AF$44:$AK$44)</f>
        <v>1</v>
      </c>
      <c r="I72" s="5">
        <f>SUMIF('R5'!$AF$7:$AK$7,B72,'R5'!$AF$45:$AK$45)</f>
        <v>1</v>
      </c>
      <c r="J72" s="5">
        <f t="shared" si="54"/>
        <v>1</v>
      </c>
      <c r="K72" s="58">
        <f t="shared" si="59"/>
        <v>-7.6883653613364092E-2</v>
      </c>
      <c r="L72" s="27">
        <f>SUMIF('R5'!$AF$7:$AK$7,B72,'R5'!$AF$36:$AK$36)</f>
        <v>0.90562050228192326</v>
      </c>
      <c r="M72" s="24">
        <f>SUMIF('R5'!$AF$7:$AK$7,B72,'R5'!$AF$37:$AK$37)</f>
        <v>16.0176711907271</v>
      </c>
      <c r="N72" s="24">
        <f t="shared" si="55"/>
        <v>16.923291693009023</v>
      </c>
      <c r="O72" s="58"/>
      <c r="P72" s="40">
        <f t="shared" si="56"/>
        <v>17.686957340703771</v>
      </c>
      <c r="Q72" s="58">
        <f t="shared" si="60"/>
        <v>-3.4829018700555069E-3</v>
      </c>
      <c r="R72" s="27">
        <f>SUMIF('R5'!$AF$7:$AK$7,B72,'R5'!$AF$40:$AK$40)</f>
        <v>434968.80016570131</v>
      </c>
      <c r="S72" s="58">
        <f t="shared" si="61"/>
        <v>6.5920073808841632E-3</v>
      </c>
      <c r="T72" s="27">
        <f>SUMIF('R5'!$AF$7:$AK$7,B72,'R5'!$AF$41:$AK$41)</f>
        <v>516266.11739217152</v>
      </c>
      <c r="U72" s="58">
        <f t="shared" si="62"/>
        <v>-8.367626115031114E-2</v>
      </c>
      <c r="V72" s="24">
        <f t="shared" si="57"/>
        <v>1.1869037898706758</v>
      </c>
      <c r="W72" s="58">
        <f t="shared" si="63"/>
        <v>-8.9677116318527136E-2</v>
      </c>
      <c r="X72" s="27">
        <f>SUMIF('R5'!$AF$7:$AK$7,B72,'R5'!$AF$52:$AK$52)</f>
        <v>281661.37957178382</v>
      </c>
      <c r="Y72" s="58">
        <f t="shared" si="64"/>
        <v>-0.15380213331866088</v>
      </c>
      <c r="Z72" s="27">
        <f>SUMIF('R5'!$AF$7:$AK$7,B72,'R5'!$AF$35:$AK$35)</f>
        <v>4766637.6851486294</v>
      </c>
      <c r="AA72" s="58">
        <f t="shared" si="65"/>
        <v>-0.15409784126839596</v>
      </c>
      <c r="AB72" s="5"/>
      <c r="AC72" s="5"/>
      <c r="AD72" s="5"/>
    </row>
    <row r="73" spans="1:30" ht="15.75" thickBot="1" x14ac:dyDescent="0.3">
      <c r="A73" s="108"/>
      <c r="B73" s="32">
        <v>2100</v>
      </c>
      <c r="C73" s="9">
        <f>SUMIF('R5'!$AF$7:$AK$7,B73,'R5'!$AF$42:$AK$42)</f>
        <v>23.121759999999998</v>
      </c>
      <c r="D73" s="44">
        <f>SUMIF('R5'!$AF$7:$AK$7,B73,'R5'!$AF$46:$AK$46)</f>
        <v>0.72910433227696836</v>
      </c>
      <c r="E73" s="36">
        <f>SUMIF('R5'!$AF$7:$AK$7,B73,'R5'!$AF$47:$AK$47)</f>
        <v>0.86537970249071072</v>
      </c>
      <c r="F73" s="51">
        <f t="shared" si="53"/>
        <v>1.1869079145204897</v>
      </c>
      <c r="G73" s="59">
        <f t="shared" si="58"/>
        <v>0.14643249198682928</v>
      </c>
      <c r="H73" s="7">
        <f>SUMIF('R5'!$AF$7:$AK$7,B73,'R5'!$AF$44:$AK$44)</f>
        <v>0.97044553354850793</v>
      </c>
      <c r="I73" s="8">
        <f>SUMIF('R5'!$AF$7:$AK$7,B73,'R5'!$AF$45:$AK$45)</f>
        <v>1</v>
      </c>
      <c r="J73" s="8">
        <f t="shared" si="54"/>
        <v>1.0304545339535172</v>
      </c>
      <c r="K73" s="59">
        <f t="shared" si="59"/>
        <v>-4.8770575499285589E-2</v>
      </c>
      <c r="L73" s="28">
        <f>SUMIF('R5'!$AF$7:$AK$7,B73,'R5'!$AF$36:$AK$36)</f>
        <v>0.80321813759241678</v>
      </c>
      <c r="M73" s="25">
        <f>SUMIF('R5'!$AF$7:$AK$7,B73,'R5'!$AF$37:$AK$37)</f>
        <v>25.888712608488589</v>
      </c>
      <c r="N73" s="25">
        <f t="shared" si="55"/>
        <v>26.691930746081006</v>
      </c>
      <c r="O73" s="59"/>
      <c r="P73" s="41">
        <f t="shared" si="56"/>
        <v>32.231235074058425</v>
      </c>
      <c r="Q73" s="59">
        <f t="shared" si="60"/>
        <v>-2.1430761623542356E-2</v>
      </c>
      <c r="R73" s="33">
        <f>SUMIF('R5'!$AF$7:$AK$7,B73,'R5'!$AF$40:$AK$40)</f>
        <v>560444.79680418654</v>
      </c>
      <c r="S73" s="59">
        <f t="shared" si="61"/>
        <v>-1.2703419958105106E-2</v>
      </c>
      <c r="T73" s="28">
        <f>SUMIF('R5'!$AF$7:$AK$7,B73,'R5'!$AF$41:$AK$41)</f>
        <v>637388.77615645214</v>
      </c>
      <c r="U73" s="59">
        <f t="shared" si="62"/>
        <v>-0.1388096665588589</v>
      </c>
      <c r="V73" s="25">
        <f t="shared" si="57"/>
        <v>1.1372909156994975</v>
      </c>
      <c r="W73" s="59">
        <f t="shared" si="63"/>
        <v>-0.12772883969212434</v>
      </c>
      <c r="X73" s="28">
        <f>SUMIF('R5'!$AF$7:$AK$7,B73,'R5'!$AF$52:$AK$52)</f>
        <v>328368.78917626513</v>
      </c>
      <c r="Y73" s="59">
        <f t="shared" si="64"/>
        <v>-0.25370615433964633</v>
      </c>
      <c r="Z73" s="28">
        <f>SUMIF('R5'!$AF$7:$AK$7,B73,'R5'!$AF$35:$AK$35)</f>
        <v>8764796.979867341</v>
      </c>
      <c r="AA73" s="59">
        <f t="shared" si="65"/>
        <v>-0.25384497684001128</v>
      </c>
      <c r="AB73" s="5"/>
      <c r="AC73" s="5"/>
      <c r="AD73" s="5"/>
    </row>
    <row r="74" spans="1:30" x14ac:dyDescent="0.25">
      <c r="A74" s="94" t="s">
        <v>6</v>
      </c>
      <c r="B74" s="21">
        <v>2000</v>
      </c>
      <c r="C74" s="3">
        <f>SUMIF('R6'!$AF$7:$AK$7,B74,'R6'!$AF$17:$AK$17)</f>
        <v>16.019739999999999</v>
      </c>
      <c r="D74" s="42">
        <f>SUMIF('R6'!$AF$7:$AK$7,B74,'R6'!$AF$21:$AK$21)</f>
        <v>1</v>
      </c>
      <c r="E74" s="34">
        <f>SUMIF('R6'!$AF$7:$AK$7,B74,'R6'!$AF$22:$AK$22)</f>
        <v>1</v>
      </c>
      <c r="F74" s="45">
        <f>E74/D74</f>
        <v>1</v>
      </c>
      <c r="G74" s="53"/>
      <c r="H74" s="1">
        <f>SUMIF('R6'!$AF$7:$AK$7,B74,'R6'!$AF$19:$AK$19)</f>
        <v>0.86070797642505747</v>
      </c>
      <c r="I74" s="2">
        <f>SUMIF('R6'!$AF$7:$AK$7,B74,'R6'!$AF$20:$AK$20)</f>
        <v>1</v>
      </c>
      <c r="J74" s="2">
        <f>I74/H74</f>
        <v>1.1618342427282835</v>
      </c>
      <c r="K74" s="53"/>
      <c r="L74" s="26">
        <f>SUMIF('R6'!$AF$7:$AK$7,B74,'R6'!$AF$11:$AK$11)</f>
        <v>2.1370411467945001</v>
      </c>
      <c r="M74" s="24">
        <f>SUMIF('R6'!$AF$7:$AK$7,B74,'R6'!$AF$12:$AK$12)</f>
        <v>3.1982558270318999</v>
      </c>
      <c r="N74" s="23">
        <f t="shared" si="55"/>
        <v>5.3352969738264004</v>
      </c>
      <c r="O74" s="53"/>
      <c r="P74" s="38">
        <f t="shared" si="56"/>
        <v>1.4965813044026743</v>
      </c>
      <c r="Q74" s="53"/>
      <c r="R74" s="26">
        <f>SUMIF('R6'!$AF$7:$AK$7,B74,'R6'!$AF$15:$AK$15)</f>
        <v>44533.81267978299</v>
      </c>
      <c r="S74" s="53"/>
      <c r="T74" s="26">
        <f>SUMIF('R6'!$AF$7:$AK$7,B74,'R6'!$AF$16:$AK$16)</f>
        <v>59855.314921334641</v>
      </c>
      <c r="U74" s="53"/>
      <c r="V74" s="23">
        <f t="shared" si="57"/>
        <v>1.344042005828689</v>
      </c>
      <c r="W74" s="53"/>
      <c r="X74" s="26">
        <f>SUMIF('R6'!$AF$7:$AK$7,B74,'R6'!$AF$27:$AK$27)</f>
        <v>18427.262540756401</v>
      </c>
      <c r="Y74" s="53"/>
      <c r="Z74" s="26">
        <f>SUMIF('R6'!$AF$7:$AK$7,B74,'R6'!$AF$10:$AK$10)</f>
        <v>171603.1190412</v>
      </c>
      <c r="AA74" s="53"/>
      <c r="AB74" s="5"/>
      <c r="AC74" s="5"/>
      <c r="AD74" s="5"/>
    </row>
    <row r="75" spans="1:30" s="10" customFormat="1" x14ac:dyDescent="0.25">
      <c r="A75" s="95"/>
      <c r="B75" s="31">
        <v>2020</v>
      </c>
      <c r="C75" s="14">
        <f>SUMIF('R6'!$AF$7:$AK$7,B75,'R6'!$AF$17:$AK$17)</f>
        <v>16.019739999999999</v>
      </c>
      <c r="D75" s="43">
        <f>SUMIF('R6'!$AF$7:$AK$7,B75,'R6'!$AF$21:$AK$21)</f>
        <v>0.99257987162312367</v>
      </c>
      <c r="E75" s="35">
        <f>SUMIF('R6'!$AF$7:$AK$7,B75,'R6'!$AF$22:$AK$22)</f>
        <v>0.99687617775686799</v>
      </c>
      <c r="F75" s="46">
        <f t="shared" ref="F75:F85" si="66">E75/D75</f>
        <v>1.0043284235924699</v>
      </c>
      <c r="G75" s="54"/>
      <c r="H75" s="4">
        <f>SUMIF('R6'!$AF$7:$AK$7,B75,'R6'!$AF$19:$AK$19)</f>
        <v>0.86070797642505747</v>
      </c>
      <c r="I75" s="5">
        <f>SUMIF('R6'!$AF$7:$AK$7,B75,'R6'!$AF$20:$AK$20)</f>
        <v>1</v>
      </c>
      <c r="J75" s="5">
        <f t="shared" ref="J75:J85" si="67">I75/H75</f>
        <v>1.1618342427282835</v>
      </c>
      <c r="K75" s="55"/>
      <c r="L75" s="27">
        <f>SUMIF('R6'!$AF$7:$AK$7,B75,'R6'!$AF$11:$AK$11)</f>
        <v>2.3732702195405939</v>
      </c>
      <c r="M75" s="24">
        <f>SUMIF('R6'!$AF$7:$AK$7,B75,'R6'!$AF$12:$AK$12)</f>
        <v>6.5912004538537703</v>
      </c>
      <c r="N75" s="24">
        <f t="shared" si="55"/>
        <v>8.9644706733943647</v>
      </c>
      <c r="O75" s="55"/>
      <c r="P75" s="39">
        <f t="shared" si="56"/>
        <v>2.777265057971217</v>
      </c>
      <c r="Q75" s="55"/>
      <c r="R75" s="27">
        <f>SUMIF('R6'!$AF$7:$AK$7,B75,'R6'!$AF$15:$AK$15)</f>
        <v>108568.4832299315</v>
      </c>
      <c r="S75" s="55"/>
      <c r="T75" s="27">
        <f>SUMIF('R6'!$AF$7:$AK$7,B75,'R6'!$AF$16:$AK$16)</f>
        <v>145920.60197013541</v>
      </c>
      <c r="U75" s="55"/>
      <c r="V75" s="24">
        <f t="shared" si="57"/>
        <v>1.3440420058286879</v>
      </c>
      <c r="W75" s="55"/>
      <c r="X75" s="27">
        <f>SUMIF('R6'!$AF$7:$AK$7,B75,'R6'!$AF$27:$AK$27)</f>
        <v>81290.104600453633</v>
      </c>
      <c r="Y75" s="55"/>
      <c r="Z75" s="27">
        <f>SUMIF('R6'!$AF$7:$AK$7,B75,'R6'!$AF$10:$AK$10)</f>
        <v>728722.75872792688</v>
      </c>
      <c r="AA75" s="55"/>
      <c r="AB75" s="13"/>
      <c r="AC75" s="13"/>
      <c r="AD75" s="13"/>
    </row>
    <row r="76" spans="1:30" x14ac:dyDescent="0.25">
      <c r="A76" s="95"/>
      <c r="B76" s="31">
        <v>2040</v>
      </c>
      <c r="C76" s="6">
        <f>SUMIF('R6'!$AF$7:$AK$7,B76,'R6'!$AF$17:$AK$17)</f>
        <v>16.019739999999999</v>
      </c>
      <c r="D76" s="43">
        <f>SUMIF('R6'!$AF$7:$AK$7,B76,'R6'!$AF$21:$AK$21)</f>
        <v>0.99257987162312367</v>
      </c>
      <c r="E76" s="35">
        <f>SUMIF('R6'!$AF$7:$AK$7,B76,'R6'!$AF$22:$AK$22)</f>
        <v>0.99687617775686799</v>
      </c>
      <c r="F76" s="47">
        <f t="shared" si="66"/>
        <v>1.0043284235924699</v>
      </c>
      <c r="G76" s="55"/>
      <c r="H76" s="4">
        <f>SUMIF('R6'!$AF$7:$AK$7,B76,'R6'!$AF$19:$AK$19)</f>
        <v>0.86070797642505747</v>
      </c>
      <c r="I76" s="5">
        <f>SUMIF('R6'!$AF$7:$AK$7,B76,'R6'!$AF$20:$AK$20)</f>
        <v>1</v>
      </c>
      <c r="J76" s="5">
        <f t="shared" si="67"/>
        <v>1.1618342427282835</v>
      </c>
      <c r="K76" s="55"/>
      <c r="L76" s="27">
        <f>SUMIF('R6'!$AF$7:$AK$7,B76,'R6'!$AF$11:$AK$11)</f>
        <v>2.379894599123348</v>
      </c>
      <c r="M76" s="24">
        <f>SUMIF('R6'!$AF$7:$AK$7,B76,'R6'!$AF$12:$AK$12)</f>
        <v>12.26569236775306</v>
      </c>
      <c r="N76" s="24">
        <f t="shared" si="55"/>
        <v>14.645586966876408</v>
      </c>
      <c r="O76" s="55"/>
      <c r="P76" s="40">
        <f t="shared" si="56"/>
        <v>5.1538805005361246</v>
      </c>
      <c r="Q76" s="55"/>
      <c r="R76" s="27">
        <f>SUMIF('R6'!$AF$7:$AK$7,B76,'R6'!$AF$15:$AK$15)</f>
        <v>196923.44014454001</v>
      </c>
      <c r="S76" s="55"/>
      <c r="T76" s="27">
        <f>SUMIF('R6'!$AF$7:$AK$7,B76,'R6'!$AF$16:$AK$16)</f>
        <v>264673.3754865533</v>
      </c>
      <c r="U76" s="55"/>
      <c r="V76" s="24">
        <f t="shared" si="57"/>
        <v>1.3440420058286888</v>
      </c>
      <c r="W76" s="55"/>
      <c r="X76" s="27">
        <f>SUMIF('R6'!$AF$7:$AK$7,B76,'R6'!$AF$27:$AK$27)</f>
        <v>151640.51381148171</v>
      </c>
      <c r="Y76" s="55"/>
      <c r="Z76" s="27">
        <f>SUMIF('R6'!$AF$7:$AK$7,B76,'R6'!$AF$10:$AK$10)</f>
        <v>2220864.332727877</v>
      </c>
      <c r="AA76" s="55"/>
      <c r="AB76" s="5"/>
      <c r="AC76" s="5"/>
      <c r="AD76" s="5"/>
    </row>
    <row r="77" spans="1:30" x14ac:dyDescent="0.25">
      <c r="A77" s="95"/>
      <c r="B77" s="31">
        <v>2060</v>
      </c>
      <c r="C77" s="6">
        <f>SUMIF('R6'!$AF$7:$AK$7,B77,'R6'!$AF$17:$AK$17)</f>
        <v>16.019739999999999</v>
      </c>
      <c r="D77" s="43">
        <f>SUMIF('R6'!$AF$7:$AK$7,B77,'R6'!$AF$21:$AK$21)</f>
        <v>0.99257987162312367</v>
      </c>
      <c r="E77" s="35">
        <f>SUMIF('R6'!$AF$7:$AK$7,B77,'R6'!$AF$22:$AK$22)</f>
        <v>0.99687617775686799</v>
      </c>
      <c r="F77" s="47">
        <f t="shared" si="66"/>
        <v>1.0043284235924699</v>
      </c>
      <c r="G77" s="55"/>
      <c r="H77" s="4">
        <f>SUMIF('R6'!$AF$7:$AK$7,B77,'R6'!$AF$19:$AK$19)</f>
        <v>0.86070797642505747</v>
      </c>
      <c r="I77" s="5">
        <f>SUMIF('R6'!$AF$7:$AK$7,B77,'R6'!$AF$20:$AK$20)</f>
        <v>1</v>
      </c>
      <c r="J77" s="5">
        <f t="shared" si="67"/>
        <v>1.1618342427282835</v>
      </c>
      <c r="K77" s="55"/>
      <c r="L77" s="27">
        <f>SUMIF('R6'!$AF$7:$AK$7,B77,'R6'!$AF$11:$AK$11)</f>
        <v>2.2240788244080152</v>
      </c>
      <c r="M77" s="24">
        <f>SUMIF('R6'!$AF$7:$AK$7,B77,'R6'!$AF$12:$AK$12)</f>
        <v>21.271667424770332</v>
      </c>
      <c r="N77" s="24">
        <f t="shared" si="55"/>
        <v>23.495746249178346</v>
      </c>
      <c r="O77" s="55"/>
      <c r="P77" s="40">
        <f t="shared" si="56"/>
        <v>9.5642596797045751</v>
      </c>
      <c r="Q77" s="55"/>
      <c r="R77" s="27">
        <f>SUMIF('R6'!$AF$7:$AK$7,B77,'R6'!$AF$15:$AK$15)</f>
        <v>302761.75679711433</v>
      </c>
      <c r="S77" s="55"/>
      <c r="T77" s="27">
        <f>SUMIF('R6'!$AF$7:$AK$7,B77,'R6'!$AF$16:$AK$16)</f>
        <v>406924.51889381098</v>
      </c>
      <c r="U77" s="55"/>
      <c r="V77" s="24">
        <f t="shared" si="57"/>
        <v>1.3440420058286882</v>
      </c>
      <c r="W77" s="55"/>
      <c r="X77" s="27">
        <f>SUMIF('R6'!$AF$7:$AK$7,B77,'R6'!$AF$27:$AK$27)</f>
        <v>237420.66655761871</v>
      </c>
      <c r="Y77" s="55"/>
      <c r="Z77" s="27">
        <f>SUMIF('R6'!$AF$7:$AK$7,B77,'R6'!$AF$10:$AK$10)</f>
        <v>5578375.7357485928</v>
      </c>
      <c r="AA77" s="55"/>
      <c r="AB77" s="5"/>
      <c r="AC77" s="5"/>
      <c r="AD77" s="5"/>
    </row>
    <row r="78" spans="1:30" x14ac:dyDescent="0.25">
      <c r="A78" s="95"/>
      <c r="B78" s="31">
        <v>2080</v>
      </c>
      <c r="C78" s="6">
        <f>SUMIF('R6'!$AF$7:$AK$7,B78,'R6'!$AF$17:$AK$17)</f>
        <v>16.019739999999999</v>
      </c>
      <c r="D78" s="43">
        <f>SUMIF('R6'!$AF$7:$AK$7,B78,'R6'!$AF$21:$AK$21)</f>
        <v>0.99257987162312367</v>
      </c>
      <c r="E78" s="35">
        <f>SUMIF('R6'!$AF$7:$AK$7,B78,'R6'!$AF$22:$AK$22)</f>
        <v>0.99687617775686799</v>
      </c>
      <c r="F78" s="47">
        <f t="shared" si="66"/>
        <v>1.0043284235924699</v>
      </c>
      <c r="G78" s="55"/>
      <c r="H78" s="4">
        <f>SUMIF('R6'!$AF$7:$AK$7,B78,'R6'!$AF$19:$AK$19)</f>
        <v>0.86070797642505747</v>
      </c>
      <c r="I78" s="5">
        <f>SUMIF('R6'!$AF$7:$AK$7,B78,'R6'!$AF$20:$AK$20)</f>
        <v>1</v>
      </c>
      <c r="J78" s="5">
        <f t="shared" si="67"/>
        <v>1.1618342427282835</v>
      </c>
      <c r="K78" s="55"/>
      <c r="L78" s="27">
        <f>SUMIF('R6'!$AF$7:$AK$7,B78,'R6'!$AF$11:$AK$11)</f>
        <v>1.988641786107898</v>
      </c>
      <c r="M78" s="24">
        <f>SUMIF('R6'!$AF$7:$AK$7,B78,'R6'!$AF$12:$AK$12)</f>
        <v>35.295954783753068</v>
      </c>
      <c r="N78" s="24">
        <f t="shared" si="55"/>
        <v>37.284596569860966</v>
      </c>
      <c r="O78" s="55"/>
      <c r="P78" s="40">
        <f t="shared" si="56"/>
        <v>17.748774580882717</v>
      </c>
      <c r="Q78" s="55"/>
      <c r="R78" s="27">
        <f>SUMIF('R6'!$AF$7:$AK$7,B78,'R6'!$AF$15:$AK$15)</f>
        <v>420847.23599471513</v>
      </c>
      <c r="S78" s="55"/>
      <c r="T78" s="27">
        <f>SUMIF('R6'!$AF$7:$AK$7,B78,'R6'!$AF$16:$AK$16)</f>
        <v>565636.36321379628</v>
      </c>
      <c r="U78" s="55"/>
      <c r="V78" s="24">
        <f t="shared" si="57"/>
        <v>1.3440420058286884</v>
      </c>
      <c r="W78" s="55"/>
      <c r="X78" s="27">
        <f>SUMIF('R6'!$AF$7:$AK$7,B78,'R6'!$AF$27:$AK$27)</f>
        <v>333644.70634259499</v>
      </c>
      <c r="Y78" s="55"/>
      <c r="Z78" s="27">
        <f>SUMIF('R6'!$AF$7:$AK$7,B78,'R6'!$AF$10:$AK$10)</f>
        <v>12439808.27365339</v>
      </c>
      <c r="AA78" s="55"/>
      <c r="AB78" s="5"/>
      <c r="AC78" s="5"/>
      <c r="AD78" s="5"/>
    </row>
    <row r="79" spans="1:30" ht="15.75" thickBot="1" x14ac:dyDescent="0.3">
      <c r="A79" s="96"/>
      <c r="B79" s="32">
        <v>2100</v>
      </c>
      <c r="C79" s="9">
        <f>SUMIF('R6'!$AF$7:$AK$7,B79,'R6'!$AF$17:$AK$17)</f>
        <v>16.019739999999999</v>
      </c>
      <c r="D79" s="44">
        <f>SUMIF('R6'!$AF$7:$AK$7,B79,'R6'!$AF$21:$AK$21)</f>
        <v>0.99257987162312367</v>
      </c>
      <c r="E79" s="36">
        <f>SUMIF('R6'!$AF$7:$AK$7,B79,'R6'!$AF$22:$AK$22)</f>
        <v>0.99687617775686799</v>
      </c>
      <c r="F79" s="48">
        <f t="shared" si="66"/>
        <v>1.0043284235924699</v>
      </c>
      <c r="G79" s="56"/>
      <c r="H79" s="7">
        <f>SUMIF('R6'!$AF$7:$AK$7,B79,'R6'!$AF$19:$AK$19)</f>
        <v>0.86070797642505747</v>
      </c>
      <c r="I79" s="8">
        <f>SUMIF('R6'!$AF$7:$AK$7,B79,'R6'!$AF$20:$AK$20)</f>
        <v>1</v>
      </c>
      <c r="J79" s="8">
        <f t="shared" si="67"/>
        <v>1.1618342427282835</v>
      </c>
      <c r="K79" s="56"/>
      <c r="L79" s="28">
        <f>SUMIF('R6'!$AF$7:$AK$7,B79,'R6'!$AF$11:$AK$11)</f>
        <v>1.7325223299399359</v>
      </c>
      <c r="M79" s="25">
        <f>SUMIF('R6'!$AF$7:$AK$7,B79,'R6'!$AF$12:$AK$12)</f>
        <v>57.064265151023697</v>
      </c>
      <c r="N79" s="25">
        <f t="shared" si="55"/>
        <v>58.79678748096363</v>
      </c>
      <c r="O79" s="56"/>
      <c r="P79" s="41">
        <f t="shared" si="56"/>
        <v>32.937102261188194</v>
      </c>
      <c r="Q79" s="56"/>
      <c r="R79" s="28">
        <f>SUMIF('R6'!$AF$7:$AK$7,B79,'R6'!$AF$15:$AK$15)</f>
        <v>551864.36227689253</v>
      </c>
      <c r="S79" s="56"/>
      <c r="T79" s="28">
        <f>SUMIF('R6'!$AF$7:$AK$7,B79,'R6'!$AF$16:$AK$16)</f>
        <v>741728.88442000479</v>
      </c>
      <c r="U79" s="56"/>
      <c r="V79" s="25">
        <f t="shared" si="57"/>
        <v>1.3440420058286888</v>
      </c>
      <c r="W79" s="56"/>
      <c r="X79" s="28">
        <f>SUMIF('R6'!$AF$7:$AK$7,B79,'R6'!$AF$27:$AK$27)</f>
        <v>440258.92054905329</v>
      </c>
      <c r="Y79" s="56"/>
      <c r="Z79" s="28">
        <f>SUMIF('R6'!$AF$7:$AK$7,B79,'R6'!$AF$10:$AK$10)</f>
        <v>25885810.18812114</v>
      </c>
      <c r="AA79" s="56"/>
      <c r="AB79" s="5"/>
      <c r="AC79" s="5"/>
      <c r="AD79" s="5"/>
    </row>
    <row r="80" spans="1:30" x14ac:dyDescent="0.25">
      <c r="A80" s="94" t="str">
        <f>'R6'!B1</f>
        <v>Gauteng</v>
      </c>
      <c r="B80" s="21">
        <v>2000</v>
      </c>
      <c r="C80" s="3">
        <f>SUMIF('R6'!$AF$7:$AK$7,B80,'R6'!$AF$42:$AK$42)</f>
        <v>16.019739999999999</v>
      </c>
      <c r="D80" s="42">
        <f>SUMIF('R6'!$AF$7:$AK$7,B80,'R6'!$AF$46:$AK$46)</f>
        <v>1</v>
      </c>
      <c r="E80" s="34">
        <f>SUMIF('R6'!$AF$7:$AK$7,B80,'R6'!$AF$47:$AK$47)</f>
        <v>1</v>
      </c>
      <c r="F80" s="49">
        <f t="shared" si="66"/>
        <v>1</v>
      </c>
      <c r="G80" s="57">
        <f t="shared" ref="G80:G85" si="68">(F80-$F74)/$F74</f>
        <v>0</v>
      </c>
      <c r="H80" s="1">
        <f>SUMIF('R6'!$AF$7:$AK$7,B80,'R6'!$AF$44:$AK$44)</f>
        <v>0.86070797642505747</v>
      </c>
      <c r="I80" s="2">
        <f>SUMIF('R6'!$AF$7:$AK$7,B80,'R6'!$AF$45:$AK$45)</f>
        <v>1</v>
      </c>
      <c r="J80" s="2">
        <f t="shared" si="67"/>
        <v>1.1618342427282835</v>
      </c>
      <c r="K80" s="57">
        <f t="shared" ref="K80:K85" si="69">(J80-$J74)/$J74</f>
        <v>0</v>
      </c>
      <c r="L80" s="26">
        <f>SUMIF('R6'!$AF$7:$AK$7,B80,'R6'!$AF$36:$AK$36)</f>
        <v>2.1370411467945001</v>
      </c>
      <c r="M80" s="23">
        <f>SUMIF('R6'!$AF$7:$AK$7,B80,'R6'!$AF$37:$AK$37)</f>
        <v>3.1982558270318999</v>
      </c>
      <c r="N80" s="23">
        <f t="shared" si="55"/>
        <v>5.3352969738264004</v>
      </c>
      <c r="O80" s="57"/>
      <c r="P80" s="38">
        <f t="shared" si="56"/>
        <v>1.4965813044026743</v>
      </c>
      <c r="Q80" s="57">
        <f t="shared" ref="Q80:Q85" si="70">(P80-$P74)/$P74</f>
        <v>0</v>
      </c>
      <c r="R80" s="26">
        <f>SUMIF('R6'!$AF$7:$AK$7,B80,'R6'!$AF$40:$AK$40)</f>
        <v>44533.81267978299</v>
      </c>
      <c r="S80" s="57">
        <f t="shared" ref="S80:S85" si="71">(R80-$R74)/$R74</f>
        <v>0</v>
      </c>
      <c r="T80" s="26">
        <f>SUMIF('R6'!$AF$7:$AK$7,B80,'R6'!$AF$41:$AK$41)</f>
        <v>59855.314921334641</v>
      </c>
      <c r="U80" s="57">
        <f t="shared" ref="U80:U85" si="72">(T80-$T74)/$T74</f>
        <v>0</v>
      </c>
      <c r="V80" s="23">
        <f t="shared" si="57"/>
        <v>1.344042005828689</v>
      </c>
      <c r="W80" s="57">
        <f t="shared" ref="W80:W85" si="73">(V80-$V74)/$V74</f>
        <v>0</v>
      </c>
      <c r="X80" s="26">
        <f>SUMIF('R6'!$AF$7:$AK$7,B80,'R6'!$AF$52:$AK$52)</f>
        <v>18427.262540756401</v>
      </c>
      <c r="Y80" s="57">
        <f t="shared" ref="Y80:Y85" si="74">(X80-$X74)/$X74</f>
        <v>0</v>
      </c>
      <c r="Z80" s="26">
        <f>SUMIF('R6'!$AF$7:$AK$7,B80,'R6'!$AF$35:$AK$35)</f>
        <v>171603.1190412</v>
      </c>
      <c r="AA80" s="57">
        <f t="shared" ref="AA80:AA85" si="75">(Z80-$Z74)/$Z74</f>
        <v>0</v>
      </c>
      <c r="AB80" s="5"/>
      <c r="AC80" s="5"/>
      <c r="AD80" s="5"/>
    </row>
    <row r="81" spans="1:30" x14ac:dyDescent="0.25">
      <c r="A81" s="95"/>
      <c r="B81" s="31">
        <v>2020</v>
      </c>
      <c r="C81" s="14">
        <f>SUMIF('R6'!$AF$7:$AK$7,B81,'R6'!$AF$42:$AK$42)</f>
        <v>16.511040000000001</v>
      </c>
      <c r="D81" s="43">
        <f>SUMIF('R6'!$AF$7:$AK$7,B81,'R6'!$AF$46:$AK$46)</f>
        <v>0.98300570279749855</v>
      </c>
      <c r="E81" s="35">
        <f>SUMIF('R6'!$AF$7:$AK$7,B81,'R6'!$AF$47:$AK$47)</f>
        <v>0.99977488244563673</v>
      </c>
      <c r="F81" s="50">
        <f t="shared" si="66"/>
        <v>1.0170590868398988</v>
      </c>
      <c r="G81" s="58">
        <f t="shared" si="68"/>
        <v>1.2675797028517292E-2</v>
      </c>
      <c r="H81" s="4">
        <f>SUMIF('R6'!$AF$7:$AK$7,B81,'R6'!$AF$44:$AK$44)</f>
        <v>0.88692043671715748</v>
      </c>
      <c r="I81" s="5">
        <f>SUMIF('R6'!$AF$7:$AK$7,B81,'R6'!$AF$45:$AK$45)</f>
        <v>1</v>
      </c>
      <c r="J81" s="13">
        <f t="shared" si="67"/>
        <v>1.1274968515793757</v>
      </c>
      <c r="K81" s="58">
        <f t="shared" si="69"/>
        <v>-2.9554466451492088E-2</v>
      </c>
      <c r="L81" s="27">
        <f>SUMIF('R6'!$AF$7:$AK$7,B81,'R6'!$AF$36:$AK$36)</f>
        <v>2.3651288584642529</v>
      </c>
      <c r="M81" s="24">
        <f>SUMIF('R6'!$AF$7:$AK$7,B81,'R6'!$AF$37:$AK$37)</f>
        <v>6.5972317189890139</v>
      </c>
      <c r="N81" s="24">
        <f t="shared" si="55"/>
        <v>8.9623605774532678</v>
      </c>
      <c r="O81" s="58"/>
      <c r="P81" s="39">
        <f t="shared" si="56"/>
        <v>2.7893751731027412</v>
      </c>
      <c r="Q81" s="58">
        <f t="shared" si="70"/>
        <v>4.3604462947337682E-3</v>
      </c>
      <c r="R81" s="27">
        <f>SUMIF('R6'!$AF$7:$AK$7,B81,'R6'!$AF$40:$AK$40)</f>
        <v>109694.09059044671</v>
      </c>
      <c r="S81" s="58">
        <f t="shared" si="71"/>
        <v>1.0367717472218345E-2</v>
      </c>
      <c r="T81" s="27">
        <f>SUMIF('R6'!$AF$7:$AK$7,B81,'R6'!$AF$41:$AK$41)</f>
        <v>145588.021336493</v>
      </c>
      <c r="U81" s="58">
        <f t="shared" si="72"/>
        <v>-2.279189018905507E-3</v>
      </c>
      <c r="V81" s="24">
        <f t="shared" si="57"/>
        <v>1.3272184540921141</v>
      </c>
      <c r="W81" s="58">
        <f t="shared" si="73"/>
        <v>-1.2517132398850137E-2</v>
      </c>
      <c r="X81" s="27">
        <f>SUMIF('R6'!$AF$7:$AK$7,B81,'R6'!$AF$52:$AK$52)</f>
        <v>81359.815569567771</v>
      </c>
      <c r="Y81" s="58">
        <f t="shared" si="74"/>
        <v>8.5755787197927514E-4</v>
      </c>
      <c r="Z81" s="27">
        <f>SUMIF('R6'!$AF$7:$AK$7,B81,'R6'!$AF$35:$AK$35)</f>
        <v>729176.00364956271</v>
      </c>
      <c r="AA81" s="58">
        <f t="shared" si="75"/>
        <v>6.2197168430286136E-4</v>
      </c>
      <c r="AB81" s="5"/>
      <c r="AC81" s="5"/>
      <c r="AD81" s="5"/>
    </row>
    <row r="82" spans="1:30" x14ac:dyDescent="0.25">
      <c r="A82" s="95"/>
      <c r="B82" s="31">
        <v>2040</v>
      </c>
      <c r="C82" s="6">
        <f>SUMIF('R6'!$AF$7:$AK$7,B82,'R6'!$AF$42:$AK$42)</f>
        <v>17.407769999999999</v>
      </c>
      <c r="D82" s="43">
        <f>SUMIF('R6'!$AF$7:$AK$7,B82,'R6'!$AF$46:$AK$46)</f>
        <v>0.96439833420871968</v>
      </c>
      <c r="E82" s="35">
        <f>SUMIF('R6'!$AF$7:$AK$7,B82,'R6'!$AF$47:$AK$47)</f>
        <v>0.99844694181596516</v>
      </c>
      <c r="F82" s="50">
        <f t="shared" si="66"/>
        <v>1.0353055437773875</v>
      </c>
      <c r="G82" s="58">
        <f t="shared" si="68"/>
        <v>3.0843615949962707E-2</v>
      </c>
      <c r="H82" s="4">
        <f>SUMIF('R6'!$AF$7:$AK$7,B82,'R6'!$AF$44:$AK$44)</f>
        <v>0.92311634638663587</v>
      </c>
      <c r="I82" s="5">
        <f>SUMIF('R6'!$AF$7:$AK$7,B82,'R6'!$AF$45:$AK$45)</f>
        <v>1</v>
      </c>
      <c r="J82" s="5">
        <f t="shared" si="67"/>
        <v>1.0832870676749584</v>
      </c>
      <c r="K82" s="58">
        <f t="shared" si="69"/>
        <v>-6.7606180094052198E-2</v>
      </c>
      <c r="L82" s="27">
        <f>SUMIF('R6'!$AF$7:$AK$7,B82,'R6'!$AF$36:$AK$36)</f>
        <v>2.358803928667331</v>
      </c>
      <c r="M82" s="24">
        <f>SUMIF('R6'!$AF$7:$AK$7,B82,'R6'!$AF$37:$AK$37)</f>
        <v>12.278014561219541</v>
      </c>
      <c r="N82" s="24">
        <f t="shared" si="55"/>
        <v>14.636818489886872</v>
      </c>
      <c r="O82" s="58"/>
      <c r="P82" s="40">
        <f t="shared" si="56"/>
        <v>5.2051865829120993</v>
      </c>
      <c r="Q82" s="58">
        <f t="shared" si="70"/>
        <v>9.9548451638794781E-3</v>
      </c>
      <c r="R82" s="27">
        <f>SUMIF('R6'!$AF$7:$AK$7,B82,'R6'!$AF$40:$AK$40)</f>
        <v>201802.02048236891</v>
      </c>
      <c r="S82" s="58">
        <f t="shared" si="71"/>
        <v>2.477399508280002E-2</v>
      </c>
      <c r="T82" s="27">
        <f>SUMIF('R6'!$AF$7:$AK$7,B82,'R6'!$AF$41:$AK$41)</f>
        <v>263114.97514533828</v>
      </c>
      <c r="U82" s="58">
        <f t="shared" si="72"/>
        <v>-5.8880132478387271E-3</v>
      </c>
      <c r="V82" s="24">
        <f t="shared" si="57"/>
        <v>1.3038272585993567</v>
      </c>
      <c r="W82" s="58">
        <f t="shared" si="73"/>
        <v>-2.9920751773332536E-2</v>
      </c>
      <c r="X82" s="27">
        <f>SUMIF('R6'!$AF$7:$AK$7,B82,'R6'!$AF$52:$AK$52)</f>
        <v>151040.07329375579</v>
      </c>
      <c r="Y82" s="58">
        <f t="shared" si="74"/>
        <v>-3.959631253112085E-3</v>
      </c>
      <c r="Z82" s="27">
        <f>SUMIF('R6'!$AF$7:$AK$7,B82,'R6'!$AF$35:$AK$35)</f>
        <v>2210746.1374999122</v>
      </c>
      <c r="AA82" s="58">
        <f t="shared" si="75"/>
        <v>-4.5559717803818527E-3</v>
      </c>
      <c r="AB82" s="5"/>
      <c r="AC82" s="5"/>
      <c r="AD82" s="5"/>
    </row>
    <row r="83" spans="1:30" x14ac:dyDescent="0.25">
      <c r="A83" s="95"/>
      <c r="B83" s="31">
        <v>2060</v>
      </c>
      <c r="C83" s="6">
        <f>SUMIF('R6'!$AF$7:$AK$7,B83,'R6'!$AF$42:$AK$42)</f>
        <v>18.60061</v>
      </c>
      <c r="D83" s="43">
        <f>SUMIF('R6'!$AF$7:$AK$7,B83,'R6'!$AF$46:$AK$46)</f>
        <v>0.93231395090361513</v>
      </c>
      <c r="E83" s="35">
        <f>SUMIF('R6'!$AF$7:$AK$7,B83,'R6'!$AF$47:$AK$47)</f>
        <v>0.98848865179879042</v>
      </c>
      <c r="F83" s="50">
        <f t="shared" si="66"/>
        <v>1.0602529875700453</v>
      </c>
      <c r="G83" s="58">
        <f t="shared" si="68"/>
        <v>5.568354202058122E-2</v>
      </c>
      <c r="H83" s="4">
        <f>SUMIF('R6'!$AF$7:$AK$7,B83,'R6'!$AF$44:$AK$44)</f>
        <v>0.96078943915232329</v>
      </c>
      <c r="I83" s="5">
        <f>SUMIF('R6'!$AF$7:$AK$7,B83,'R6'!$AF$45:$AK$45)</f>
        <v>1</v>
      </c>
      <c r="J83" s="5">
        <f t="shared" si="67"/>
        <v>1.0408107741923882</v>
      </c>
      <c r="K83" s="58">
        <f t="shared" si="69"/>
        <v>-0.10416586470347206</v>
      </c>
      <c r="L83" s="27">
        <f>SUMIF('R6'!$AF$7:$AK$7,B83,'R6'!$AF$36:$AK$36)</f>
        <v>2.1941344234210889</v>
      </c>
      <c r="M83" s="24">
        <f>SUMIF('R6'!$AF$7:$AK$7,B83,'R6'!$AF$37:$AK$37)</f>
        <v>21.28012872536895</v>
      </c>
      <c r="N83" s="24">
        <f t="shared" si="55"/>
        <v>23.47426314879004</v>
      </c>
      <c r="O83" s="58"/>
      <c r="P83" s="40">
        <f t="shared" si="56"/>
        <v>9.6986440293794889</v>
      </c>
      <c r="Q83" s="58">
        <f t="shared" si="70"/>
        <v>1.4050679736360386E-2</v>
      </c>
      <c r="R83" s="27">
        <f>SUMIF('R6'!$AF$7:$AK$7,B83,'R6'!$AF$40:$AK$40)</f>
        <v>314505.16006426449</v>
      </c>
      <c r="S83" s="58">
        <f t="shared" si="71"/>
        <v>3.8787604456330366E-2</v>
      </c>
      <c r="T83" s="27">
        <f>SUMIF('R6'!$AF$7:$AK$7,B83,'R6'!$AF$41:$AK$41)</f>
        <v>400411.79894420091</v>
      </c>
      <c r="U83" s="58">
        <f t="shared" si="72"/>
        <v>-1.6004737112706627E-2</v>
      </c>
      <c r="V83" s="24">
        <f t="shared" si="57"/>
        <v>1.2731485831977531</v>
      </c>
      <c r="W83" s="58">
        <f t="shared" si="73"/>
        <v>-5.2746433759876921E-2</v>
      </c>
      <c r="X83" s="27">
        <f>SUMIF('R6'!$AF$7:$AK$7,B83,'R6'!$AF$52:$AK$52)</f>
        <v>231728.35422847781</v>
      </c>
      <c r="Y83" s="58">
        <f t="shared" si="74"/>
        <v>-2.3975639575417727E-2</v>
      </c>
      <c r="Z83" s="27">
        <f>SUMIF('R6'!$AF$7:$AK$7,B83,'R6'!$AF$35:$AK$35)</f>
        <v>5439652.366195322</v>
      </c>
      <c r="AA83" s="58">
        <f t="shared" si="75"/>
        <v>-2.486805767927619E-2</v>
      </c>
      <c r="AB83" s="5"/>
      <c r="AC83" s="5"/>
      <c r="AD83" s="5"/>
    </row>
    <row r="84" spans="1:30" x14ac:dyDescent="0.25">
      <c r="A84" s="95"/>
      <c r="B84" s="31">
        <v>2080</v>
      </c>
      <c r="C84" s="6">
        <f>SUMIF('R6'!$AF$7:$AK$7,B84,'R6'!$AF$42:$AK$42)</f>
        <v>19.922999999999998</v>
      </c>
      <c r="D84" s="43">
        <f>SUMIF('R6'!$AF$7:$AK$7,B84,'R6'!$AF$46:$AK$46)</f>
        <v>0.88225365744265238</v>
      </c>
      <c r="E84" s="35">
        <f>SUMIF('R6'!$AF$7:$AK$7,B84,'R6'!$AF$47:$AK$47)</f>
        <v>0.96476277921532627</v>
      </c>
      <c r="F84" s="50">
        <f t="shared" si="66"/>
        <v>1.0935208611226834</v>
      </c>
      <c r="G84" s="58">
        <f t="shared" si="68"/>
        <v>8.880803872021599E-2</v>
      </c>
      <c r="H84" s="4">
        <f>SUMIF('R6'!$AF$7:$AK$7,B84,'R6'!$AF$44:$AK$44)</f>
        <v>0.99004983374916744</v>
      </c>
      <c r="I84" s="5">
        <f>SUMIF('R6'!$AF$7:$AK$7,B84,'R6'!$AF$45:$AK$45)</f>
        <v>1</v>
      </c>
      <c r="J84" s="5">
        <f t="shared" si="67"/>
        <v>1.0100501670841686</v>
      </c>
      <c r="K84" s="58">
        <f t="shared" si="69"/>
        <v>-0.13064176460119398</v>
      </c>
      <c r="L84" s="27">
        <f>SUMIF('R6'!$AF$7:$AK$7,B84,'R6'!$AF$36:$AK$36)</f>
        <v>1.960803793746442</v>
      </c>
      <c r="M84" s="24">
        <f>SUMIF('R6'!$AF$7:$AK$7,B84,'R6'!$AF$37:$AK$37)</f>
        <v>35.282958135770699</v>
      </c>
      <c r="N84" s="24">
        <f t="shared" si="55"/>
        <v>37.243761929517142</v>
      </c>
      <c r="O84" s="58"/>
      <c r="P84" s="40">
        <f t="shared" si="56"/>
        <v>17.99412988096924</v>
      </c>
      <c r="Q84" s="58">
        <f t="shared" si="70"/>
        <v>1.3823788170187028E-2</v>
      </c>
      <c r="R84" s="27">
        <f>SUMIF('R6'!$AF$7:$AK$7,B84,'R6'!$AF$40:$AK$40)</f>
        <v>440453.14539247059</v>
      </c>
      <c r="S84" s="58">
        <f t="shared" si="71"/>
        <v>4.6586760517542437E-2</v>
      </c>
      <c r="T84" s="27">
        <f>SUMIF('R6'!$AF$7:$AK$7,B84,'R6'!$AF$41:$AK$41)</f>
        <v>543702.38642127661</v>
      </c>
      <c r="U84" s="58">
        <f t="shared" si="72"/>
        <v>-3.8777522484404331E-2</v>
      </c>
      <c r="V84" s="24">
        <f t="shared" si="57"/>
        <v>1.2344159466424167</v>
      </c>
      <c r="W84" s="58">
        <f t="shared" si="73"/>
        <v>-8.1564459080042034E-2</v>
      </c>
      <c r="X84" s="27">
        <f>SUMIF('R6'!$AF$7:$AK$7,B84,'R6'!$AF$52:$AK$52)</f>
        <v>310431.73387874931</v>
      </c>
      <c r="Y84" s="58">
        <f t="shared" si="74"/>
        <v>-6.9573927062430305E-2</v>
      </c>
      <c r="Z84" s="27">
        <f>SUMIF('R6'!$AF$7:$AK$7,B84,'R6'!$AF$35:$AK$35)</f>
        <v>11561645.59194736</v>
      </c>
      <c r="AA84" s="58">
        <f t="shared" si="75"/>
        <v>-7.0592943427103663E-2</v>
      </c>
      <c r="AB84" s="5"/>
      <c r="AC84" s="5"/>
      <c r="AD84" s="5"/>
    </row>
    <row r="85" spans="1:30" ht="15.75" thickBot="1" x14ac:dyDescent="0.3">
      <c r="A85" s="96"/>
      <c r="B85" s="32">
        <v>2100</v>
      </c>
      <c r="C85" s="9">
        <f>SUMIF('R6'!$AF$7:$AK$7,B85,'R6'!$AF$42:$AK$42)</f>
        <v>21.237359999999999</v>
      </c>
      <c r="D85" s="44">
        <f>SUMIF('R6'!$AF$7:$AK$7,B85,'R6'!$AF$46:$AK$46)</f>
        <v>0.83241565308735976</v>
      </c>
      <c r="E85" s="36">
        <f>SUMIF('R6'!$AF$7:$AK$7,B85,'R6'!$AF$47:$AK$47)</f>
        <v>0.93581367348848743</v>
      </c>
      <c r="F85" s="51">
        <f t="shared" si="66"/>
        <v>1.1242144114152985</v>
      </c>
      <c r="G85" s="59">
        <f t="shared" si="68"/>
        <v>0.11936930689863184</v>
      </c>
      <c r="H85" s="7">
        <f>SUMIF('R6'!$AF$7:$AK$7,B85,'R6'!$AF$44:$AK$44)</f>
        <v>1</v>
      </c>
      <c r="I85" s="8">
        <f>SUMIF('R6'!$AF$7:$AK$7,B85,'R6'!$AF$45:$AK$45)</f>
        <v>1</v>
      </c>
      <c r="J85" s="8">
        <f t="shared" si="67"/>
        <v>1</v>
      </c>
      <c r="K85" s="59">
        <f t="shared" si="69"/>
        <v>-0.13929202357494247</v>
      </c>
      <c r="L85" s="28">
        <f>SUMIF('R6'!$AF$7:$AK$7,B85,'R6'!$AF$36:$AK$36)</f>
        <v>1.7149393441669001</v>
      </c>
      <c r="M85" s="25">
        <f>SUMIF('R6'!$AF$7:$AK$7,B85,'R6'!$AF$37:$AK$37)</f>
        <v>57.013387624548059</v>
      </c>
      <c r="N85" s="25">
        <f t="shared" si="55"/>
        <v>58.72832696871496</v>
      </c>
      <c r="O85" s="59"/>
      <c r="P85" s="41">
        <f t="shared" si="56"/>
        <v>33.245133606894171</v>
      </c>
      <c r="Q85" s="59">
        <f t="shared" si="70"/>
        <v>9.352108247511183E-3</v>
      </c>
      <c r="R85" s="33">
        <f>SUMIF('R6'!$AF$7:$AK$7,B85,'R6'!$AF$40:$AK$40)</f>
        <v>577000.98128180858</v>
      </c>
      <c r="S85" s="59">
        <f t="shared" si="71"/>
        <v>4.5548545481731977E-2</v>
      </c>
      <c r="T85" s="28">
        <f>SUMIF('R6'!$AF$7:$AK$7,B85,'R6'!$AF$41:$AK$41)</f>
        <v>692812.95410519303</v>
      </c>
      <c r="U85" s="59">
        <f t="shared" si="72"/>
        <v>-6.5948530982532241E-2</v>
      </c>
      <c r="V85" s="25">
        <f t="shared" si="57"/>
        <v>1.2007136496823765</v>
      </c>
      <c r="W85" s="59">
        <f t="shared" si="73"/>
        <v>-0.10663978917678331</v>
      </c>
      <c r="X85" s="28">
        <f>SUMIF('R6'!$AF$7:$AK$7,B85,'R6'!$AF$52:$AK$52)</f>
        <v>386062.13087180041</v>
      </c>
      <c r="Y85" s="59">
        <f t="shared" si="74"/>
        <v>-0.12310208186051806</v>
      </c>
      <c r="Z85" s="28">
        <f>SUMIF('R6'!$AF$7:$AK$7,B85,'R6'!$AF$35:$AK$35)</f>
        <v>22672783.052077919</v>
      </c>
      <c r="AA85" s="59">
        <f t="shared" si="75"/>
        <v>-0.1241231050020471</v>
      </c>
      <c r="AB85" s="5"/>
      <c r="AC85" s="5"/>
      <c r="AD85" s="5"/>
    </row>
    <row r="86" spans="1:30" x14ac:dyDescent="0.25">
      <c r="A86" s="103" t="s">
        <v>6</v>
      </c>
      <c r="B86" s="21">
        <v>2000</v>
      </c>
      <c r="C86" s="3">
        <f>SUMIF('R7'!$AF$7:$AK$7,B86,'R7'!$AF$17:$AK$17)</f>
        <v>18.701260000000001</v>
      </c>
      <c r="D86" s="42">
        <f>SUMIF('R7'!$AF$7:$AK$7,B86,'R7'!$AF$21:$AK$21)</f>
        <v>1</v>
      </c>
      <c r="E86" s="34">
        <f>SUMIF('R7'!$AF$7:$AK$7,B86,'R7'!$AF$22:$AK$22)</f>
        <v>1</v>
      </c>
      <c r="F86" s="45">
        <f>E86/D86</f>
        <v>1</v>
      </c>
      <c r="G86" s="53"/>
      <c r="H86" s="1">
        <f>SUMIF('R7'!$AF$7:$AK$7,B86,'R7'!$AF$19:$AK$19)</f>
        <v>0.97044553354850793</v>
      </c>
      <c r="I86" s="2">
        <f>SUMIF('R7'!$AF$7:$AK$7,B86,'R7'!$AF$20:$AK$20)</f>
        <v>1</v>
      </c>
      <c r="J86" s="2">
        <f>I86/H86</f>
        <v>1.0304545339535172</v>
      </c>
      <c r="K86" s="53"/>
      <c r="L86" s="26">
        <f>SUMIF('R7'!$AF$7:$AK$7,B86,'R7'!$AF$11:$AK$11)</f>
        <v>0.82533526478849994</v>
      </c>
      <c r="M86" s="24">
        <f>SUMIF('R7'!$AF$7:$AK$7,B86,'R7'!$AF$12:$AK$12)</f>
        <v>1.2351813271467</v>
      </c>
      <c r="N86" s="23">
        <f t="shared" si="55"/>
        <v>2.0605165919352002</v>
      </c>
      <c r="O86" s="53"/>
      <c r="P86" s="38">
        <f t="shared" si="56"/>
        <v>1.4965813044026746</v>
      </c>
      <c r="Q86" s="53"/>
      <c r="R86" s="26">
        <f>SUMIF('R7'!$AF$7:$AK$7,B86,'R7'!$AF$15:$AK$15)</f>
        <v>46414.168855270647</v>
      </c>
      <c r="S86" s="53"/>
      <c r="T86" s="26">
        <f>SUMIF('R7'!$AF$7:$AK$7,B86,'R7'!$AF$16:$AK$16)</f>
        <v>59092.133318389097</v>
      </c>
      <c r="U86" s="53"/>
      <c r="V86" s="23">
        <f t="shared" si="57"/>
        <v>1.2731485831977529</v>
      </c>
      <c r="W86" s="53"/>
      <c r="X86" s="26">
        <f>SUMIF('R7'!$AF$7:$AK$7,B86,'R7'!$AF$27:$AK$27)</f>
        <v>18427.262540756401</v>
      </c>
      <c r="Y86" s="53"/>
      <c r="Z86" s="26">
        <f>SUMIF('R7'!$AF$7:$AK$7,B86,'R7'!$AF$10:$AK$10)</f>
        <v>66273.9254716</v>
      </c>
      <c r="AA86" s="53"/>
      <c r="AB86" s="5"/>
      <c r="AC86" s="5"/>
      <c r="AD86" s="5"/>
    </row>
    <row r="87" spans="1:30" s="10" customFormat="1" x14ac:dyDescent="0.25">
      <c r="A87" s="104"/>
      <c r="B87" s="31">
        <v>2020</v>
      </c>
      <c r="C87" s="14">
        <f>SUMIF('R7'!$AF$7:$AK$7,B87,'R7'!$AF$17:$AK$17)</f>
        <v>18.701260000000001</v>
      </c>
      <c r="D87" s="43">
        <f>SUMIF('R7'!$AF$7:$AK$7,B87,'R7'!$AF$21:$AK$21)</f>
        <v>0.93231395090361513</v>
      </c>
      <c r="E87" s="35">
        <f>SUMIF('R7'!$AF$7:$AK$7,B87,'R7'!$AF$22:$AK$22)</f>
        <v>0.98848865179879042</v>
      </c>
      <c r="F87" s="46">
        <f t="shared" ref="F87:F97" si="76">E87/D87</f>
        <v>1.0602529875700453</v>
      </c>
      <c r="G87" s="54"/>
      <c r="H87" s="4">
        <f>SUMIF('R7'!$AF$7:$AK$7,B87,'R7'!$AF$19:$AK$19)</f>
        <v>0.97044553354850793</v>
      </c>
      <c r="I87" s="5">
        <f>SUMIF('R7'!$AF$7:$AK$7,B87,'R7'!$AF$20:$AK$20)</f>
        <v>1</v>
      </c>
      <c r="J87" s="5">
        <f t="shared" ref="J87:J97" si="77">I87/H87</f>
        <v>1.0304545339535172</v>
      </c>
      <c r="K87" s="55"/>
      <c r="L87" s="27">
        <f>SUMIF('R7'!$AF$7:$AK$7,B87,'R7'!$AF$11:$AK$11)</f>
        <v>0.91656803520009766</v>
      </c>
      <c r="M87" s="24">
        <f>SUMIF('R7'!$AF$7:$AK$7,B87,'R7'!$AF$12:$AK$12)</f>
        <v>2.545552377414563</v>
      </c>
      <c r="N87" s="24">
        <f t="shared" si="55"/>
        <v>3.4621204126146607</v>
      </c>
      <c r="O87" s="55"/>
      <c r="P87" s="39">
        <f t="shared" si="56"/>
        <v>2.7772650579712161</v>
      </c>
      <c r="Q87" s="55"/>
      <c r="R87" s="27">
        <f>SUMIF('R7'!$AF$7:$AK$7,B87,'R7'!$AF$15:$AK$15)</f>
        <v>110519.97821770579</v>
      </c>
      <c r="S87" s="55"/>
      <c r="T87" s="27">
        <f>SUMIF('R7'!$AF$7:$AK$7,B87,'R7'!$AF$16:$AK$16)</f>
        <v>140708.35368291859</v>
      </c>
      <c r="U87" s="55"/>
      <c r="V87" s="24">
        <f t="shared" si="57"/>
        <v>1.2731485831977525</v>
      </c>
      <c r="W87" s="55"/>
      <c r="X87" s="27">
        <f>SUMIF('R7'!$AF$7:$AK$7,B87,'R7'!$AF$27:$AK$27)</f>
        <v>77726.913338533879</v>
      </c>
      <c r="Y87" s="55"/>
      <c r="Z87" s="27">
        <f>SUMIF('R7'!$AF$7:$AK$7,B87,'R7'!$AF$10:$AK$10)</f>
        <v>269099.93327886891</v>
      </c>
      <c r="AA87" s="55"/>
      <c r="AB87" s="13"/>
      <c r="AC87" s="13"/>
      <c r="AD87" s="13"/>
    </row>
    <row r="88" spans="1:30" x14ac:dyDescent="0.25">
      <c r="A88" s="104"/>
      <c r="B88" s="31">
        <v>2040</v>
      </c>
      <c r="C88" s="6">
        <f>SUMIF('R7'!$AF$7:$AK$7,B88,'R7'!$AF$17:$AK$17)</f>
        <v>18.701260000000001</v>
      </c>
      <c r="D88" s="43">
        <f>SUMIF('R7'!$AF$7:$AK$7,B88,'R7'!$AF$21:$AK$21)</f>
        <v>0.93231395090361513</v>
      </c>
      <c r="E88" s="35">
        <f>SUMIF('R7'!$AF$7:$AK$7,B88,'R7'!$AF$22:$AK$22)</f>
        <v>0.98848865179879042</v>
      </c>
      <c r="F88" s="47">
        <f t="shared" si="76"/>
        <v>1.0602529875700453</v>
      </c>
      <c r="G88" s="55"/>
      <c r="H88" s="4">
        <f>SUMIF('R7'!$AF$7:$AK$7,B88,'R7'!$AF$19:$AK$19)</f>
        <v>0.97044553354850793</v>
      </c>
      <c r="I88" s="5">
        <f>SUMIF('R7'!$AF$7:$AK$7,B88,'R7'!$AF$20:$AK$20)</f>
        <v>1</v>
      </c>
      <c r="J88" s="5">
        <f t="shared" si="77"/>
        <v>1.0304545339535172</v>
      </c>
      <c r="K88" s="55"/>
      <c r="L88" s="27">
        <f>SUMIF('R7'!$AF$7:$AK$7,B88,'R7'!$AF$11:$AK$11)</f>
        <v>0.91912640151194525</v>
      </c>
      <c r="M88" s="24">
        <f>SUMIF('R7'!$AF$7:$AK$7,B88,'R7'!$AF$12:$AK$12)</f>
        <v>4.7370676382803527</v>
      </c>
      <c r="N88" s="24">
        <f t="shared" si="55"/>
        <v>5.6561940397922976</v>
      </c>
      <c r="O88" s="55"/>
      <c r="P88" s="40">
        <f t="shared" si="56"/>
        <v>5.1538805005361263</v>
      </c>
      <c r="Q88" s="55"/>
      <c r="R88" s="27">
        <f>SUMIF('R7'!$AF$7:$AK$7,B88,'R7'!$AF$15:$AK$15)</f>
        <v>203428.17633565419</v>
      </c>
      <c r="S88" s="55"/>
      <c r="T88" s="27">
        <f>SUMIF('R7'!$AF$7:$AK$7,B88,'R7'!$AF$16:$AK$16)</f>
        <v>258994.2944842407</v>
      </c>
      <c r="U88" s="55"/>
      <c r="V88" s="24">
        <f t="shared" si="57"/>
        <v>1.2731485831977525</v>
      </c>
      <c r="W88" s="55"/>
      <c r="X88" s="27">
        <f>SUMIF('R7'!$AF$7:$AK$7,B88,'R7'!$AF$27:$AK$27)</f>
        <v>147138.2742633879</v>
      </c>
      <c r="Y88" s="55"/>
      <c r="Z88" s="27">
        <f>SUMIF('R7'!$AF$7:$AK$7,B88,'R7'!$AF$10:$AK$10)</f>
        <v>832242.62991389912</v>
      </c>
      <c r="AA88" s="55"/>
      <c r="AB88" s="5"/>
      <c r="AC88" s="5"/>
      <c r="AD88" s="5"/>
    </row>
    <row r="89" spans="1:30" x14ac:dyDescent="0.25">
      <c r="A89" s="104"/>
      <c r="B89" s="31">
        <v>2060</v>
      </c>
      <c r="C89" s="6">
        <f>SUMIF('R7'!$AF$7:$AK$7,B89,'R7'!$AF$17:$AK$17)</f>
        <v>18.701260000000001</v>
      </c>
      <c r="D89" s="43">
        <f>SUMIF('R7'!$AF$7:$AK$7,B89,'R7'!$AF$21:$AK$21)</f>
        <v>0.93231395090361513</v>
      </c>
      <c r="E89" s="35">
        <f>SUMIF('R7'!$AF$7:$AK$7,B89,'R7'!$AF$22:$AK$22)</f>
        <v>0.98848865179879042</v>
      </c>
      <c r="F89" s="47">
        <f t="shared" si="76"/>
        <v>1.0602529875700453</v>
      </c>
      <c r="G89" s="55"/>
      <c r="H89" s="4">
        <f>SUMIF('R7'!$AF$7:$AK$7,B89,'R7'!$AF$19:$AK$19)</f>
        <v>0.97044553354850793</v>
      </c>
      <c r="I89" s="5">
        <f>SUMIF('R7'!$AF$7:$AK$7,B89,'R7'!$AF$20:$AK$20)</f>
        <v>1</v>
      </c>
      <c r="J89" s="5">
        <f t="shared" si="77"/>
        <v>1.0304545339535172</v>
      </c>
      <c r="K89" s="55"/>
      <c r="L89" s="27">
        <f>SUMIF('R7'!$AF$7:$AK$7,B89,'R7'!$AF$11:$AK$11)</f>
        <v>0.85894962210093528</v>
      </c>
      <c r="M89" s="24">
        <f>SUMIF('R7'!$AF$7:$AK$7,B89,'R7'!$AF$12:$AK$12)</f>
        <v>8.215217237557459</v>
      </c>
      <c r="N89" s="24">
        <f t="shared" si="55"/>
        <v>9.0741668596583942</v>
      </c>
      <c r="O89" s="55"/>
      <c r="P89" s="40">
        <f t="shared" si="56"/>
        <v>9.5642596797045769</v>
      </c>
      <c r="Q89" s="55"/>
      <c r="R89" s="27">
        <f>SUMIF('R7'!$AF$7:$AK$7,B89,'R7'!$AF$15:$AK$15)</f>
        <v>315681.46857163479</v>
      </c>
      <c r="S89" s="55"/>
      <c r="T89" s="27">
        <f>SUMIF('R7'!$AF$7:$AK$7,B89,'R7'!$AF$16:$AK$16)</f>
        <v>401909.41445376311</v>
      </c>
      <c r="U89" s="55"/>
      <c r="V89" s="24">
        <f t="shared" si="57"/>
        <v>1.2731485831977538</v>
      </c>
      <c r="W89" s="55"/>
      <c r="X89" s="27">
        <f>SUMIF('R7'!$AF$7:$AK$7,B89,'R7'!$AF$27:$AK$27)</f>
        <v>232521.60422127001</v>
      </c>
      <c r="Y89" s="55"/>
      <c r="Z89" s="27">
        <f>SUMIF('R7'!$AF$7:$AK$7,B89,'R7'!$AF$10:$AK$10)</f>
        <v>2109939.835179253</v>
      </c>
      <c r="AA89" s="55"/>
      <c r="AB89" s="5"/>
      <c r="AC89" s="5"/>
      <c r="AD89" s="5"/>
    </row>
    <row r="90" spans="1:30" x14ac:dyDescent="0.25">
      <c r="A90" s="104"/>
      <c r="B90" s="31">
        <v>2080</v>
      </c>
      <c r="C90" s="6">
        <f>SUMIF('R7'!$AF$7:$AK$7,B90,'R7'!$AF$17:$AK$17)</f>
        <v>18.701260000000001</v>
      </c>
      <c r="D90" s="43">
        <f>SUMIF('R7'!$AF$7:$AK$7,B90,'R7'!$AF$21:$AK$21)</f>
        <v>0.93231395090361513</v>
      </c>
      <c r="E90" s="35">
        <f>SUMIF('R7'!$AF$7:$AK$7,B90,'R7'!$AF$22:$AK$22)</f>
        <v>0.98848865179879042</v>
      </c>
      <c r="F90" s="47">
        <f t="shared" si="76"/>
        <v>1.0602529875700453</v>
      </c>
      <c r="G90" s="55"/>
      <c r="H90" s="4">
        <f>SUMIF('R7'!$AF$7:$AK$7,B90,'R7'!$AF$19:$AK$19)</f>
        <v>0.97044553354850793</v>
      </c>
      <c r="I90" s="5">
        <f>SUMIF('R7'!$AF$7:$AK$7,B90,'R7'!$AF$20:$AK$20)</f>
        <v>1</v>
      </c>
      <c r="J90" s="5">
        <f t="shared" si="77"/>
        <v>1.0304545339535172</v>
      </c>
      <c r="K90" s="55"/>
      <c r="L90" s="27">
        <f>SUMIF('R7'!$AF$7:$AK$7,B90,'R7'!$AF$11:$AK$11)</f>
        <v>0.76802273908891994</v>
      </c>
      <c r="M90" s="24">
        <f>SUMIF('R7'!$AF$7:$AK$7,B90,'R7'!$AF$12:$AK$12)</f>
        <v>13.63146246908134</v>
      </c>
      <c r="N90" s="24">
        <f t="shared" si="55"/>
        <v>14.39948520817026</v>
      </c>
      <c r="O90" s="55"/>
      <c r="P90" s="40">
        <f t="shared" si="56"/>
        <v>17.748774580882714</v>
      </c>
      <c r="Q90" s="55"/>
      <c r="R90" s="27">
        <f>SUMIF('R7'!$AF$7:$AK$7,B90,'R7'!$AF$15:$AK$15)</f>
        <v>441222.3009654975</v>
      </c>
      <c r="S90" s="55"/>
      <c r="T90" s="27">
        <f>SUMIF('R7'!$AF$7:$AK$7,B90,'R7'!$AF$16:$AK$16)</f>
        <v>561741.54734947579</v>
      </c>
      <c r="U90" s="55"/>
      <c r="V90" s="24">
        <f t="shared" si="57"/>
        <v>1.2731485831977531</v>
      </c>
      <c r="W90" s="55"/>
      <c r="X90" s="27">
        <f>SUMIF('R7'!$AF$7:$AK$7,B90,'R7'!$AF$27:$AK$27)</f>
        <v>328559.42785221792</v>
      </c>
      <c r="Y90" s="55"/>
      <c r="Z90" s="27">
        <f>SUMIF('R7'!$AF$7:$AK$7,B90,'R7'!$AF$10:$AK$10)</f>
        <v>4731086.6213628966</v>
      </c>
      <c r="AA90" s="55"/>
      <c r="AB90" s="5"/>
      <c r="AC90" s="5"/>
      <c r="AD90" s="5"/>
    </row>
    <row r="91" spans="1:30" ht="15.75" thickBot="1" x14ac:dyDescent="0.3">
      <c r="A91" s="105"/>
      <c r="B91" s="32">
        <v>2100</v>
      </c>
      <c r="C91" s="9">
        <f>SUMIF('R7'!$AF$7:$AK$7,B91,'R7'!$AF$17:$AK$17)</f>
        <v>18.701260000000001</v>
      </c>
      <c r="D91" s="44">
        <f>SUMIF('R7'!$AF$7:$AK$7,B91,'R7'!$AF$21:$AK$21)</f>
        <v>0.93231395090361513</v>
      </c>
      <c r="E91" s="36">
        <f>SUMIF('R7'!$AF$7:$AK$7,B91,'R7'!$AF$22:$AK$22)</f>
        <v>0.98848865179879042</v>
      </c>
      <c r="F91" s="48">
        <f t="shared" si="76"/>
        <v>1.0602529875700453</v>
      </c>
      <c r="G91" s="56"/>
      <c r="H91" s="7">
        <f>SUMIF('R7'!$AF$7:$AK$7,B91,'R7'!$AF$19:$AK$19)</f>
        <v>0.97044553354850793</v>
      </c>
      <c r="I91" s="8">
        <f>SUMIF('R7'!$AF$7:$AK$7,B91,'R7'!$AF$20:$AK$20)</f>
        <v>1</v>
      </c>
      <c r="J91" s="8">
        <f t="shared" si="77"/>
        <v>1.0304545339535172</v>
      </c>
      <c r="K91" s="56"/>
      <c r="L91" s="28">
        <f>SUMIF('R7'!$AF$7:$AK$7,B91,'R7'!$AF$11:$AK$11)</f>
        <v>0.66910820976834895</v>
      </c>
      <c r="M91" s="25">
        <f>SUMIF('R7'!$AF$7:$AK$7,B91,'R7'!$AF$12:$AK$12)</f>
        <v>22.038485528940669</v>
      </c>
      <c r="N91" s="25">
        <f t="shared" si="55"/>
        <v>22.707593738709019</v>
      </c>
      <c r="O91" s="56"/>
      <c r="P91" s="41">
        <f t="shared" si="56"/>
        <v>32.937102261188194</v>
      </c>
      <c r="Q91" s="56"/>
      <c r="R91" s="28">
        <f>SUMIF('R7'!$AF$7:$AK$7,B91,'R7'!$AF$15:$AK$15)</f>
        <v>580388.66046277736</v>
      </c>
      <c r="S91" s="56"/>
      <c r="T91" s="28">
        <f>SUMIF('R7'!$AF$7:$AK$7,B91,'R7'!$AF$16:$AK$16)</f>
        <v>738921.00077222695</v>
      </c>
      <c r="U91" s="56"/>
      <c r="V91" s="25">
        <f t="shared" si="57"/>
        <v>1.2731485831977534</v>
      </c>
      <c r="W91" s="56"/>
      <c r="X91" s="28">
        <f>SUMIF('R7'!$AF$7:$AK$7,B91,'R7'!$AF$27:$AK$27)</f>
        <v>434902.04771889932</v>
      </c>
      <c r="Y91" s="56"/>
      <c r="Z91" s="28">
        <f>SUMIF('R7'!$AF$7:$AK$7,B91,'R7'!$AF$10:$AK$10)</f>
        <v>9875579.0157334059</v>
      </c>
      <c r="AA91" s="56"/>
      <c r="AB91" s="5"/>
      <c r="AC91" s="5"/>
      <c r="AD91" s="5"/>
    </row>
    <row r="92" spans="1:30" x14ac:dyDescent="0.25">
      <c r="A92" s="103" t="str">
        <f>'R7'!B1</f>
        <v>Mpumalanga</v>
      </c>
      <c r="B92" s="21">
        <v>2000</v>
      </c>
      <c r="C92" s="3">
        <f>SUMIF('R7'!$AF$7:$AK$7,B92,'R7'!$AF$42:$AK$42)</f>
        <v>18.701260000000001</v>
      </c>
      <c r="D92" s="42">
        <f>SUMIF('R7'!$AF$7:$AK$7,B92,'R7'!$AF$46:$AK$46)</f>
        <v>1</v>
      </c>
      <c r="E92" s="34">
        <f>SUMIF('R7'!$AF$7:$AK$7,B92,'R7'!$AF$47:$AK$47)</f>
        <v>1</v>
      </c>
      <c r="F92" s="49">
        <f t="shared" si="76"/>
        <v>1</v>
      </c>
      <c r="G92" s="57">
        <f t="shared" ref="G92:G97" si="78">(F92-$F86)/$F86</f>
        <v>0</v>
      </c>
      <c r="H92" s="1">
        <f>SUMIF('R7'!$AF$7:$AK$7,B92,'R7'!$AF$44:$AK$44)</f>
        <v>0.97044553354850793</v>
      </c>
      <c r="I92" s="2">
        <f>SUMIF('R7'!$AF$7:$AK$7,B92,'R7'!$AF$45:$AK$45)</f>
        <v>1</v>
      </c>
      <c r="J92" s="2">
        <f t="shared" si="77"/>
        <v>1.0304545339535172</v>
      </c>
      <c r="K92" s="57">
        <f t="shared" ref="K92:K97" si="79">(J92-$J86)/$J86</f>
        <v>0</v>
      </c>
      <c r="L92" s="26">
        <f>SUMIF('R7'!$AF$7:$AK$7,B92,'R7'!$AF$36:$AK$36)</f>
        <v>0.82533526478849994</v>
      </c>
      <c r="M92" s="23">
        <f>SUMIF('R7'!$AF$7:$AK$7,B92,'R7'!$AF$37:$AK$37)</f>
        <v>1.2351813271467</v>
      </c>
      <c r="N92" s="23">
        <f t="shared" si="55"/>
        <v>2.0605165919352002</v>
      </c>
      <c r="O92" s="57"/>
      <c r="P92" s="38">
        <f t="shared" si="56"/>
        <v>1.4965813044026746</v>
      </c>
      <c r="Q92" s="57">
        <f t="shared" ref="Q92:Q97" si="80">(P92-$P86)/$P86</f>
        <v>0</v>
      </c>
      <c r="R92" s="26">
        <f>SUMIF('R7'!$AF$7:$AK$7,B92,'R7'!$AF$40:$AK$40)</f>
        <v>46414.168855270647</v>
      </c>
      <c r="S92" s="57">
        <f t="shared" ref="S92:S97" si="81">(R92-$R86)/$R86</f>
        <v>0</v>
      </c>
      <c r="T92" s="26">
        <f>SUMIF('R7'!$AF$7:$AK$7,B92,'R7'!$AF$41:$AK$41)</f>
        <v>59092.133318389097</v>
      </c>
      <c r="U92" s="57">
        <f t="shared" ref="U92:U97" si="82">(T92-$T86)/$T86</f>
        <v>0</v>
      </c>
      <c r="V92" s="23">
        <f t="shared" si="57"/>
        <v>1.2731485831977529</v>
      </c>
      <c r="W92" s="57">
        <f t="shared" ref="W92:W97" si="83">(V92-$V86)/$V86</f>
        <v>0</v>
      </c>
      <c r="X92" s="26">
        <f>SUMIF('R7'!$AF$7:$AK$7,B92,'R7'!$AF$52:$AK$52)</f>
        <v>18427.262540756401</v>
      </c>
      <c r="Y92" s="57">
        <f t="shared" ref="Y92:Y97" si="84">(X92-$X86)/$X86</f>
        <v>0</v>
      </c>
      <c r="Z92" s="26">
        <f>SUMIF('R7'!$AF$7:$AK$7,B92,'R7'!$AF$35:$AK$35)</f>
        <v>66273.9254716</v>
      </c>
      <c r="AA92" s="57">
        <f t="shared" ref="AA92:AA97" si="85">(Z92-$Z86)/$Z86</f>
        <v>0</v>
      </c>
      <c r="AB92" s="5"/>
      <c r="AC92" s="5"/>
      <c r="AD92" s="5"/>
    </row>
    <row r="93" spans="1:30" x14ac:dyDescent="0.25">
      <c r="A93" s="104"/>
      <c r="B93" s="31">
        <v>2020</v>
      </c>
      <c r="C93" s="14">
        <f>SUMIF('R7'!$AF$7:$AK$7,B93,'R7'!$AF$42:$AK$42)</f>
        <v>19.1127</v>
      </c>
      <c r="D93" s="43">
        <f>SUMIF('R7'!$AF$7:$AK$7,B93,'R7'!$AF$46:$AK$46)</f>
        <v>0.91693862656807257</v>
      </c>
      <c r="E93" s="35">
        <f>SUMIF('R7'!$AF$7:$AK$7,B93,'R7'!$AF$47:$AK$47)</f>
        <v>0.98197288977586894</v>
      </c>
      <c r="F93" s="50">
        <f t="shared" si="76"/>
        <v>1.0709254265481294</v>
      </c>
      <c r="G93" s="58">
        <f t="shared" si="78"/>
        <v>1.0065936246540451E-2</v>
      </c>
      <c r="H93" s="4">
        <f>SUMIF('R7'!$AF$7:$AK$7,B93,'R7'!$AF$44:$AK$44)</f>
        <v>0.98019867330675492</v>
      </c>
      <c r="I93" s="5">
        <f>SUMIF('R7'!$AF$7:$AK$7,B93,'R7'!$AF$45:$AK$45)</f>
        <v>1</v>
      </c>
      <c r="J93" s="13">
        <f t="shared" si="77"/>
        <v>1.0202013400267562</v>
      </c>
      <c r="K93" s="58">
        <f t="shared" si="79"/>
        <v>-9.9501662508318413E-3</v>
      </c>
      <c r="L93" s="27">
        <f>SUMIF('R7'!$AF$7:$AK$7,B93,'R7'!$AF$36:$AK$36)</f>
        <v>0.91657085929160098</v>
      </c>
      <c r="M93" s="24">
        <f>SUMIF('R7'!$AF$7:$AK$7,B93,'R7'!$AF$37:$AK$37)</f>
        <v>2.545550285277332</v>
      </c>
      <c r="N93" s="24">
        <f t="shared" si="55"/>
        <v>3.4621211445689331</v>
      </c>
      <c r="O93" s="58"/>
      <c r="P93" s="39">
        <f t="shared" si="56"/>
        <v>2.7772542182333138</v>
      </c>
      <c r="Q93" s="58">
        <f t="shared" si="80"/>
        <v>-3.9030260620169123E-6</v>
      </c>
      <c r="R93" s="27">
        <f>SUMIF('R7'!$AF$7:$AK$7,B93,'R7'!$AF$40:$AK$40)</f>
        <v>110419.47073157159</v>
      </c>
      <c r="S93" s="58">
        <f t="shared" si="81"/>
        <v>-9.0940559123362419E-4</v>
      </c>
      <c r="T93" s="27">
        <f>SUMIF('R7'!$AF$7:$AK$7,B93,'R7'!$AF$41:$AK$41)</f>
        <v>139179.42153534101</v>
      </c>
      <c r="U93" s="58">
        <f t="shared" si="82"/>
        <v>-1.0865965719583183E-2</v>
      </c>
      <c r="V93" s="24">
        <f t="shared" si="57"/>
        <v>1.2604608644944921</v>
      </c>
      <c r="W93" s="58">
        <f t="shared" si="83"/>
        <v>-9.9656229215546524E-3</v>
      </c>
      <c r="X93" s="27">
        <f>SUMIF('R7'!$AF$7:$AK$7,B93,'R7'!$AF$52:$AK$52)</f>
        <v>76375.538485111785</v>
      </c>
      <c r="Y93" s="58">
        <f t="shared" si="84"/>
        <v>-1.7386189614095181E-2</v>
      </c>
      <c r="Z93" s="27">
        <f>SUMIF('R7'!$AF$7:$AK$7,B93,'R7'!$AF$35:$AK$35)</f>
        <v>264421.36671714392</v>
      </c>
      <c r="AA93" s="58">
        <f t="shared" si="85"/>
        <v>-1.7385981871933728E-2</v>
      </c>
      <c r="AB93" s="5"/>
      <c r="AC93" s="5"/>
      <c r="AD93" s="5"/>
    </row>
    <row r="94" spans="1:30" x14ac:dyDescent="0.25">
      <c r="A94" s="104"/>
      <c r="B94" s="31">
        <v>2040</v>
      </c>
      <c r="C94" s="6">
        <f>SUMIF('R7'!$AF$7:$AK$7,B94,'R7'!$AF$42:$AK$42)</f>
        <v>19.930350000000001</v>
      </c>
      <c r="D94" s="43">
        <f>SUMIF('R7'!$AF$7:$AK$7,B94,'R7'!$AF$46:$AK$46)</f>
        <v>0.88225365744265238</v>
      </c>
      <c r="E94" s="35">
        <f>SUMIF('R7'!$AF$7:$AK$7,B94,'R7'!$AF$47:$AK$47)</f>
        <v>0.96476277921532627</v>
      </c>
      <c r="F94" s="50">
        <f t="shared" si="76"/>
        <v>1.0935208611226834</v>
      </c>
      <c r="G94" s="58">
        <f t="shared" si="78"/>
        <v>3.1377297628638209E-2</v>
      </c>
      <c r="H94" s="4">
        <f>SUMIF('R7'!$AF$7:$AK$7,B94,'R7'!$AF$44:$AK$44)</f>
        <v>0.99004983374916744</v>
      </c>
      <c r="I94" s="5">
        <f>SUMIF('R7'!$AF$7:$AK$7,B94,'R7'!$AF$45:$AK$45)</f>
        <v>1</v>
      </c>
      <c r="J94" s="5">
        <f t="shared" si="77"/>
        <v>1.0100501670841686</v>
      </c>
      <c r="K94" s="58">
        <f t="shared" si="79"/>
        <v>-1.9801326693244446E-2</v>
      </c>
      <c r="L94" s="27">
        <f>SUMIF('R7'!$AF$7:$AK$7,B94,'R7'!$AF$36:$AK$36)</f>
        <v>0.92131769345021497</v>
      </c>
      <c r="M94" s="24">
        <f>SUMIF('R7'!$AF$7:$AK$7,B94,'R7'!$AF$37:$AK$37)</f>
        <v>4.7354454356818509</v>
      </c>
      <c r="N94" s="24">
        <f t="shared" si="55"/>
        <v>5.6567631291320657</v>
      </c>
      <c r="O94" s="58"/>
      <c r="P94" s="40">
        <f t="shared" si="56"/>
        <v>5.1398616018631138</v>
      </c>
      <c r="Q94" s="58">
        <f t="shared" si="80"/>
        <v>-2.7200666898571351E-3</v>
      </c>
      <c r="R94" s="27">
        <f>SUMIF('R7'!$AF$7:$AK$7,B94,'R7'!$AF$40:$AK$40)</f>
        <v>203136.4182901007</v>
      </c>
      <c r="S94" s="58">
        <f t="shared" si="81"/>
        <v>-1.4342066610875683E-3</v>
      </c>
      <c r="T94" s="27">
        <f>SUMIF('R7'!$AF$7:$AK$7,B94,'R7'!$AF$41:$AK$41)</f>
        <v>250754.8340811246</v>
      </c>
      <c r="U94" s="58">
        <f t="shared" si="82"/>
        <v>-3.1813289244553046E-2</v>
      </c>
      <c r="V94" s="24">
        <f t="shared" si="57"/>
        <v>1.2344159466424167</v>
      </c>
      <c r="W94" s="58">
        <f t="shared" si="83"/>
        <v>-3.0422715044030015E-2</v>
      </c>
      <c r="X94" s="27">
        <f>SUMIF('R7'!$AF$7:$AK$7,B94,'R7'!$AF$52:$AK$52)</f>
        <v>139024.07864102579</v>
      </c>
      <c r="Y94" s="58">
        <f t="shared" si="84"/>
        <v>-5.5146736381025692E-2</v>
      </c>
      <c r="Z94" s="27">
        <f>SUMIF('R7'!$AF$7:$AK$7,B94,'R7'!$AF$35:$AK$35)</f>
        <v>786426.2821181115</v>
      </c>
      <c r="AA94" s="58">
        <f t="shared" si="85"/>
        <v>-5.5051671410448672E-2</v>
      </c>
      <c r="AB94" s="5"/>
      <c r="AC94" s="5"/>
      <c r="AD94" s="5"/>
    </row>
    <row r="95" spans="1:30" x14ac:dyDescent="0.25">
      <c r="A95" s="104"/>
      <c r="B95" s="31">
        <v>2060</v>
      </c>
      <c r="C95" s="6">
        <f>SUMIF('R7'!$AF$7:$AK$7,B95,'R7'!$AF$42:$AK$42)</f>
        <v>20.93582</v>
      </c>
      <c r="D95" s="43">
        <f>SUMIF('R7'!$AF$7:$AK$7,B95,'R7'!$AF$46:$AK$46)</f>
        <v>0.84289864993793617</v>
      </c>
      <c r="E95" s="35">
        <f>SUMIF('R7'!$AF$7:$AK$7,B95,'R7'!$AF$47:$AK$47)</f>
        <v>0.94223331790392795</v>
      </c>
      <c r="F95" s="50">
        <f t="shared" si="76"/>
        <v>1.117848887257449</v>
      </c>
      <c r="G95" s="58">
        <f t="shared" si="78"/>
        <v>5.4322789336727711E-2</v>
      </c>
      <c r="H95" s="4">
        <f>SUMIF('R7'!$AF$7:$AK$7,B95,'R7'!$AF$44:$AK$44)</f>
        <v>1</v>
      </c>
      <c r="I95" s="5">
        <f>SUMIF('R7'!$AF$7:$AK$7,B95,'R7'!$AF$45:$AK$45)</f>
        <v>1</v>
      </c>
      <c r="J95" s="5">
        <f t="shared" si="77"/>
        <v>1</v>
      </c>
      <c r="K95" s="58">
        <f t="shared" si="79"/>
        <v>-2.9554466451492109E-2</v>
      </c>
      <c r="L95" s="27">
        <f>SUMIF('R7'!$AF$7:$AK$7,B95,'R7'!$AF$36:$AK$36)</f>
        <v>0.86361141116535767</v>
      </c>
      <c r="M95" s="24">
        <f>SUMIF('R7'!$AF$7:$AK$7,B95,'R7'!$AF$37:$AK$37)</f>
        <v>8.2126542857200064</v>
      </c>
      <c r="N95" s="24">
        <f t="shared" si="55"/>
        <v>9.0762656968853648</v>
      </c>
      <c r="O95" s="58"/>
      <c r="P95" s="40">
        <f t="shared" si="56"/>
        <v>9.5096639293335024</v>
      </c>
      <c r="Q95" s="58">
        <f t="shared" si="80"/>
        <v>-5.7083090797845132E-3</v>
      </c>
      <c r="R95" s="27">
        <f>SUMIF('R7'!$AF$7:$AK$7,B95,'R7'!$AF$40:$AK$40)</f>
        <v>314741.60531684861</v>
      </c>
      <c r="S95" s="58">
        <f t="shared" si="81"/>
        <v>-2.9772519085101228E-3</v>
      </c>
      <c r="T95" s="27">
        <f>SUMIF('R7'!$AF$7:$AK$7,B95,'R7'!$AF$41:$AK$41)</f>
        <v>380066.55355957878</v>
      </c>
      <c r="U95" s="58">
        <f t="shared" si="82"/>
        <v>-5.4347721423423381E-2</v>
      </c>
      <c r="V95" s="24">
        <f t="shared" si="57"/>
        <v>1.2075510423128455</v>
      </c>
      <c r="W95" s="58">
        <f t="shared" si="83"/>
        <v>-5.1523869052383243E-2</v>
      </c>
      <c r="X95" s="27">
        <f>SUMIF('R7'!$AF$7:$AK$7,B95,'R7'!$AF$52:$AK$52)</f>
        <v>209567.92195123641</v>
      </c>
      <c r="Y95" s="58">
        <f t="shared" si="84"/>
        <v>-9.8716342280997849E-2</v>
      </c>
      <c r="Z95" s="27">
        <f>SUMIF('R7'!$AF$7:$AK$7,B95,'R7'!$AF$35:$AK$35)</f>
        <v>1902094.141173556</v>
      </c>
      <c r="AA95" s="58">
        <f t="shared" si="85"/>
        <v>-9.8507877115860606E-2</v>
      </c>
      <c r="AB95" s="5"/>
      <c r="AC95" s="5"/>
      <c r="AD95" s="5"/>
    </row>
    <row r="96" spans="1:30" x14ac:dyDescent="0.25">
      <c r="A96" s="104"/>
      <c r="B96" s="31">
        <v>2080</v>
      </c>
      <c r="C96" s="6">
        <f>SUMIF('R7'!$AF$7:$AK$7,B96,'R7'!$AF$42:$AK$42)</f>
        <v>22.111229999999999</v>
      </c>
      <c r="D96" s="43">
        <f>SUMIF('R7'!$AF$7:$AK$7,B96,'R7'!$AF$46:$AK$46)</f>
        <v>0.78828241339085314</v>
      </c>
      <c r="E96" s="35">
        <f>SUMIF('R7'!$AF$7:$AK$7,B96,'R7'!$AF$47:$AK$47)</f>
        <v>0.90719339115566244</v>
      </c>
      <c r="F96" s="50">
        <f t="shared" si="76"/>
        <v>1.1508481931663364</v>
      </c>
      <c r="G96" s="58">
        <f t="shared" si="78"/>
        <v>8.5446781719448764E-2</v>
      </c>
      <c r="H96" s="4">
        <f>SUMIF('R7'!$AF$7:$AK$7,B96,'R7'!$AF$44:$AK$44)</f>
        <v>0.99004983374916744</v>
      </c>
      <c r="I96" s="5">
        <f>SUMIF('R7'!$AF$7:$AK$7,B96,'R7'!$AF$45:$AK$45)</f>
        <v>1</v>
      </c>
      <c r="J96" s="5">
        <f t="shared" si="77"/>
        <v>1.0100501670841686</v>
      </c>
      <c r="K96" s="58">
        <f t="shared" si="79"/>
        <v>-1.9801326693244446E-2</v>
      </c>
      <c r="L96" s="27">
        <f>SUMIF('R7'!$AF$7:$AK$7,B96,'R7'!$AF$36:$AK$36)</f>
        <v>0.77971069003868387</v>
      </c>
      <c r="M96" s="24">
        <f>SUMIF('R7'!$AF$7:$AK$7,B96,'R7'!$AF$37:$AK$37)</f>
        <v>13.626088358428021</v>
      </c>
      <c r="N96" s="24">
        <f t="shared" si="55"/>
        <v>14.405799048466704</v>
      </c>
      <c r="O96" s="58"/>
      <c r="P96" s="40">
        <f t="shared" si="56"/>
        <v>17.475826011506893</v>
      </c>
      <c r="Q96" s="58">
        <f t="shared" si="80"/>
        <v>-1.5378445882670393E-2</v>
      </c>
      <c r="R96" s="27">
        <f>SUMIF('R7'!$AF$7:$AK$7,B96,'R7'!$AF$40:$AK$40)</f>
        <v>436470.94856073387</v>
      </c>
      <c r="S96" s="58">
        <f t="shared" si="81"/>
        <v>-1.076861345033232E-2</v>
      </c>
      <c r="T96" s="27">
        <f>SUMIF('R7'!$AF$7:$AK$7,B96,'R7'!$AF$41:$AK$41)</f>
        <v>511948.05597636889</v>
      </c>
      <c r="U96" s="58">
        <f t="shared" si="82"/>
        <v>-8.8641282824909004E-2</v>
      </c>
      <c r="V96" s="24">
        <f t="shared" si="57"/>
        <v>1.1729258445826036</v>
      </c>
      <c r="W96" s="58">
        <f t="shared" si="83"/>
        <v>-7.8720378703498364E-2</v>
      </c>
      <c r="X96" s="27">
        <f>SUMIF('R7'!$AF$7:$AK$7,B96,'R7'!$AF$52:$AK$52)</f>
        <v>274752.42168703879</v>
      </c>
      <c r="Y96" s="58">
        <f t="shared" si="84"/>
        <v>-0.16376643493968121</v>
      </c>
      <c r="Z96" s="27">
        <f>SUMIF('R7'!$AF$7:$AK$7,B96,'R7'!$AF$35:$AK$35)</f>
        <v>3958028.174903065</v>
      </c>
      <c r="AA96" s="58">
        <f t="shared" si="85"/>
        <v>-0.16339976591617228</v>
      </c>
      <c r="AB96" s="5"/>
      <c r="AC96" s="5"/>
      <c r="AD96" s="5"/>
    </row>
    <row r="97" spans="1:30" ht="15.75" thickBot="1" x14ac:dyDescent="0.3">
      <c r="A97" s="105"/>
      <c r="B97" s="32">
        <v>2100</v>
      </c>
      <c r="C97" s="9">
        <f>SUMIF('R7'!$AF$7:$AK$7,B97,'R7'!$AF$42:$AK$42)</f>
        <v>23.246210000000001</v>
      </c>
      <c r="D97" s="44">
        <f>SUMIF('R7'!$AF$7:$AK$7,B97,'R7'!$AF$46:$AK$46)</f>
        <v>0.72910433227696836</v>
      </c>
      <c r="E97" s="36">
        <f>SUMIF('R7'!$AF$7:$AK$7,B97,'R7'!$AF$47:$AK$47)</f>
        <v>0.86537970249071072</v>
      </c>
      <c r="F97" s="51">
        <f t="shared" si="76"/>
        <v>1.1869079145204897</v>
      </c>
      <c r="G97" s="59">
        <f t="shared" si="78"/>
        <v>0.11945726957178418</v>
      </c>
      <c r="H97" s="7">
        <f>SUMIF('R7'!$AF$7:$AK$7,B97,'R7'!$AF$44:$AK$44)</f>
        <v>0.97044553354850793</v>
      </c>
      <c r="I97" s="8">
        <f>SUMIF('R7'!$AF$7:$AK$7,B97,'R7'!$AF$45:$AK$45)</f>
        <v>1</v>
      </c>
      <c r="J97" s="8">
        <f t="shared" si="77"/>
        <v>1.0304545339535172</v>
      </c>
      <c r="K97" s="59">
        <f t="shared" si="79"/>
        <v>0</v>
      </c>
      <c r="L97" s="28">
        <f>SUMIF('R7'!$AF$7:$AK$7,B97,'R7'!$AF$36:$AK$36)</f>
        <v>0.68812188019835097</v>
      </c>
      <c r="M97" s="25">
        <f>SUMIF('R7'!$AF$7:$AK$7,B97,'R7'!$AF$37:$AK$37)</f>
        <v>22.034280575733309</v>
      </c>
      <c r="N97" s="25">
        <f t="shared" si="55"/>
        <v>22.722402455931661</v>
      </c>
      <c r="O97" s="59"/>
      <c r="P97" s="41">
        <f t="shared" si="56"/>
        <v>32.020898055707711</v>
      </c>
      <c r="Q97" s="59">
        <f t="shared" si="80"/>
        <v>-2.781678236947099E-2</v>
      </c>
      <c r="R97" s="33">
        <f>SUMIF('R7'!$AF$7:$AK$7,B97,'R7'!$AF$40:$AK$40)</f>
        <v>565744.04269016779</v>
      </c>
      <c r="S97" s="59">
        <f t="shared" si="81"/>
        <v>-2.5232432627013385E-2</v>
      </c>
      <c r="T97" s="28">
        <f>SUMIF('R7'!$AF$7:$AK$7,B97,'R7'!$AF$41:$AK$41)</f>
        <v>643415.56036263576</v>
      </c>
      <c r="U97" s="59">
        <f t="shared" si="82"/>
        <v>-0.1292498661017632</v>
      </c>
      <c r="V97" s="25">
        <f t="shared" si="57"/>
        <v>1.1372909156994961</v>
      </c>
      <c r="W97" s="59">
        <f t="shared" si="83"/>
        <v>-0.10670998600730876</v>
      </c>
      <c r="X97" s="28">
        <f>SUMIF('R7'!$AF$7:$AK$7,B97,'R7'!$AF$52:$AK$52)</f>
        <v>331457.05968182808</v>
      </c>
      <c r="Y97" s="59">
        <f t="shared" si="84"/>
        <v>-0.23785813053686364</v>
      </c>
      <c r="Z97" s="28">
        <f>SUMIF('R7'!$AF$7:$AK$7,B97,'R7'!$AF$35:$AK$35)</f>
        <v>7531500.7069502557</v>
      </c>
      <c r="AA97" s="59">
        <f t="shared" si="85"/>
        <v>-0.23736110106036837</v>
      </c>
      <c r="AB97" s="5"/>
      <c r="AC97" s="5"/>
      <c r="AD97" s="5"/>
    </row>
    <row r="98" spans="1:30" x14ac:dyDescent="0.25">
      <c r="A98" s="106" t="s">
        <v>6</v>
      </c>
      <c r="B98" s="21">
        <v>2000</v>
      </c>
      <c r="C98" s="3">
        <f>SUMIF('R8'!$AF$7:$AK$7,B98,'R8'!$AF$17:$AK$17)</f>
        <v>19.567530000000001</v>
      </c>
      <c r="D98" s="42">
        <f>SUMIF('R8'!$AF$7:$AK$7,B98,'R8'!$AF$21:$AK$21)</f>
        <v>1</v>
      </c>
      <c r="E98" s="34">
        <f>SUMIF('R8'!$AF$7:$AK$7,B98,'R8'!$AF$22:$AK$22)</f>
        <v>1</v>
      </c>
      <c r="F98" s="45">
        <f>E98/D98</f>
        <v>1</v>
      </c>
      <c r="G98" s="53"/>
      <c r="H98" s="1">
        <f>SUMIF('R8'!$AF$7:$AK$7,B98,'R8'!$AF$19:$AK$19)</f>
        <v>0.99004983374916744</v>
      </c>
      <c r="I98" s="2">
        <f>SUMIF('R8'!$AF$7:$AK$7,B98,'R8'!$AF$20:$AK$20)</f>
        <v>1</v>
      </c>
      <c r="J98" s="2">
        <f>I98/H98</f>
        <v>1.0100501670841686</v>
      </c>
      <c r="K98" s="53"/>
      <c r="L98" s="26">
        <f>SUMIF('R8'!$AF$7:$AK$7,B98,'R8'!$AF$11:$AK$11)</f>
        <v>1.5094523999114999</v>
      </c>
      <c r="M98" s="24">
        <f>SUMIF('R8'!$AF$7:$AK$7,B98,'R8'!$AF$12:$AK$12)</f>
        <v>2.2590182415933011</v>
      </c>
      <c r="N98" s="23">
        <f t="shared" si="55"/>
        <v>3.768470641504801</v>
      </c>
      <c r="O98" s="53"/>
      <c r="P98" s="38">
        <f t="shared" si="56"/>
        <v>1.4965813044026752</v>
      </c>
      <c r="Q98" s="53"/>
      <c r="R98" s="26">
        <f>SUMIF('R8'!$AF$7:$AK$7,B98,'R8'!$AF$15:$AK$15)</f>
        <v>47481.627330410549</v>
      </c>
      <c r="S98" s="53"/>
      <c r="T98" s="26">
        <f>SUMIF('R8'!$AF$7:$AK$7,B98,'R8'!$AF$16:$AK$16)</f>
        <v>59235.606824504393</v>
      </c>
      <c r="U98" s="53"/>
      <c r="V98" s="23">
        <f t="shared" si="57"/>
        <v>1.2475479497006576</v>
      </c>
      <c r="W98" s="53"/>
      <c r="X98" s="26">
        <f>SUMIF('R8'!$AF$7:$AK$7,B98,'R8'!$AF$27:$AK$27)</f>
        <v>18427.26254075639</v>
      </c>
      <c r="Y98" s="53"/>
      <c r="Z98" s="26">
        <f>SUMIF('R8'!$AF$7:$AK$7,B98,'R8'!$AF$10:$AK$10)</f>
        <v>121208.1200484</v>
      </c>
      <c r="AA98" s="53"/>
      <c r="AB98" s="5"/>
      <c r="AC98" s="5"/>
      <c r="AD98" s="5"/>
    </row>
    <row r="99" spans="1:30" s="10" customFormat="1" x14ac:dyDescent="0.25">
      <c r="A99" s="107"/>
      <c r="B99" s="31">
        <v>2020</v>
      </c>
      <c r="C99" s="14">
        <f>SUMIF('R8'!$AF$7:$AK$7,B99,'R8'!$AF$17:$AK$17)</f>
        <v>19.567530000000001</v>
      </c>
      <c r="D99" s="43">
        <f>SUMIF('R8'!$AF$7:$AK$7,B99,'R8'!$AF$21:$AK$21)</f>
        <v>0.90022563327805616</v>
      </c>
      <c r="E99" s="35">
        <f>SUMIF('R8'!$AF$7:$AK$7,B99,'R8'!$AF$22:$AK$22)</f>
        <v>0.97405330480158026</v>
      </c>
      <c r="F99" s="46">
        <f t="shared" ref="F99:F109" si="86">E99/D99</f>
        <v>1.0820101858849431</v>
      </c>
      <c r="G99" s="54"/>
      <c r="H99" s="4">
        <f>SUMIF('R8'!$AF$7:$AK$7,B99,'R8'!$AF$19:$AK$19)</f>
        <v>0.99004983374916744</v>
      </c>
      <c r="I99" s="5">
        <f>SUMIF('R8'!$AF$7:$AK$7,B99,'R8'!$AF$20:$AK$20)</f>
        <v>1</v>
      </c>
      <c r="J99" s="5">
        <f t="shared" ref="J99:J109" si="87">I99/H99</f>
        <v>1.0100501670841686</v>
      </c>
      <c r="K99" s="55"/>
      <c r="L99" s="27">
        <f>SUMIF('R8'!$AF$7:$AK$7,B99,'R8'!$AF$11:$AK$11)</f>
        <v>1.6763076527082541</v>
      </c>
      <c r="M99" s="24">
        <f>SUMIF('R8'!$AF$7:$AK$7,B99,'R8'!$AF$12:$AK$12)</f>
        <v>4.6555506702763836</v>
      </c>
      <c r="N99" s="24">
        <f t="shared" si="55"/>
        <v>6.3318583229846377</v>
      </c>
      <c r="O99" s="55"/>
      <c r="P99" s="39">
        <f t="shared" si="56"/>
        <v>2.7772650579712166</v>
      </c>
      <c r="Q99" s="55"/>
      <c r="R99" s="27">
        <f>SUMIF('R8'!$AF$7:$AK$7,B99,'R8'!$AF$15:$AK$15)</f>
        <v>111810.56769758731</v>
      </c>
      <c r="S99" s="55"/>
      <c r="T99" s="27">
        <f>SUMIF('R8'!$AF$7:$AK$7,B99,'R8'!$AF$16:$AK$16)</f>
        <v>139489.04448599159</v>
      </c>
      <c r="U99" s="55"/>
      <c r="V99" s="24">
        <f t="shared" si="57"/>
        <v>1.2475479497006574</v>
      </c>
      <c r="W99" s="55"/>
      <c r="X99" s="27">
        <f>SUMIF('R8'!$AF$7:$AK$7,B99,'R8'!$AF$27:$AK$27)</f>
        <v>75928.125015397236</v>
      </c>
      <c r="Y99" s="55"/>
      <c r="Z99" s="27">
        <f>SUMIF('R8'!$AF$7:$AK$7,B99,'R8'!$AF$10:$AK$10)</f>
        <v>480766.13032736111</v>
      </c>
      <c r="AA99" s="55"/>
      <c r="AB99" s="13"/>
      <c r="AC99" s="13"/>
      <c r="AD99" s="13"/>
    </row>
    <row r="100" spans="1:30" x14ac:dyDescent="0.25">
      <c r="A100" s="107"/>
      <c r="B100" s="31">
        <v>2040</v>
      </c>
      <c r="C100" s="6">
        <f>SUMIF('R8'!$AF$7:$AK$7,B100,'R8'!$AF$17:$AK$17)</f>
        <v>19.567530000000001</v>
      </c>
      <c r="D100" s="43">
        <f>SUMIF('R8'!$AF$7:$AK$7,B100,'R8'!$AF$21:$AK$21)</f>
        <v>0.90022563327805616</v>
      </c>
      <c r="E100" s="35">
        <f>SUMIF('R8'!$AF$7:$AK$7,B100,'R8'!$AF$22:$AK$22)</f>
        <v>0.97405330480158026</v>
      </c>
      <c r="F100" s="47">
        <f t="shared" si="86"/>
        <v>1.0820101858849431</v>
      </c>
      <c r="G100" s="55"/>
      <c r="H100" s="4">
        <f>SUMIF('R8'!$AF$7:$AK$7,B100,'R8'!$AF$19:$AK$19)</f>
        <v>0.99004983374916744</v>
      </c>
      <c r="I100" s="5">
        <f>SUMIF('R8'!$AF$7:$AK$7,B100,'R8'!$AF$20:$AK$20)</f>
        <v>1</v>
      </c>
      <c r="J100" s="5">
        <f t="shared" si="87"/>
        <v>1.0100501670841686</v>
      </c>
      <c r="K100" s="55"/>
      <c r="L100" s="27">
        <f>SUMIF('R8'!$AF$7:$AK$7,B100,'R8'!$AF$11:$AK$11)</f>
        <v>1.6809866387325101</v>
      </c>
      <c r="M100" s="24">
        <f>SUMIF('R8'!$AF$7:$AK$7,B100,'R8'!$AF$12:$AK$12)</f>
        <v>8.6636042590252504</v>
      </c>
      <c r="N100" s="24">
        <f t="shared" si="55"/>
        <v>10.34459089775776</v>
      </c>
      <c r="O100" s="55"/>
      <c r="P100" s="40">
        <f t="shared" si="56"/>
        <v>5.1538805005361272</v>
      </c>
      <c r="Q100" s="55"/>
      <c r="R100" s="27">
        <f>SUMIF('R8'!$AF$7:$AK$7,B100,'R8'!$AF$15:$AK$15)</f>
        <v>206524.08446256211</v>
      </c>
      <c r="S100" s="55"/>
      <c r="T100" s="27">
        <f>SUMIF('R8'!$AF$7:$AK$7,B100,'R8'!$AF$16:$AK$16)</f>
        <v>257648.69813507481</v>
      </c>
      <c r="U100" s="55"/>
      <c r="V100" s="24">
        <f t="shared" si="57"/>
        <v>1.2475479497006576</v>
      </c>
      <c r="W100" s="55"/>
      <c r="X100" s="27">
        <f>SUMIF('R8'!$AF$7:$AK$7,B100,'R8'!$AF$27:$AK$27)</f>
        <v>144236.2590445028</v>
      </c>
      <c r="Y100" s="55"/>
      <c r="Z100" s="27">
        <f>SUMIF('R8'!$AF$7:$AK$7,B100,'R8'!$AF$10:$AK$10)</f>
        <v>1492065.092438394</v>
      </c>
      <c r="AA100" s="55"/>
      <c r="AB100" s="5"/>
      <c r="AC100" s="5"/>
      <c r="AD100" s="5"/>
    </row>
    <row r="101" spans="1:30" x14ac:dyDescent="0.25">
      <c r="A101" s="107"/>
      <c r="B101" s="31">
        <v>2060</v>
      </c>
      <c r="C101" s="6">
        <f>SUMIF('R8'!$AF$7:$AK$7,B101,'R8'!$AF$17:$AK$17)</f>
        <v>19.567530000000001</v>
      </c>
      <c r="D101" s="43">
        <f>SUMIF('R8'!$AF$7:$AK$7,B101,'R8'!$AF$21:$AK$21)</f>
        <v>0.90022563327805616</v>
      </c>
      <c r="E101" s="35">
        <f>SUMIF('R8'!$AF$7:$AK$7,B101,'R8'!$AF$22:$AK$22)</f>
        <v>0.97405330480158026</v>
      </c>
      <c r="F101" s="47">
        <f t="shared" si="86"/>
        <v>1.0820101858849431</v>
      </c>
      <c r="G101" s="55"/>
      <c r="H101" s="4">
        <f>SUMIF('R8'!$AF$7:$AK$7,B101,'R8'!$AF$19:$AK$19)</f>
        <v>0.99004983374916744</v>
      </c>
      <c r="I101" s="5">
        <f>SUMIF('R8'!$AF$7:$AK$7,B101,'R8'!$AF$20:$AK$20)</f>
        <v>1</v>
      </c>
      <c r="J101" s="5">
        <f t="shared" si="87"/>
        <v>1.0100501670841686</v>
      </c>
      <c r="K101" s="55"/>
      <c r="L101" s="27">
        <f>SUMIF('R8'!$AF$7:$AK$7,B101,'R8'!$AF$11:$AK$11)</f>
        <v>1.570929564987853</v>
      </c>
      <c r="M101" s="24">
        <f>SUMIF('R8'!$AF$7:$AK$7,B101,'R8'!$AF$12:$AK$12)</f>
        <v>15.02477829806918</v>
      </c>
      <c r="N101" s="24">
        <f t="shared" si="55"/>
        <v>16.595707863057033</v>
      </c>
      <c r="O101" s="55"/>
      <c r="P101" s="40">
        <f t="shared" si="56"/>
        <v>9.5642596797045805</v>
      </c>
      <c r="Q101" s="55"/>
      <c r="R101" s="27">
        <f>SUMIF('R8'!$AF$7:$AK$7,B101,'R8'!$AF$15:$AK$15)</f>
        <v>321199.2669600175</v>
      </c>
      <c r="S101" s="55"/>
      <c r="T101" s="27">
        <f>SUMIF('R8'!$AF$7:$AK$7,B101,'R8'!$AF$16:$AK$16)</f>
        <v>400711.48694132408</v>
      </c>
      <c r="U101" s="55"/>
      <c r="V101" s="24">
        <f t="shared" si="57"/>
        <v>1.2475479497006579</v>
      </c>
      <c r="W101" s="55"/>
      <c r="X101" s="27">
        <f>SUMIF('R8'!$AF$7:$AK$7,B101,'R8'!$AF$27:$AK$27)</f>
        <v>228443.05522539199</v>
      </c>
      <c r="Y101" s="55"/>
      <c r="Z101" s="27">
        <f>SUMIF('R8'!$AF$7:$AK$7,B101,'R8'!$AF$10:$AK$10)</f>
        <v>3791174.2078648098</v>
      </c>
      <c r="AA101" s="55"/>
      <c r="AB101" s="5"/>
      <c r="AC101" s="5"/>
      <c r="AD101" s="5"/>
    </row>
    <row r="102" spans="1:30" x14ac:dyDescent="0.25">
      <c r="A102" s="107"/>
      <c r="B102" s="31">
        <v>2080</v>
      </c>
      <c r="C102" s="6">
        <f>SUMIF('R8'!$AF$7:$AK$7,B102,'R8'!$AF$17:$AK$17)</f>
        <v>19.567530000000001</v>
      </c>
      <c r="D102" s="43">
        <f>SUMIF('R8'!$AF$7:$AK$7,B102,'R8'!$AF$21:$AK$21)</f>
        <v>0.90022563327805616</v>
      </c>
      <c r="E102" s="35">
        <f>SUMIF('R8'!$AF$7:$AK$7,B102,'R8'!$AF$22:$AK$22)</f>
        <v>0.97405330480158026</v>
      </c>
      <c r="F102" s="47">
        <f t="shared" si="86"/>
        <v>1.0820101858849431</v>
      </c>
      <c r="G102" s="55"/>
      <c r="H102" s="4">
        <f>SUMIF('R8'!$AF$7:$AK$7,B102,'R8'!$AF$19:$AK$19)</f>
        <v>0.99004983374916744</v>
      </c>
      <c r="I102" s="5">
        <f>SUMIF('R8'!$AF$7:$AK$7,B102,'R8'!$AF$20:$AK$20)</f>
        <v>1</v>
      </c>
      <c r="J102" s="5">
        <f t="shared" si="87"/>
        <v>1.0100501670841686</v>
      </c>
      <c r="K102" s="55"/>
      <c r="L102" s="27">
        <f>SUMIF('R8'!$AF$7:$AK$7,B102,'R8'!$AF$11:$AK$11)</f>
        <v>1.4046337484457949</v>
      </c>
      <c r="M102" s="24">
        <f>SUMIF('R8'!$AF$7:$AK$7,B102,'R8'!$AF$12:$AK$12)</f>
        <v>24.930527769864749</v>
      </c>
      <c r="N102" s="24">
        <f t="shared" si="55"/>
        <v>26.335161518310546</v>
      </c>
      <c r="O102" s="55"/>
      <c r="P102" s="40">
        <f t="shared" si="56"/>
        <v>17.748774580882728</v>
      </c>
      <c r="Q102" s="55"/>
      <c r="R102" s="27">
        <f>SUMIF('R8'!$AF$7:$AK$7,B102,'R8'!$AF$15:$AK$15)</f>
        <v>449527.21310879482</v>
      </c>
      <c r="S102" s="55"/>
      <c r="T102" s="27">
        <f>SUMIF('R8'!$AF$7:$AK$7,B102,'R8'!$AF$16:$AK$16)</f>
        <v>560806.75304852705</v>
      </c>
      <c r="U102" s="55"/>
      <c r="V102" s="24">
        <f t="shared" si="57"/>
        <v>1.2475479497006565</v>
      </c>
      <c r="W102" s="55"/>
      <c r="X102" s="27">
        <f>SUMIF('R8'!$AF$7:$AK$7,B102,'R8'!$AF$27:$AK$27)</f>
        <v>323222.55454639468</v>
      </c>
      <c r="Y102" s="55"/>
      <c r="Z102" s="27">
        <f>SUMIF('R8'!$AF$7:$AK$7,B102,'R8'!$AF$10:$AK$10)</f>
        <v>8512118.1803402435</v>
      </c>
      <c r="AA102" s="55"/>
      <c r="AB102" s="5"/>
      <c r="AC102" s="5"/>
      <c r="AD102" s="5"/>
    </row>
    <row r="103" spans="1:30" ht="15.75" thickBot="1" x14ac:dyDescent="0.3">
      <c r="A103" s="108"/>
      <c r="B103" s="32">
        <v>2100</v>
      </c>
      <c r="C103" s="9">
        <f>SUMIF('R8'!$AF$7:$AK$7,B103,'R8'!$AF$17:$AK$17)</f>
        <v>19.567530000000001</v>
      </c>
      <c r="D103" s="44">
        <f>SUMIF('R8'!$AF$7:$AK$7,B103,'R8'!$AF$21:$AK$21)</f>
        <v>0.90022563327805616</v>
      </c>
      <c r="E103" s="36">
        <f>SUMIF('R8'!$AF$7:$AK$7,B103,'R8'!$AF$22:$AK$22)</f>
        <v>0.97405330480158026</v>
      </c>
      <c r="F103" s="48">
        <f t="shared" si="86"/>
        <v>1.0820101858849431</v>
      </c>
      <c r="G103" s="56"/>
      <c r="H103" s="7">
        <f>SUMIF('R8'!$AF$7:$AK$7,B103,'R8'!$AF$19:$AK$19)</f>
        <v>0.99004983374916744</v>
      </c>
      <c r="I103" s="8">
        <f>SUMIF('R8'!$AF$7:$AK$7,B103,'R8'!$AF$20:$AK$20)</f>
        <v>1</v>
      </c>
      <c r="J103" s="8">
        <f t="shared" si="87"/>
        <v>1.0100501670841686</v>
      </c>
      <c r="K103" s="56"/>
      <c r="L103" s="28">
        <f>SUMIF('R8'!$AF$7:$AK$7,B103,'R8'!$AF$11:$AK$11)</f>
        <v>1.223729357177219</v>
      </c>
      <c r="M103" s="25">
        <f>SUMIF('R8'!$AF$7:$AK$7,B103,'R8'!$AF$12:$AK$12)</f>
        <v>40.306098977364179</v>
      </c>
      <c r="N103" s="25">
        <f t="shared" si="55"/>
        <v>41.529828334541399</v>
      </c>
      <c r="O103" s="56"/>
      <c r="P103" s="41">
        <f t="shared" si="56"/>
        <v>32.937102261188215</v>
      </c>
      <c r="Q103" s="56"/>
      <c r="R103" s="28">
        <f>SUMIF('R8'!$AF$7:$AK$7,B103,'R8'!$AF$15:$AK$15)</f>
        <v>591757.01203304692</v>
      </c>
      <c r="S103" s="56"/>
      <c r="T103" s="28">
        <f>SUMIF('R8'!$AF$7:$AK$7,B103,'R8'!$AF$16:$AK$16)</f>
        <v>738245.24708281481</v>
      </c>
      <c r="U103" s="56"/>
      <c r="V103" s="25">
        <f t="shared" si="57"/>
        <v>1.2475479497006572</v>
      </c>
      <c r="W103" s="56"/>
      <c r="X103" s="28">
        <f>SUMIF('R8'!$AF$7:$AK$7,B103,'R8'!$AF$27:$AK$27)</f>
        <v>428159.06043698522</v>
      </c>
      <c r="Y103" s="56"/>
      <c r="Z103" s="28">
        <f>SUMIF('R8'!$AF$7:$AK$7,B103,'R8'!$AF$10:$AK$10)</f>
        <v>17781372.279826529</v>
      </c>
      <c r="AA103" s="56"/>
      <c r="AB103" s="5"/>
      <c r="AC103" s="5"/>
      <c r="AD103" s="5"/>
    </row>
    <row r="104" spans="1:30" x14ac:dyDescent="0.25">
      <c r="A104" s="106" t="str">
        <f>'R8'!B1</f>
        <v>Limpopo</v>
      </c>
      <c r="B104" s="21">
        <v>2000</v>
      </c>
      <c r="C104" s="3">
        <f>SUMIF('R8'!$AF$7:$AK$7,B104,'R8'!$AF$42:$AK$42)</f>
        <v>19.567530000000001</v>
      </c>
      <c r="D104" s="42">
        <f>SUMIF('R8'!$AF$7:$AK$7,B104,'R8'!$AF$46:$AK$46)</f>
        <v>1</v>
      </c>
      <c r="E104" s="34">
        <f>SUMIF('R8'!$AF$7:$AK$7,B104,'R8'!$AF$47:$AK$47)</f>
        <v>1</v>
      </c>
      <c r="F104" s="49">
        <f t="shared" si="86"/>
        <v>1</v>
      </c>
      <c r="G104" s="57">
        <f t="shared" ref="G104:G109" si="88">(F104-$F98)/$F98</f>
        <v>0</v>
      </c>
      <c r="H104" s="1">
        <f>SUMIF('R8'!$AF$7:$AK$7,B104,'R8'!$AF$44:$AK$44)</f>
        <v>0.99004983374916744</v>
      </c>
      <c r="I104" s="2">
        <f>SUMIF('R8'!$AF$7:$AK$7,B104,'R8'!$AF$45:$AK$45)</f>
        <v>1</v>
      </c>
      <c r="J104" s="2">
        <f t="shared" si="87"/>
        <v>1.0100501670841686</v>
      </c>
      <c r="K104" s="57">
        <f t="shared" ref="K104:K109" si="89">(J104-$J98)/$J98</f>
        <v>0</v>
      </c>
      <c r="L104" s="26">
        <f>SUMIF('R8'!$AF$7:$AK$7,B104,'R8'!$AF$36:$AK$36)</f>
        <v>1.5094523999114999</v>
      </c>
      <c r="M104" s="23">
        <f>SUMIF('R8'!$AF$7:$AK$7,B104,'R8'!$AF$37:$AK$37)</f>
        <v>2.2590182415933011</v>
      </c>
      <c r="N104" s="23">
        <f t="shared" si="55"/>
        <v>3.768470641504801</v>
      </c>
      <c r="O104" s="57"/>
      <c r="P104" s="38">
        <f t="shared" si="56"/>
        <v>1.4965813044026752</v>
      </c>
      <c r="Q104" s="57">
        <f t="shared" ref="Q104:Q109" si="90">(P104-$P98)/$P98</f>
        <v>0</v>
      </c>
      <c r="R104" s="26">
        <f>SUMIF('R8'!$AF$7:$AK$7,B104,'R8'!$AF$40:$AK$40)</f>
        <v>47481.627330410549</v>
      </c>
      <c r="S104" s="57">
        <f t="shared" ref="S104:S109" si="91">(R104-$R98)/$R98</f>
        <v>0</v>
      </c>
      <c r="T104" s="26">
        <f>SUMIF('R8'!$AF$7:$AK$7,B104,'R8'!$AF$41:$AK$41)</f>
        <v>59235.606824504393</v>
      </c>
      <c r="U104" s="57">
        <f t="shared" ref="U104:U109" si="92">(T104-$T98)/$T98</f>
        <v>0</v>
      </c>
      <c r="V104" s="23">
        <f t="shared" si="57"/>
        <v>1.2475479497006576</v>
      </c>
      <c r="W104" s="57">
        <f t="shared" ref="W104:W109" si="93">(V104-$V98)/$V98</f>
        <v>0</v>
      </c>
      <c r="X104" s="26">
        <f>SUMIF('R8'!$AF$7:$AK$7,B104,'R8'!$AF$52:$AK$52)</f>
        <v>18427.26254075639</v>
      </c>
      <c r="Y104" s="57">
        <f t="shared" ref="Y104:Y109" si="94">(X104-$X98)/$X98</f>
        <v>0</v>
      </c>
      <c r="Z104" s="26">
        <f>SUMIF('R8'!$AF$7:$AK$7,B104,'R8'!$AF$35:$AK$35)</f>
        <v>121208.1200484</v>
      </c>
      <c r="AA104" s="57">
        <f t="shared" ref="AA104:AA109" si="95">(Z104-$Z98)/$Z98</f>
        <v>0</v>
      </c>
      <c r="AB104" s="5"/>
      <c r="AC104" s="5"/>
      <c r="AD104" s="5"/>
    </row>
    <row r="105" spans="1:30" x14ac:dyDescent="0.25">
      <c r="A105" s="107"/>
      <c r="B105" s="31">
        <v>2020</v>
      </c>
      <c r="C105" s="14">
        <f>SUMIF('R8'!$AF$7:$AK$7,B105,'R8'!$AF$42:$AK$42)</f>
        <v>20.251180000000002</v>
      </c>
      <c r="D105" s="43">
        <f>SUMIF('R8'!$AF$7:$AK$7,B105,'R8'!$AF$46:$AK$46)</f>
        <v>0.87282505847383773</v>
      </c>
      <c r="E105" s="35">
        <f>SUMIF('R8'!$AF$7:$AK$7,B105,'R8'!$AF$47:$AK$47)</f>
        <v>0.95961542839364711</v>
      </c>
      <c r="F105" s="50">
        <f t="shared" si="86"/>
        <v>1.0994361574260541</v>
      </c>
      <c r="G105" s="58">
        <f t="shared" si="88"/>
        <v>1.6105182528257576E-2</v>
      </c>
      <c r="H105" s="4">
        <f>SUMIF('R8'!$AF$7:$AK$7,B105,'R8'!$AF$44:$AK$44)</f>
        <v>0.99004983374916744</v>
      </c>
      <c r="I105" s="5">
        <f>SUMIF('R8'!$AF$7:$AK$7,B105,'R8'!$AF$45:$AK$45)</f>
        <v>1</v>
      </c>
      <c r="J105" s="13">
        <f t="shared" si="87"/>
        <v>1.0100501670841686</v>
      </c>
      <c r="K105" s="58">
        <f t="shared" si="89"/>
        <v>0</v>
      </c>
      <c r="L105" s="27">
        <f>SUMIF('R8'!$AF$7:$AK$7,B105,'R8'!$AF$36:$AK$36)</f>
        <v>1.6815993923963459</v>
      </c>
      <c r="M105" s="24">
        <f>SUMIF('R8'!$AF$7:$AK$7,B105,'R8'!$AF$37:$AK$37)</f>
        <v>4.6516304553655976</v>
      </c>
      <c r="N105" s="24">
        <f t="shared" si="55"/>
        <v>6.3332298477619435</v>
      </c>
      <c r="O105" s="58"/>
      <c r="P105" s="39">
        <f t="shared" si="56"/>
        <v>2.7661941818002442</v>
      </c>
      <c r="Q105" s="58">
        <f t="shared" si="90"/>
        <v>-3.9862512003300092E-3</v>
      </c>
      <c r="R105" s="27">
        <f>SUMIF('R8'!$AF$7:$AK$7,B105,'R8'!$AF$40:$AK$40)</f>
        <v>111143.38490676769</v>
      </c>
      <c r="S105" s="58">
        <f t="shared" si="91"/>
        <v>-5.9670816860901282E-3</v>
      </c>
      <c r="T105" s="27">
        <f>SUMIF('R8'!$AF$7:$AK$7,B105,'R8'!$AF$41:$AK$41)</f>
        <v>136459.00478356529</v>
      </c>
      <c r="U105" s="58">
        <f t="shared" si="92"/>
        <v>-2.1722420664589109E-2</v>
      </c>
      <c r="V105" s="24">
        <f t="shared" si="57"/>
        <v>1.2277744185858073</v>
      </c>
      <c r="W105" s="58">
        <f t="shared" si="93"/>
        <v>-1.5849916726322782E-2</v>
      </c>
      <c r="X105" s="27">
        <f>SUMIF('R8'!$AF$7:$AK$7,B105,'R8'!$AF$52:$AK$52)</f>
        <v>73161.939893390561</v>
      </c>
      <c r="Y105" s="58">
        <f t="shared" si="94"/>
        <v>-3.6431626903018197E-2</v>
      </c>
      <c r="Z105" s="27">
        <f>SUMIF('R8'!$AF$7:$AK$7,B105,'R8'!$AF$35:$AK$35)</f>
        <v>463351.38145298639</v>
      </c>
      <c r="AA105" s="58">
        <f t="shared" si="95"/>
        <v>-3.6222911257323284E-2</v>
      </c>
      <c r="AB105" s="5"/>
      <c r="AC105" s="5"/>
      <c r="AD105" s="5"/>
    </row>
    <row r="106" spans="1:30" x14ac:dyDescent="0.25">
      <c r="A106" s="107"/>
      <c r="B106" s="31">
        <v>2040</v>
      </c>
      <c r="C106" s="6">
        <f>SUMIF('R8'!$AF$7:$AK$7,B106,'R8'!$AF$42:$AK$42)</f>
        <v>21.106159999999999</v>
      </c>
      <c r="D106" s="43">
        <f>SUMIF('R8'!$AF$7:$AK$7,B106,'R8'!$AF$46:$AK$46)</f>
        <v>0.83241565308735976</v>
      </c>
      <c r="E106" s="35">
        <f>SUMIF('R8'!$AF$7:$AK$7,B106,'R8'!$AF$47:$AK$47)</f>
        <v>0.93581367348848743</v>
      </c>
      <c r="F106" s="50">
        <f t="shared" si="86"/>
        <v>1.1242144114152985</v>
      </c>
      <c r="G106" s="58">
        <f t="shared" si="88"/>
        <v>3.9005386530476936E-2</v>
      </c>
      <c r="H106" s="4">
        <f>SUMIF('R8'!$AF$7:$AK$7,B106,'R8'!$AF$44:$AK$44)</f>
        <v>1</v>
      </c>
      <c r="I106" s="5">
        <f>SUMIF('R8'!$AF$7:$AK$7,B106,'R8'!$AF$45:$AK$45)</f>
        <v>1</v>
      </c>
      <c r="J106" s="5">
        <f t="shared" si="87"/>
        <v>1</v>
      </c>
      <c r="K106" s="58">
        <f t="shared" si="89"/>
        <v>-9.9501662508324935E-3</v>
      </c>
      <c r="L106" s="27">
        <f>SUMIF('R8'!$AF$7:$AK$7,B106,'R8'!$AF$36:$AK$36)</f>
        <v>1.691765566543491</v>
      </c>
      <c r="M106" s="24">
        <f>SUMIF('R8'!$AF$7:$AK$7,B106,'R8'!$AF$37:$AK$37)</f>
        <v>8.6577653765009863</v>
      </c>
      <c r="N106" s="24">
        <f t="shared" si="55"/>
        <v>10.349530943044478</v>
      </c>
      <c r="O106" s="58"/>
      <c r="P106" s="40">
        <f t="shared" si="56"/>
        <v>5.1175916732895725</v>
      </c>
      <c r="Q106" s="58">
        <f t="shared" si="90"/>
        <v>-7.0410688107300475E-3</v>
      </c>
      <c r="R106" s="27">
        <f>SUMIF('R8'!$AF$7:$AK$7,B106,'R8'!$AF$40:$AK$40)</f>
        <v>204073.84516051519</v>
      </c>
      <c r="S106" s="58">
        <f t="shared" si="91"/>
        <v>-1.186418188669461E-2</v>
      </c>
      <c r="T106" s="27">
        <f>SUMIF('R8'!$AF$7:$AK$7,B106,'R8'!$AF$41:$AK$41)</f>
        <v>245034.25142739841</v>
      </c>
      <c r="U106" s="58">
        <f t="shared" si="92"/>
        <v>-4.8959869772224322E-2</v>
      </c>
      <c r="V106" s="24">
        <f t="shared" si="57"/>
        <v>1.2007136496823767</v>
      </c>
      <c r="W106" s="58">
        <f t="shared" si="93"/>
        <v>-3.7541082111928893E-2</v>
      </c>
      <c r="X106" s="27">
        <f>SUMIF('R8'!$AF$7:$AK$7,B106,'R8'!$AF$52:$AK$52)</f>
        <v>131754.8675937166</v>
      </c>
      <c r="Y106" s="58">
        <f t="shared" si="94"/>
        <v>-8.6534353660234528E-2</v>
      </c>
      <c r="Z106" s="27">
        <f>SUMIF('R8'!$AF$7:$AK$7,B106,'R8'!$AF$35:$AK$35)</f>
        <v>1363601.0790578979</v>
      </c>
      <c r="AA106" s="58">
        <f t="shared" si="95"/>
        <v>-8.609812938559866E-2</v>
      </c>
      <c r="AB106" s="5"/>
      <c r="AC106" s="5"/>
      <c r="AD106" s="5"/>
    </row>
    <row r="107" spans="1:30" x14ac:dyDescent="0.25">
      <c r="A107" s="107"/>
      <c r="B107" s="31">
        <v>2060</v>
      </c>
      <c r="C107" s="6">
        <f>SUMIF('R8'!$AF$7:$AK$7,B107,'R8'!$AF$42:$AK$42)</f>
        <v>22.328240000000001</v>
      </c>
      <c r="D107" s="43">
        <f>SUMIF('R8'!$AF$7:$AK$7,B107,'R8'!$AF$46:$AK$46)</f>
        <v>0.77676075594033223</v>
      </c>
      <c r="E107" s="35">
        <f>SUMIF('R8'!$AF$7:$AK$7,B107,'R8'!$AF$47:$AK$47)</f>
        <v>0.8993395708601768</v>
      </c>
      <c r="F107" s="50">
        <f t="shared" si="86"/>
        <v>1.1578076827162218</v>
      </c>
      <c r="G107" s="58">
        <f t="shared" si="88"/>
        <v>7.0052479930478861E-2</v>
      </c>
      <c r="H107" s="4">
        <f>SUMIF('R8'!$AF$7:$AK$7,B107,'R8'!$AF$44:$AK$44)</f>
        <v>0.99004983374916744</v>
      </c>
      <c r="I107" s="5">
        <f>SUMIF('R8'!$AF$7:$AK$7,B107,'R8'!$AF$45:$AK$45)</f>
        <v>1</v>
      </c>
      <c r="J107" s="5">
        <f t="shared" si="87"/>
        <v>1.0100501670841686</v>
      </c>
      <c r="K107" s="58">
        <f t="shared" si="89"/>
        <v>0</v>
      </c>
      <c r="L107" s="27">
        <f>SUMIF('R8'!$AF$7:$AK$7,B107,'R8'!$AF$36:$AK$36)</f>
        <v>1.59655059519673</v>
      </c>
      <c r="M107" s="24">
        <f>SUMIF('R8'!$AF$7:$AK$7,B107,'R8'!$AF$37:$AK$37)</f>
        <v>15.013528603452601</v>
      </c>
      <c r="N107" s="24">
        <f t="shared" si="55"/>
        <v>16.610079198649331</v>
      </c>
      <c r="O107" s="58"/>
      <c r="P107" s="40">
        <f t="shared" si="56"/>
        <v>9.4037286689324144</v>
      </c>
      <c r="Q107" s="58">
        <f t="shared" si="90"/>
        <v>-1.6784468024515671E-2</v>
      </c>
      <c r="R107" s="27">
        <f>SUMIF('R8'!$AF$7:$AK$7,B107,'R8'!$AF$40:$AK$40)</f>
        <v>314030.35817946278</v>
      </c>
      <c r="S107" s="58">
        <f t="shared" si="91"/>
        <v>-2.2319194089092033E-2</v>
      </c>
      <c r="T107" s="27">
        <f>SUMIF('R8'!$AF$7:$AK$7,B107,'R8'!$AF$41:$AK$41)</f>
        <v>366120.29488124262</v>
      </c>
      <c r="U107" s="58">
        <f t="shared" si="92"/>
        <v>-8.6324433382531485E-2</v>
      </c>
      <c r="V107" s="24">
        <f t="shared" si="57"/>
        <v>1.1658754809686629</v>
      </c>
      <c r="W107" s="58">
        <f t="shared" si="93"/>
        <v>-6.5466396503310209E-2</v>
      </c>
      <c r="X107" s="27">
        <f>SUMIF('R8'!$AF$7:$AK$7,B107,'R8'!$AF$52:$AK$52)</f>
        <v>192638.18374214231</v>
      </c>
      <c r="Y107" s="58">
        <f t="shared" si="94"/>
        <v>-0.15673433997773761</v>
      </c>
      <c r="Z107" s="27">
        <f>SUMIF('R8'!$AF$7:$AK$7,B107,'R8'!$AF$35:$AK$35)</f>
        <v>3199735.4886409449</v>
      </c>
      <c r="AA107" s="58">
        <f t="shared" si="95"/>
        <v>-0.15600409973166685</v>
      </c>
      <c r="AB107" s="5"/>
      <c r="AC107" s="5"/>
      <c r="AD107" s="5"/>
    </row>
    <row r="108" spans="1:30" x14ac:dyDescent="0.25">
      <c r="A108" s="107"/>
      <c r="B108" s="31">
        <v>2080</v>
      </c>
      <c r="C108" s="6">
        <f>SUMIF('R8'!$AF$7:$AK$7,B108,'R8'!$AF$42:$AK$42)</f>
        <v>23.701589999999999</v>
      </c>
      <c r="D108" s="43">
        <f>SUMIF('R8'!$AF$7:$AK$7,B108,'R8'!$AF$46:$AK$46)</f>
        <v>0.70451286227714527</v>
      </c>
      <c r="E108" s="35">
        <f>SUMIF('R8'!$AF$7:$AK$7,B108,'R8'!$AF$47:$AK$47)</f>
        <v>0.84699088653316434</v>
      </c>
      <c r="F108" s="50">
        <f t="shared" si="86"/>
        <v>1.2022362285842416</v>
      </c>
      <c r="G108" s="58">
        <f t="shared" si="88"/>
        <v>0.11111359603419008</v>
      </c>
      <c r="H108" s="4">
        <f>SUMIF('R8'!$AF$7:$AK$7,B108,'R8'!$AF$44:$AK$44)</f>
        <v>0.95122942450071424</v>
      </c>
      <c r="I108" s="5">
        <f>SUMIF('R8'!$AF$7:$AK$7,B108,'R8'!$AF$45:$AK$45)</f>
        <v>1</v>
      </c>
      <c r="J108" s="5">
        <f t="shared" si="87"/>
        <v>1.0512710963760239</v>
      </c>
      <c r="K108" s="58">
        <f t="shared" si="89"/>
        <v>4.081077419238751E-2</v>
      </c>
      <c r="L108" s="27">
        <f>SUMIF('R8'!$AF$7:$AK$7,B108,'R8'!$AF$36:$AK$36)</f>
        <v>1.4557207468747539</v>
      </c>
      <c r="M108" s="24">
        <f>SUMIF('R8'!$AF$7:$AK$7,B108,'R8'!$AF$37:$AK$37)</f>
        <v>24.9151717331399</v>
      </c>
      <c r="N108" s="24">
        <f t="shared" si="55"/>
        <v>26.370892480014653</v>
      </c>
      <c r="O108" s="58"/>
      <c r="P108" s="40">
        <f t="shared" si="56"/>
        <v>17.115351132165689</v>
      </c>
      <c r="Q108" s="58">
        <f t="shared" si="90"/>
        <v>-3.5688291934210602E-2</v>
      </c>
      <c r="R108" s="27">
        <f>SUMIF('R8'!$AF$7:$AK$7,B108,'R8'!$AF$40:$AK$40)</f>
        <v>430281.26922861929</v>
      </c>
      <c r="S108" s="58">
        <f t="shared" si="91"/>
        <v>-4.2813745906674659E-2</v>
      </c>
      <c r="T108" s="27">
        <f>SUMIF('R8'!$AF$7:$AK$7,B108,'R8'!$AF$41:$AK$41)</f>
        <v>483115.7832436809</v>
      </c>
      <c r="U108" s="58">
        <f t="shared" si="92"/>
        <v>-0.13853429792441085</v>
      </c>
      <c r="V108" s="24">
        <f t="shared" si="57"/>
        <v>1.1227906436870467</v>
      </c>
      <c r="W108" s="58">
        <f t="shared" si="93"/>
        <v>-0.10000201278319182</v>
      </c>
      <c r="X108" s="27">
        <f>SUMIF('R8'!$AF$7:$AK$7,B108,'R8'!$AF$52:$AK$52)</f>
        <v>242004.11079595151</v>
      </c>
      <c r="Y108" s="58">
        <f t="shared" si="94"/>
        <v>-0.25127715441895393</v>
      </c>
      <c r="Z108" s="27">
        <f>SUMIF('R8'!$AF$7:$AK$7,B108,'R8'!$AF$35:$AK$35)</f>
        <v>6381864.3855215916</v>
      </c>
      <c r="AA108" s="58">
        <f t="shared" si="95"/>
        <v>-0.25026130390655621</v>
      </c>
      <c r="AB108" s="5"/>
      <c r="AC108" s="5"/>
      <c r="AD108" s="5"/>
    </row>
    <row r="109" spans="1:30" ht="15.75" thickBot="1" x14ac:dyDescent="0.3">
      <c r="A109" s="108"/>
      <c r="B109" s="32">
        <v>2100</v>
      </c>
      <c r="C109" s="9">
        <f>SUMIF('R8'!$AF$7:$AK$7,B109,'R8'!$AF$42:$AK$42)</f>
        <v>25.04955</v>
      </c>
      <c r="D109" s="44">
        <f>SUMIF('R8'!$AF$7:$AK$7,B109,'R8'!$AF$46:$AK$46)</f>
        <v>0.62889522314482038</v>
      </c>
      <c r="E109" s="36">
        <f>SUMIF('R8'!$AF$7:$AK$7,B109,'R8'!$AF$47:$AK$47)</f>
        <v>0.78708685237600196</v>
      </c>
      <c r="F109" s="51">
        <f t="shared" si="86"/>
        <v>1.2515389263733581</v>
      </c>
      <c r="G109" s="59">
        <f t="shared" si="88"/>
        <v>0.15667943121049507</v>
      </c>
      <c r="H109" s="7">
        <f>SUMIF('R8'!$AF$7:$AK$7,B109,'R8'!$AF$44:$AK$44)</f>
        <v>0.91393118527122841</v>
      </c>
      <c r="I109" s="8">
        <f>SUMIF('R8'!$AF$7:$AK$7,B109,'R8'!$AF$45:$AK$45)</f>
        <v>1</v>
      </c>
      <c r="J109" s="8">
        <f t="shared" si="87"/>
        <v>1.0941742837052102</v>
      </c>
      <c r="K109" s="59">
        <f t="shared" si="89"/>
        <v>8.328706767495779E-2</v>
      </c>
      <c r="L109" s="28">
        <f>SUMIF('R8'!$AF$7:$AK$7,B109,'R8'!$AF$36:$AK$36)</f>
        <v>1.294820444855457</v>
      </c>
      <c r="M109" s="25">
        <f>SUMIF('R8'!$AF$7:$AK$7,B109,'R8'!$AF$37:$AK$37)</f>
        <v>40.309349854943868</v>
      </c>
      <c r="N109" s="25">
        <f t="shared" si="55"/>
        <v>41.604170299799321</v>
      </c>
      <c r="O109" s="59"/>
      <c r="P109" s="41">
        <f t="shared" si="56"/>
        <v>31.131227511196482</v>
      </c>
      <c r="Q109" s="59">
        <f t="shared" si="90"/>
        <v>-5.4827978966434626E-2</v>
      </c>
      <c r="R109" s="33">
        <f>SUMIF('R8'!$AF$7:$AK$7,B109,'R8'!$AF$40:$AK$40)</f>
        <v>549075.45382930059</v>
      </c>
      <c r="S109" s="59">
        <f t="shared" si="91"/>
        <v>-7.2126831344353826E-2</v>
      </c>
      <c r="T109" s="28">
        <f>SUMIF('R8'!$AF$7:$AK$7,B109,'R8'!$AF$41:$AK$41)</f>
        <v>592210.7181752458</v>
      </c>
      <c r="U109" s="59">
        <f t="shared" si="92"/>
        <v>-0.19781302959230182</v>
      </c>
      <c r="V109" s="25">
        <f t="shared" si="57"/>
        <v>1.0785598118530269</v>
      </c>
      <c r="W109" s="59">
        <f t="shared" si="93"/>
        <v>-0.1354562266630138</v>
      </c>
      <c r="X109" s="28">
        <f>SUMIF('R8'!$AF$7:$AK$7,B109,'R8'!$AF$52:$AK$52)</f>
        <v>277416.8194951808</v>
      </c>
      <c r="Y109" s="59">
        <f t="shared" si="94"/>
        <v>-0.352070655209199</v>
      </c>
      <c r="Z109" s="28">
        <f>SUMIF('R8'!$AF$7:$AK$7,B109,'R8'!$AF$35:$AK$35)</f>
        <v>11541696.602306191</v>
      </c>
      <c r="AA109" s="59">
        <f t="shared" si="95"/>
        <v>-0.35091080594490603</v>
      </c>
      <c r="AB109" s="5"/>
      <c r="AC109" s="5"/>
      <c r="AD109" s="5"/>
    </row>
    <row r="110" spans="1:30" x14ac:dyDescent="0.25">
      <c r="A110" s="91" t="s">
        <v>6</v>
      </c>
      <c r="B110" s="21">
        <v>2000</v>
      </c>
      <c r="C110" s="3">
        <f>SUMIF('R9'!$AF$7:$AK$7,B110,'R9'!$AF$17:$AK$17)</f>
        <v>17.474866370000001</v>
      </c>
      <c r="D110" s="42">
        <f>SUMIF('R9'!$AF$7:$AK$7,B110,'R9'!$AF$21:$AK$21)</f>
        <v>0.96439833420871968</v>
      </c>
      <c r="E110" s="34">
        <f>SUMIF('R9'!$AF$7:$AK$7,B110,'R9'!$AF$22:$AK$22)</f>
        <v>0.99844694181596516</v>
      </c>
      <c r="F110" s="45">
        <f>E110/D110</f>
        <v>1.0353055437773875</v>
      </c>
      <c r="G110" s="53"/>
      <c r="H110" s="1">
        <f>SUMIF('R9'!$AF$7:$AK$7,B110,'R9'!$AF$19:$AK$19)</f>
        <v>0.91305087301969401</v>
      </c>
      <c r="I110" s="2">
        <f>SUMIF('R9'!$AF$7:$AK$7,B110,'R9'!$AF$20:$AK$20)</f>
        <v>0.99563611390647888</v>
      </c>
      <c r="J110" s="2">
        <f>I110/H110</f>
        <v>1.0904497693689885</v>
      </c>
      <c r="K110" s="53"/>
      <c r="L110" s="26">
        <f>SUMIF('R9'!$AF$7:$AK$7,B110,'R9'!$AF$11:$AK$11)</f>
        <v>11.890499999999999</v>
      </c>
      <c r="M110" s="24">
        <f>SUMIF('R9'!$AF$7:$AK$7,B110,'R9'!$AF$12:$AK$12)</f>
        <v>17.795100000000001</v>
      </c>
      <c r="N110" s="23">
        <f t="shared" si="55"/>
        <v>29.685600000000001</v>
      </c>
      <c r="O110" s="90">
        <f>N110</f>
        <v>29.685600000000001</v>
      </c>
      <c r="P110" s="38">
        <f t="shared" si="56"/>
        <v>1.4965813044026746</v>
      </c>
      <c r="Q110" s="53"/>
      <c r="R110" s="26">
        <f>SUMIF('R9'!$AF$7:$AK$7,B110,'R9'!$AF$15:$AK$15)</f>
        <v>12693901918.097731</v>
      </c>
      <c r="S110" s="53"/>
      <c r="T110" s="26">
        <f>SUMIF('R9'!$AF$7:$AK$7,B110,'R9'!$AF$16:$AK$16)</f>
        <v>16550655338.802481</v>
      </c>
      <c r="U110" s="53"/>
      <c r="V110" s="23">
        <f t="shared" si="57"/>
        <v>1.3038272585993567</v>
      </c>
      <c r="W110" s="90">
        <f>V110</f>
        <v>1.3038272585993567</v>
      </c>
      <c r="X110" s="26">
        <f>SUMIF('R9'!$AF$7:$AK$7,B110,'R9'!$AF$27:$AK$27)</f>
        <v>5152994447.4046478</v>
      </c>
      <c r="Y110" s="87">
        <f>X110/1000000/1000</f>
        <v>5.1529944474046481</v>
      </c>
      <c r="Z110" s="26">
        <f>SUMIF('R9'!$AF$7:$AK$7,B110,'R9'!$AF$10:$AK$10)</f>
        <v>267000000000</v>
      </c>
      <c r="AA110" s="53"/>
      <c r="AB110" s="5"/>
      <c r="AC110" s="5"/>
      <c r="AD110" s="5"/>
    </row>
    <row r="111" spans="1:30" s="10" customFormat="1" x14ac:dyDescent="0.25">
      <c r="A111" s="92"/>
      <c r="B111" s="31">
        <v>2020</v>
      </c>
      <c r="C111" s="14">
        <f>SUMIF('R9'!$AF$7:$AK$7,B111,'R9'!$AF$17:$AK$17)</f>
        <v>17.474866370000001</v>
      </c>
      <c r="D111" s="43">
        <f>SUMIF('R9'!$AF$7:$AK$7,B111,'R9'!$AF$21:$AK$21)</f>
        <v>0.96439833420871968</v>
      </c>
      <c r="E111" s="35">
        <f>SUMIF('R9'!$AF$7:$AK$7,B111,'R9'!$AF$22:$AK$22)</f>
        <v>0.99844694181596516</v>
      </c>
      <c r="F111" s="46">
        <f t="shared" ref="F111:F133" si="96">E111/D111</f>
        <v>1.0353055437773875</v>
      </c>
      <c r="G111" s="54"/>
      <c r="H111" s="4">
        <f>SUMIF('R9'!$AF$7:$AK$7,B111,'R9'!$AF$19:$AK$19)</f>
        <v>0.91305087301969401</v>
      </c>
      <c r="I111" s="5">
        <f>SUMIF('R9'!$AF$7:$AK$7,B111,'R9'!$AF$20:$AK$20)</f>
        <v>0.99563611390647888</v>
      </c>
      <c r="J111" s="5">
        <f t="shared" ref="J111:J133" si="97">I111/H111</f>
        <v>1.0904497693689885</v>
      </c>
      <c r="K111" s="55"/>
      <c r="L111" s="27">
        <f>SUMIF('R9'!$AF$7:$AK$7,B111,'R9'!$AF$11:$AK$11)</f>
        <v>10.53334762993039</v>
      </c>
      <c r="M111" s="24">
        <f>SUMIF('R9'!$AF$7:$AK$7,B111,'R9'!$AF$12:$AK$12)</f>
        <v>29.253898316069609</v>
      </c>
      <c r="N111" s="24">
        <f t="shared" si="55"/>
        <v>39.787245945999999</v>
      </c>
      <c r="O111" s="55">
        <f t="shared" ref="O111:O115" si="98">N111</f>
        <v>39.787245945999999</v>
      </c>
      <c r="P111" s="39">
        <f t="shared" si="56"/>
        <v>2.7772650579712175</v>
      </c>
      <c r="Q111" s="55"/>
      <c r="R111" s="27">
        <f>SUMIF('R9'!$AF$7:$AK$7,B111,'R9'!$AF$15:$AK$15)</f>
        <v>30828552397.620178</v>
      </c>
      <c r="S111" s="55"/>
      <c r="T111" s="27">
        <f>SUMIF('R9'!$AF$7:$AK$7,B111,'R9'!$AF$16:$AK$16)</f>
        <v>40195106959.175758</v>
      </c>
      <c r="U111" s="55"/>
      <c r="V111" s="24">
        <f t="shared" si="57"/>
        <v>1.3038272585993573</v>
      </c>
      <c r="W111" s="55">
        <f t="shared" ref="W111:W115" si="99">V111</f>
        <v>1.3038272585993573</v>
      </c>
      <c r="X111" s="27">
        <f>SUMIF('R9'!$AF$7:$AK$7,B111,'R9'!$AF$27:$AK$27)</f>
        <v>25452264741.496521</v>
      </c>
      <c r="Y111" s="88">
        <f t="shared" ref="Y111:Y115" si="100">X111/1000000/1000</f>
        <v>25.452264741496521</v>
      </c>
      <c r="Z111" s="27">
        <f>SUMIF('R9'!$AF$7:$AK$7,B111,'R9'!$AF$10:$AK$10)</f>
        <v>1012675517152.626</v>
      </c>
      <c r="AA111" s="55"/>
      <c r="AB111" s="13"/>
      <c r="AC111" s="13"/>
      <c r="AD111" s="13"/>
    </row>
    <row r="112" spans="1:30" x14ac:dyDescent="0.25">
      <c r="A112" s="92"/>
      <c r="B112" s="31">
        <v>2040</v>
      </c>
      <c r="C112" s="6">
        <f>SUMIF('R9'!$AF$7:$AK$7,B112,'R9'!$AF$17:$AK$17)</f>
        <v>17.474866370000001</v>
      </c>
      <c r="D112" s="43">
        <f>SUMIF('R9'!$AF$7:$AK$7,B112,'R9'!$AF$21:$AK$21)</f>
        <v>0.96439833420871968</v>
      </c>
      <c r="E112" s="35">
        <f>SUMIF('R9'!$AF$7:$AK$7,B112,'R9'!$AF$22:$AK$22)</f>
        <v>0.99844694181596516</v>
      </c>
      <c r="F112" s="47">
        <f t="shared" si="96"/>
        <v>1.0353055437773875</v>
      </c>
      <c r="G112" s="55"/>
      <c r="H112" s="4">
        <f>SUMIF('R9'!$AF$7:$AK$7,B112,'R9'!$AF$19:$AK$19)</f>
        <v>0.91305087301969401</v>
      </c>
      <c r="I112" s="5">
        <f>SUMIF('R9'!$AF$7:$AK$7,B112,'R9'!$AF$20:$AK$20)</f>
        <v>0.99563611390647888</v>
      </c>
      <c r="J112" s="5">
        <f t="shared" si="97"/>
        <v>1.0904497693689885</v>
      </c>
      <c r="K112" s="55"/>
      <c r="L112" s="27">
        <f>SUMIF('R9'!$AF$7:$AK$7,B112,'R9'!$AF$11:$AK$11)</f>
        <v>7.6693701468347113</v>
      </c>
      <c r="M112" s="24">
        <f>SUMIF('R9'!$AF$7:$AK$7,B112,'R9'!$AF$12:$AK$12)</f>
        <v>39.527017251165283</v>
      </c>
      <c r="N112" s="24">
        <f t="shared" si="55"/>
        <v>47.196387397999992</v>
      </c>
      <c r="O112" s="55">
        <f t="shared" si="98"/>
        <v>47.196387397999992</v>
      </c>
      <c r="P112" s="40">
        <f t="shared" si="56"/>
        <v>5.1538805005361237</v>
      </c>
      <c r="Q112" s="55"/>
      <c r="R112" s="27">
        <f>SUMIF('R9'!$AF$7:$AK$7,B112,'R9'!$AF$15:$AK$15)</f>
        <v>49660386078.816383</v>
      </c>
      <c r="S112" s="55"/>
      <c r="T112" s="27">
        <f>SUMIF('R9'!$AF$7:$AK$7,B112,'R9'!$AF$16:$AK$16)</f>
        <v>64748565042.128838</v>
      </c>
      <c r="U112" s="55"/>
      <c r="V112" s="24">
        <f t="shared" si="57"/>
        <v>1.3038272585993571</v>
      </c>
      <c r="W112" s="55">
        <f t="shared" si="99"/>
        <v>1.3038272585993571</v>
      </c>
      <c r="X112" s="27">
        <f>SUMIF('R9'!$AF$7:$AK$7,B112,'R9'!$AF$27:$AK$27)</f>
        <v>43940236524.539932</v>
      </c>
      <c r="Y112" s="88">
        <f t="shared" si="100"/>
        <v>43.940236524539934</v>
      </c>
      <c r="Z112" s="27">
        <f>SUMIF('R9'!$AF$7:$AK$7,B112,'R9'!$AF$10:$AK$10)</f>
        <v>2073820425371.936</v>
      </c>
      <c r="AA112" s="55"/>
      <c r="AB112" s="5"/>
      <c r="AC112" s="5"/>
      <c r="AD112" s="5"/>
    </row>
    <row r="113" spans="1:30" x14ac:dyDescent="0.25">
      <c r="A113" s="92"/>
      <c r="B113" s="31">
        <v>2060</v>
      </c>
      <c r="C113" s="6">
        <f>SUMIF('R9'!$AF$7:$AK$7,B113,'R9'!$AF$17:$AK$17)</f>
        <v>17.474866370000001</v>
      </c>
      <c r="D113" s="43">
        <f>SUMIF('R9'!$AF$7:$AK$7,B113,'R9'!$AF$21:$AK$21)</f>
        <v>0.96439833420871968</v>
      </c>
      <c r="E113" s="35">
        <f>SUMIF('R9'!$AF$7:$AK$7,B113,'R9'!$AF$22:$AK$22)</f>
        <v>0.99844694181596516</v>
      </c>
      <c r="F113" s="47">
        <f t="shared" si="96"/>
        <v>1.0353055437773875</v>
      </c>
      <c r="G113" s="55"/>
      <c r="H113" s="4">
        <f>SUMIF('R9'!$AF$7:$AK$7,B113,'R9'!$AF$19:$AK$19)</f>
        <v>0.91305087301969401</v>
      </c>
      <c r="I113" s="5">
        <f>SUMIF('R9'!$AF$7:$AK$7,B113,'R9'!$AF$20:$AK$20)</f>
        <v>0.99563611390647888</v>
      </c>
      <c r="J113" s="5">
        <f t="shared" si="97"/>
        <v>1.0904497693689885</v>
      </c>
      <c r="K113" s="55"/>
      <c r="L113" s="27">
        <f>SUMIF('R9'!$AF$7:$AK$7,B113,'R9'!$AF$11:$AK$11)</f>
        <v>4.8829147897699654</v>
      </c>
      <c r="M113" s="24">
        <f>SUMIF('R9'!$AF$7:$AK$7,B113,'R9'!$AF$12:$AK$12)</f>
        <v>46.70146504323003</v>
      </c>
      <c r="N113" s="24">
        <f t="shared" si="55"/>
        <v>51.584379832999993</v>
      </c>
      <c r="O113" s="55">
        <f t="shared" si="98"/>
        <v>51.584379832999993</v>
      </c>
      <c r="P113" s="40">
        <f t="shared" si="56"/>
        <v>9.5642596797045769</v>
      </c>
      <c r="Q113" s="55"/>
      <c r="R113" s="27">
        <f>SUMIF('R9'!$AF$7:$AK$7,B113,'R9'!$AF$15:$AK$15)</f>
        <v>73633303313.683334</v>
      </c>
      <c r="S113" s="55"/>
      <c r="T113" s="27">
        <f>SUMIF('R9'!$AF$7:$AK$7,B113,'R9'!$AF$16:$AK$16)</f>
        <v>96005108001.094727</v>
      </c>
      <c r="U113" s="55"/>
      <c r="V113" s="24">
        <f t="shared" si="57"/>
        <v>1.3038272585993576</v>
      </c>
      <c r="W113" s="55">
        <f t="shared" si="99"/>
        <v>1.3038272585993576</v>
      </c>
      <c r="X113" s="27">
        <f>SUMIF('R9'!$AF$7:$AK$7,B113,'R9'!$AF$27:$AK$27)</f>
        <v>68023167479.373451</v>
      </c>
      <c r="Y113" s="88">
        <f t="shared" si="100"/>
        <v>68.023167479373456</v>
      </c>
      <c r="Z113" s="27">
        <f>SUMIF('R9'!$AF$7:$AK$7,B113,'R9'!$AF$10:$AK$10)</f>
        <v>3508932908699.7729</v>
      </c>
      <c r="AA113" s="55"/>
      <c r="AB113" s="5"/>
      <c r="AC113" s="5"/>
      <c r="AD113" s="5"/>
    </row>
    <row r="114" spans="1:30" x14ac:dyDescent="0.25">
      <c r="A114" s="92"/>
      <c r="B114" s="31">
        <v>2080</v>
      </c>
      <c r="C114" s="6">
        <f>SUMIF('R9'!$AF$7:$AK$7,B114,'R9'!$AF$17:$AK$17)</f>
        <v>17.474866370000001</v>
      </c>
      <c r="D114" s="43">
        <f>SUMIF('R9'!$AF$7:$AK$7,B114,'R9'!$AF$21:$AK$21)</f>
        <v>0.96439833420871968</v>
      </c>
      <c r="E114" s="35">
        <f>SUMIF('R9'!$AF$7:$AK$7,B114,'R9'!$AF$22:$AK$22)</f>
        <v>0.99844694181596516</v>
      </c>
      <c r="F114" s="47">
        <f t="shared" si="96"/>
        <v>1.0353055437773875</v>
      </c>
      <c r="G114" s="55"/>
      <c r="H114" s="4">
        <f>SUMIF('R9'!$AF$7:$AK$7,B114,'R9'!$AF$19:$AK$19)</f>
        <v>0.91305087301969401</v>
      </c>
      <c r="I114" s="5">
        <f>SUMIF('R9'!$AF$7:$AK$7,B114,'R9'!$AF$20:$AK$20)</f>
        <v>0.99563611390647888</v>
      </c>
      <c r="J114" s="5">
        <f t="shared" si="97"/>
        <v>1.0904497693689885</v>
      </c>
      <c r="K114" s="55"/>
      <c r="L114" s="27">
        <f>SUMIF('R9'!$AF$7:$AK$7,B114,'R9'!$AF$11:$AK$11)</f>
        <v>2.7963236207692268</v>
      </c>
      <c r="M114" s="24">
        <f>SUMIF('R9'!$AF$7:$AK$7,B114,'R9'!$AF$12:$AK$12)</f>
        <v>49.631317600230773</v>
      </c>
      <c r="N114" s="24">
        <f t="shared" si="55"/>
        <v>52.427641221000002</v>
      </c>
      <c r="O114" s="55">
        <f t="shared" si="98"/>
        <v>52.427641221000002</v>
      </c>
      <c r="P114" s="40">
        <f t="shared" si="56"/>
        <v>17.748774580882717</v>
      </c>
      <c r="Q114" s="55"/>
      <c r="R114" s="27">
        <f>SUMIF('R9'!$AF$7:$AK$7,B114,'R9'!$AF$15:$AK$15)</f>
        <v>100124513929.9736</v>
      </c>
      <c r="S114" s="55"/>
      <c r="T114" s="27">
        <f>SUMIF('R9'!$AF$7:$AK$7,B114,'R9'!$AF$16:$AK$16)</f>
        <v>130545070515.91071</v>
      </c>
      <c r="U114" s="55"/>
      <c r="V114" s="24">
        <f t="shared" si="57"/>
        <v>1.303827258599358</v>
      </c>
      <c r="W114" s="55">
        <f t="shared" si="99"/>
        <v>1.303827258599358</v>
      </c>
      <c r="X114" s="27">
        <f>SUMIF('R9'!$AF$7:$AK$7,B114,'R9'!$AF$27:$AK$27)</f>
        <v>95609715854.487335</v>
      </c>
      <c r="Y114" s="88">
        <f t="shared" si="100"/>
        <v>95.609715854487334</v>
      </c>
      <c r="Z114" s="27">
        <f>SUMIF('R9'!$AF$7:$AK$7,B114,'R9'!$AF$10:$AK$10)</f>
        <v>5012591880060.8174</v>
      </c>
      <c r="AA114" s="55"/>
      <c r="AB114" s="5"/>
      <c r="AC114" s="5"/>
      <c r="AD114" s="5"/>
    </row>
    <row r="115" spans="1:30" ht="15.75" thickBot="1" x14ac:dyDescent="0.3">
      <c r="A115" s="93"/>
      <c r="B115" s="32">
        <v>2100</v>
      </c>
      <c r="C115" s="9">
        <f>SUMIF('R9'!$AF$7:$AK$7,B115,'R9'!$AF$17:$AK$17)</f>
        <v>17.474866370000001</v>
      </c>
      <c r="D115" s="44">
        <f>SUMIF('R9'!$AF$7:$AK$7,B115,'R9'!$AF$21:$AK$21)</f>
        <v>0.96439833420871968</v>
      </c>
      <c r="E115" s="36">
        <f>SUMIF('R9'!$AF$7:$AK$7,B115,'R9'!$AF$22:$AK$22)</f>
        <v>0.99844694181596516</v>
      </c>
      <c r="F115" s="48">
        <f t="shared" si="96"/>
        <v>1.0353055437773875</v>
      </c>
      <c r="G115" s="56"/>
      <c r="H115" s="7">
        <f>SUMIF('R9'!$AF$7:$AK$7,B115,'R9'!$AF$19:$AK$19)</f>
        <v>0.91305087301969401</v>
      </c>
      <c r="I115" s="8">
        <f>SUMIF('R9'!$AF$7:$AK$7,B115,'R9'!$AF$20:$AK$20)</f>
        <v>0.99563611390647888</v>
      </c>
      <c r="J115" s="8">
        <f t="shared" si="97"/>
        <v>1.0904497693689885</v>
      </c>
      <c r="K115" s="56"/>
      <c r="L115" s="28">
        <f>SUMIF('R9'!$AF$7:$AK$7,B115,'R9'!$AF$11:$AK$11)</f>
        <v>1.46562105</v>
      </c>
      <c r="M115" s="25">
        <f>SUMIF('R9'!$AF$7:$AK$7,B115,'R9'!$AF$12:$AK$12)</f>
        <v>48.273310400000007</v>
      </c>
      <c r="N115" s="25">
        <f t="shared" si="55"/>
        <v>49.73893145000001</v>
      </c>
      <c r="O115" s="56">
        <f t="shared" si="98"/>
        <v>49.73893145000001</v>
      </c>
      <c r="P115" s="41">
        <f t="shared" si="56"/>
        <v>32.937102261188187</v>
      </c>
      <c r="Q115" s="56"/>
      <c r="R115" s="28">
        <f>SUMIF('R9'!$AF$7:$AK$7,B115,'R9'!$AF$15:$AK$15)</f>
        <v>128627500430.7878</v>
      </c>
      <c r="S115" s="56"/>
      <c r="T115" s="28">
        <f>SUMIF('R9'!$AF$7:$AK$7,B115,'R9'!$AF$16:$AK$16)</f>
        <v>167708041267.16171</v>
      </c>
      <c r="U115" s="56"/>
      <c r="V115" s="25">
        <f t="shared" si="57"/>
        <v>1.3038272585993573</v>
      </c>
      <c r="W115" s="56">
        <f t="shared" si="99"/>
        <v>1.3038272585993573</v>
      </c>
      <c r="X115" s="28">
        <f>SUMIF('R9'!$AF$7:$AK$7,B115,'R9'!$AF$27:$AK$27)</f>
        <v>126181527976.91209</v>
      </c>
      <c r="Y115" s="89">
        <f t="shared" si="100"/>
        <v>126.18152797691209</v>
      </c>
      <c r="Z115" s="28">
        <f>SUMIF('R9'!$AF$7:$AK$7,B115,'R9'!$AF$10:$AK$10)</f>
        <v>6276134370299.8877</v>
      </c>
      <c r="AA115" s="56"/>
      <c r="AB115" s="5"/>
      <c r="AC115" s="5"/>
      <c r="AD115" s="5"/>
    </row>
    <row r="116" spans="1:30" x14ac:dyDescent="0.25">
      <c r="A116" s="91" t="s">
        <v>73</v>
      </c>
      <c r="B116" s="21">
        <v>2000</v>
      </c>
      <c r="C116" s="3">
        <f>SUMIF('R9'!$AF$7:$AK$7,B116,'R9'!$AF$42:$AK$42)</f>
        <v>17.474866370000001</v>
      </c>
      <c r="D116" s="42">
        <f>SUMIF('R9'!$AF$7:$AK$7,B116,'R9'!$AF$46:$AK$46)</f>
        <v>0.96439833420871968</v>
      </c>
      <c r="E116" s="34">
        <f>SUMIF('R9'!$AF$7:$AK$7,B116,'R9'!$AF$47:$AK$47)</f>
        <v>0.99844694181596516</v>
      </c>
      <c r="F116" s="49">
        <f t="shared" si="96"/>
        <v>1.0353055437773875</v>
      </c>
      <c r="G116" s="57">
        <f t="shared" ref="G116:G121" si="101">(F116-$F110)/$F110</f>
        <v>0</v>
      </c>
      <c r="H116" s="1">
        <f>SUMIF('R9'!$AF$7:$AK$7,B116,'R9'!$AF$44:$AK$44)</f>
        <v>0.91305087301969401</v>
      </c>
      <c r="I116" s="2">
        <f>SUMIF('R9'!$AF$7:$AK$7,B116,'R9'!$AF$45:$AK$45)</f>
        <v>0.99563611390647888</v>
      </c>
      <c r="J116" s="2">
        <f t="shared" si="97"/>
        <v>1.0904497693689885</v>
      </c>
      <c r="K116" s="57">
        <f t="shared" ref="K116:K121" si="102">(J116-$J110)/$J110</f>
        <v>0</v>
      </c>
      <c r="L116" s="26">
        <f>SUMIF('R9'!$AF$7:$AK$7,B116,'R9'!$AF$36:$AK$36)</f>
        <v>11.890499999999999</v>
      </c>
      <c r="M116" s="23">
        <f>SUMIF('R9'!$AF$7:$AK$7,B116,'R9'!$AF$37:$AK$37)</f>
        <v>17.795100000000001</v>
      </c>
      <c r="N116" s="23">
        <f t="shared" si="55"/>
        <v>29.685600000000001</v>
      </c>
      <c r="O116" s="57">
        <f t="shared" ref="O116:O121" si="103">(N116-$N110)/$N110</f>
        <v>0</v>
      </c>
      <c r="P116" s="38">
        <f t="shared" si="56"/>
        <v>1.4965813044026746</v>
      </c>
      <c r="Q116" s="57">
        <f t="shared" ref="Q116:Q121" si="104">(P116-$P110)/$P110</f>
        <v>0</v>
      </c>
      <c r="R116" s="26">
        <f>SUMIF('R9'!$AF$7:$AK$7,B116,'R9'!$AF$40:$AK$40)</f>
        <v>12693901918.097731</v>
      </c>
      <c r="S116" s="57">
        <f t="shared" ref="S116:S121" si="105">(R116-$R110)/$R110</f>
        <v>0</v>
      </c>
      <c r="T116" s="26">
        <f>SUMIF('R9'!$AF$7:$AK$7,B116,'R9'!$AF$41:$AK$41)</f>
        <v>16550655338.802481</v>
      </c>
      <c r="U116" s="57">
        <f t="shared" ref="U116:U121" si="106">(T116-$T110)/$T110</f>
        <v>0</v>
      </c>
      <c r="V116" s="23">
        <f t="shared" si="57"/>
        <v>1.3038272585993567</v>
      </c>
      <c r="W116" s="57">
        <f t="shared" ref="W116:W121" si="107">(V116-$V110)/$V110</f>
        <v>0</v>
      </c>
      <c r="X116" s="26">
        <f>SUMIF('R9'!$AF$7:$AK$7,B116,'R9'!$AF$52:$AK$52)</f>
        <v>5152994447.4046478</v>
      </c>
      <c r="Y116" s="57">
        <f t="shared" ref="Y116:Y121" si="108">(X116-$X110)/$X110</f>
        <v>0</v>
      </c>
      <c r="Z116" s="26">
        <f>SUMIF('R9'!$AF$7:$AK$7,B116,'R9'!$AF$35:$AK$35)</f>
        <v>267000000000</v>
      </c>
      <c r="AA116" s="57">
        <f t="shared" ref="AA116:AA121" si="109">(Z116-$Z110)/$Z110</f>
        <v>0</v>
      </c>
      <c r="AB116" s="5"/>
      <c r="AC116" s="5"/>
      <c r="AD116" s="5"/>
    </row>
    <row r="117" spans="1:30" x14ac:dyDescent="0.25">
      <c r="A117" s="92"/>
      <c r="B117" s="31">
        <v>2020</v>
      </c>
      <c r="C117" s="14">
        <f>SUMIF('R9'!$AF$7:$AK$7,B117,'R9'!$AF$42:$AK$42)</f>
        <v>17.947823400000001</v>
      </c>
      <c r="D117" s="43">
        <f>SUMIF('R9'!$AF$7:$AK$7,B117,'R9'!$AF$46:$AK$46)</f>
        <v>0.96439833420871968</v>
      </c>
      <c r="E117" s="35">
        <f>SUMIF('R9'!$AF$7:$AK$7,B117,'R9'!$AF$47:$AK$47)</f>
        <v>0.99844694181596516</v>
      </c>
      <c r="F117" s="50">
        <f t="shared" si="96"/>
        <v>1.0353055437773875</v>
      </c>
      <c r="G117" s="58">
        <f t="shared" si="101"/>
        <v>0</v>
      </c>
      <c r="H117" s="4">
        <f>SUMIF('R9'!$AF$7:$AK$7,B117,'R9'!$AF$44:$AK$44)</f>
        <v>0.93642174417761037</v>
      </c>
      <c r="I117" s="5">
        <f>SUMIF('R9'!$AF$7:$AK$7,B117,'R9'!$AF$45:$AK$45)</f>
        <v>0.99493983296554867</v>
      </c>
      <c r="J117" s="13">
        <f t="shared" si="97"/>
        <v>1.062491168270906</v>
      </c>
      <c r="K117" s="58">
        <f t="shared" si="102"/>
        <v>-2.5639513055481129E-2</v>
      </c>
      <c r="L117" s="27">
        <f>SUMIF('R9'!$AF$7:$AK$7,B117,'R9'!$AF$36:$AK$36)</f>
        <v>10.48313423759836</v>
      </c>
      <c r="M117" s="24">
        <f>SUMIF('R9'!$AF$7:$AK$7,B117,'R9'!$AF$37:$AK$37)</f>
        <v>29.304111708401638</v>
      </c>
      <c r="N117" s="24">
        <f t="shared" si="55"/>
        <v>39.787245945999999</v>
      </c>
      <c r="O117" s="58">
        <f t="shared" si="103"/>
        <v>0</v>
      </c>
      <c r="P117" s="39">
        <f t="shared" si="56"/>
        <v>2.7953578618979011</v>
      </c>
      <c r="Q117" s="58">
        <f t="shared" si="104"/>
        <v>6.5146118750006509E-3</v>
      </c>
      <c r="R117" s="27">
        <f>SUMIF('R9'!$AF$7:$AK$7,B117,'R9'!$AF$40:$AK$40)</f>
        <v>30830525629.866371</v>
      </c>
      <c r="S117" s="58">
        <f t="shared" si="105"/>
        <v>6.4006646200658342E-5</v>
      </c>
      <c r="T117" s="27">
        <f>SUMIF('R9'!$AF$7:$AK$7,B117,'R9'!$AF$41:$AK$41)</f>
        <v>40197679713.165894</v>
      </c>
      <c r="U117" s="58">
        <f t="shared" si="106"/>
        <v>6.4006646200698403E-5</v>
      </c>
      <c r="V117" s="24">
        <f t="shared" si="57"/>
        <v>1.3038272585993573</v>
      </c>
      <c r="W117" s="58">
        <f t="shared" si="107"/>
        <v>0</v>
      </c>
      <c r="X117" s="27">
        <f>SUMIF('R9'!$AF$7:$AK$7,B117,'R9'!$AF$52:$AK$52)</f>
        <v>25458642857.095589</v>
      </c>
      <c r="Y117" s="58">
        <f t="shared" si="108"/>
        <v>2.5059127994488529E-4</v>
      </c>
      <c r="Z117" s="27">
        <f>SUMIF('R9'!$AF$7:$AK$7,B117,'R9'!$AF$35:$AK$35)</f>
        <v>1012929284806.6379</v>
      </c>
      <c r="AA117" s="58">
        <f t="shared" si="109"/>
        <v>2.5059127994472505E-4</v>
      </c>
      <c r="AB117" s="5"/>
      <c r="AC117" s="5"/>
      <c r="AD117" s="5"/>
    </row>
    <row r="118" spans="1:30" x14ac:dyDescent="0.25">
      <c r="A118" s="92"/>
      <c r="B118" s="31">
        <v>2040</v>
      </c>
      <c r="C118" s="6">
        <f>SUMIF('R9'!$AF$7:$AK$7,B118,'R9'!$AF$42:$AK$42)</f>
        <v>18.790946000000002</v>
      </c>
      <c r="D118" s="43">
        <f>SUMIF('R9'!$AF$7:$AK$7,B118,'R9'!$AF$46:$AK$46)</f>
        <v>0.96439833420871968</v>
      </c>
      <c r="E118" s="35">
        <f>SUMIF('R9'!$AF$7:$AK$7,B118,'R9'!$AF$47:$AK$47)</f>
        <v>0.99844694181596516</v>
      </c>
      <c r="F118" s="50">
        <f t="shared" si="96"/>
        <v>1.0353055437773875</v>
      </c>
      <c r="G118" s="58">
        <f t="shared" si="101"/>
        <v>0</v>
      </c>
      <c r="H118" s="4">
        <f>SUMIF('R9'!$AF$7:$AK$7,B118,'R9'!$AF$44:$AK$44)</f>
        <v>0.96998391150311303</v>
      </c>
      <c r="I118" s="5">
        <f>SUMIF('R9'!$AF$7:$AK$7,B118,'R9'!$AF$45:$AK$45)</f>
        <v>0.99114648137769323</v>
      </c>
      <c r="J118" s="5">
        <f t="shared" si="97"/>
        <v>1.021817444210787</v>
      </c>
      <c r="K118" s="58">
        <f t="shared" si="102"/>
        <v>-6.2939465059373645E-2</v>
      </c>
      <c r="L118" s="27">
        <f>SUMIF('R9'!$AF$7:$AK$7,B118,'R9'!$AF$36:$AK$36)</f>
        <v>7.5655545417178383</v>
      </c>
      <c r="M118" s="24">
        <f>SUMIF('R9'!$AF$7:$AK$7,B118,'R9'!$AF$37:$AK$37)</f>
        <v>39.630832856282161</v>
      </c>
      <c r="N118" s="24">
        <f t="shared" si="55"/>
        <v>47.196387397999999</v>
      </c>
      <c r="O118" s="58">
        <f t="shared" si="103"/>
        <v>1.5055023804432335E-16</v>
      </c>
      <c r="P118" s="40">
        <f t="shared" si="56"/>
        <v>5.2383249156093674</v>
      </c>
      <c r="Q118" s="58">
        <f t="shared" si="104"/>
        <v>1.6384628061217089E-2</v>
      </c>
      <c r="R118" s="27">
        <f>SUMIF('R9'!$AF$7:$AK$7,B118,'R9'!$AF$40:$AK$40)</f>
        <v>49673238278.756691</v>
      </c>
      <c r="S118" s="58">
        <f t="shared" si="105"/>
        <v>2.5880185304862091E-4</v>
      </c>
      <c r="T118" s="27">
        <f>SUMIF('R9'!$AF$7:$AK$7,B118,'R9'!$AF$41:$AK$41)</f>
        <v>64765322090.744034</v>
      </c>
      <c r="U118" s="58">
        <f t="shared" si="106"/>
        <v>2.5880185304945688E-4</v>
      </c>
      <c r="V118" s="24">
        <f t="shared" si="57"/>
        <v>1.303827258599358</v>
      </c>
      <c r="W118" s="58">
        <f t="shared" si="107"/>
        <v>6.8120865999860699E-16</v>
      </c>
      <c r="X118" s="27">
        <f>SUMIF('R9'!$AF$7:$AK$7,B118,'R9'!$AF$52:$AK$52)</f>
        <v>43967053939.788673</v>
      </c>
      <c r="Y118" s="58">
        <f t="shared" si="108"/>
        <v>6.1031567806340875E-4</v>
      </c>
      <c r="Z118" s="27">
        <f>SUMIF('R9'!$AF$7:$AK$7,B118,'R9'!$AF$35:$AK$35)</f>
        <v>2075086110491.0281</v>
      </c>
      <c r="AA118" s="58">
        <f t="shared" si="109"/>
        <v>6.1031567806312957E-4</v>
      </c>
      <c r="AB118" s="5"/>
      <c r="AC118" s="5"/>
      <c r="AD118" s="5"/>
    </row>
    <row r="119" spans="1:30" x14ac:dyDescent="0.25">
      <c r="A119" s="92"/>
      <c r="B119" s="31">
        <v>2060</v>
      </c>
      <c r="C119" s="6">
        <f>SUMIF('R9'!$AF$7:$AK$7,B119,'R9'!$AF$42:$AK$42)</f>
        <v>19.843035539999999</v>
      </c>
      <c r="D119" s="43">
        <f>SUMIF('R9'!$AF$7:$AK$7,B119,'R9'!$AF$46:$AK$46)</f>
        <v>0.96439833420871968</v>
      </c>
      <c r="E119" s="35">
        <f>SUMIF('R9'!$AF$7:$AK$7,B119,'R9'!$AF$47:$AK$47)</f>
        <v>0.99844694181596516</v>
      </c>
      <c r="F119" s="50">
        <f t="shared" si="96"/>
        <v>1.0353055437773875</v>
      </c>
      <c r="G119" s="58">
        <f t="shared" si="101"/>
        <v>0</v>
      </c>
      <c r="H119" s="4">
        <f>SUMIF('R9'!$AF$7:$AK$7,B119,'R9'!$AF$44:$AK$44)</f>
        <v>0.99730871239556729</v>
      </c>
      <c r="I119" s="5">
        <f>SUMIF('R9'!$AF$7:$AK$7,B119,'R9'!$AF$45:$AK$45)</f>
        <v>0.98182690648408288</v>
      </c>
      <c r="J119" s="5">
        <f t="shared" si="97"/>
        <v>0.98447641565840072</v>
      </c>
      <c r="K119" s="58">
        <f t="shared" si="102"/>
        <v>-9.718315935993227E-2</v>
      </c>
      <c r="L119" s="27">
        <f>SUMIF('R9'!$AF$7:$AK$7,B119,'R9'!$AF$36:$AK$36)</f>
        <v>4.7710910692643536</v>
      </c>
      <c r="M119" s="24">
        <f>SUMIF('R9'!$AF$7:$AK$7,B119,'R9'!$AF$37:$AK$37)</f>
        <v>46.813288763735649</v>
      </c>
      <c r="N119" s="24">
        <f t="shared" si="55"/>
        <v>51.584379833</v>
      </c>
      <c r="O119" s="58">
        <f t="shared" si="103"/>
        <v>1.3774377787625274E-16</v>
      </c>
      <c r="P119" s="40">
        <f t="shared" si="56"/>
        <v>9.8118623359150661</v>
      </c>
      <c r="Q119" s="58">
        <f t="shared" si="104"/>
        <v>2.5888324292982514E-2</v>
      </c>
      <c r="R119" s="27">
        <f>SUMIF('R9'!$AF$7:$AK$7,B119,'R9'!$AF$40:$AK$40)</f>
        <v>73657084862.11673</v>
      </c>
      <c r="S119" s="58">
        <f t="shared" si="105"/>
        <v>3.2297272243897879E-4</v>
      </c>
      <c r="T119" s="27">
        <f>SUMIF('R9'!$AF$7:$AK$7,B119,'R9'!$AF$41:$AK$41)</f>
        <v>96036115032.193893</v>
      </c>
      <c r="U119" s="58">
        <f t="shared" si="106"/>
        <v>3.2297272243903214E-4</v>
      </c>
      <c r="V119" s="24">
        <f t="shared" si="57"/>
        <v>1.3038272585993576</v>
      </c>
      <c r="W119" s="58">
        <f t="shared" si="107"/>
        <v>0</v>
      </c>
      <c r="X119" s="27">
        <f>SUMIF('R9'!$AF$7:$AK$7,B119,'R9'!$AF$52:$AK$52)</f>
        <v>68069640007.344917</v>
      </c>
      <c r="Y119" s="58">
        <f t="shared" si="108"/>
        <v>6.8318676847204816E-4</v>
      </c>
      <c r="Z119" s="27">
        <f>SUMIF('R9'!$AF$7:$AK$7,B119,'R9'!$AF$35:$AK$35)</f>
        <v>3511330165234.4541</v>
      </c>
      <c r="AA119" s="58">
        <f t="shared" si="109"/>
        <v>6.831867684724272E-4</v>
      </c>
      <c r="AB119" s="5"/>
      <c r="AC119" s="5"/>
      <c r="AD119" s="5"/>
    </row>
    <row r="120" spans="1:30" x14ac:dyDescent="0.25">
      <c r="A120" s="92"/>
      <c r="B120" s="31">
        <v>2080</v>
      </c>
      <c r="C120" s="6">
        <f>SUMIF('R9'!$AF$7:$AK$7,B120,'R9'!$AF$42:$AK$42)</f>
        <v>21.022310900000001</v>
      </c>
      <c r="D120" s="43">
        <f>SUMIF('R9'!$AF$7:$AK$7,B120,'R9'!$AF$46:$AK$46)</f>
        <v>0.96439833420871968</v>
      </c>
      <c r="E120" s="35">
        <f>SUMIF('R9'!$AF$7:$AK$7,B120,'R9'!$AF$47:$AK$47)</f>
        <v>0.99844694181596516</v>
      </c>
      <c r="F120" s="50">
        <f t="shared" si="96"/>
        <v>1.0353055437773875</v>
      </c>
      <c r="G120" s="58">
        <f t="shared" si="101"/>
        <v>0</v>
      </c>
      <c r="H120" s="4">
        <f>SUMIF('R9'!$AF$7:$AK$7,B120,'R9'!$AF$44:$AK$44)</f>
        <v>1.00872760149331</v>
      </c>
      <c r="I120" s="5">
        <f>SUMIF('R9'!$AF$7:$AK$7,B120,'R9'!$AF$45:$AK$45)</f>
        <v>0.96532849417460498</v>
      </c>
      <c r="J120" s="5">
        <f t="shared" si="97"/>
        <v>0.95697638564221166</v>
      </c>
      <c r="K120" s="58">
        <f t="shared" si="102"/>
        <v>-0.12240213852676039</v>
      </c>
      <c r="L120" s="27">
        <f>SUMIF('R9'!$AF$7:$AK$7,B120,'R9'!$AF$36:$AK$36)</f>
        <v>2.7111644403156561</v>
      </c>
      <c r="M120" s="24">
        <f>SUMIF('R9'!$AF$7:$AK$7,B120,'R9'!$AF$37:$AK$37)</f>
        <v>49.716476780684353</v>
      </c>
      <c r="N120" s="24">
        <f t="shared" si="55"/>
        <v>52.427641221000009</v>
      </c>
      <c r="O120" s="58">
        <f t="shared" si="103"/>
        <v>1.355282670004026E-16</v>
      </c>
      <c r="P120" s="40">
        <f t="shared" si="56"/>
        <v>18.337684000788958</v>
      </c>
      <c r="Q120" s="58">
        <f t="shared" si="104"/>
        <v>3.318028617821072E-2</v>
      </c>
      <c r="R120" s="27">
        <f>SUMIF('R9'!$AF$7:$AK$7,B120,'R9'!$AF$40:$AK$40)</f>
        <v>100151369617.2818</v>
      </c>
      <c r="S120" s="58">
        <f t="shared" si="105"/>
        <v>2.6822289821031947E-4</v>
      </c>
      <c r="T120" s="27">
        <f>SUMIF('R9'!$AF$7:$AK$7,B120,'R9'!$AF$41:$AK$41)</f>
        <v>130580085693.0715</v>
      </c>
      <c r="U120" s="58">
        <f t="shared" si="106"/>
        <v>2.68222898209929E-4</v>
      </c>
      <c r="V120" s="24">
        <f t="shared" si="57"/>
        <v>1.3038272585993573</v>
      </c>
      <c r="W120" s="58">
        <f t="shared" si="107"/>
        <v>-5.1090649499895485E-16</v>
      </c>
      <c r="X120" s="27">
        <f>SUMIF('R9'!$AF$7:$AK$7,B120,'R9'!$AF$52:$AK$52)</f>
        <v>95662119125.371704</v>
      </c>
      <c r="Y120" s="58">
        <f t="shared" si="108"/>
        <v>5.4809566596896657E-4</v>
      </c>
      <c r="Z120" s="27">
        <f>SUMIF('R9'!$AF$7:$AK$7,B120,'R9'!$AF$35:$AK$35)</f>
        <v>5015339259945.5498</v>
      </c>
      <c r="AA120" s="58">
        <f t="shared" si="109"/>
        <v>5.480956659689374E-4</v>
      </c>
      <c r="AB120" s="5"/>
      <c r="AC120" s="5"/>
      <c r="AD120" s="5"/>
    </row>
    <row r="121" spans="1:30" ht="15.75" thickBot="1" x14ac:dyDescent="0.3">
      <c r="A121" s="93"/>
      <c r="B121" s="32">
        <v>2100</v>
      </c>
      <c r="C121" s="9">
        <f>SUMIF('R9'!$AF$7:$AK$7,B121,'R9'!$AF$42:$AK$42)</f>
        <v>22.185305060000001</v>
      </c>
      <c r="D121" s="44">
        <f>SUMIF('R9'!$AF$7:$AK$7,B121,'R9'!$AF$46:$AK$46)</f>
        <v>0.96439833420871968</v>
      </c>
      <c r="E121" s="36">
        <f>SUMIF('R9'!$AF$7:$AK$7,B121,'R9'!$AF$47:$AK$47)</f>
        <v>0.99844694181596516</v>
      </c>
      <c r="F121" s="51">
        <f t="shared" si="96"/>
        <v>1.0353055437773875</v>
      </c>
      <c r="G121" s="59">
        <f t="shared" si="101"/>
        <v>0</v>
      </c>
      <c r="H121" s="7">
        <f>SUMIF('R9'!$AF$7:$AK$7,B121,'R9'!$AF$44:$AK$44)</f>
        <v>1.00010330606159</v>
      </c>
      <c r="I121" s="8">
        <f>SUMIF('R9'!$AF$7:$AK$7,B121,'R9'!$AF$45:$AK$45)</f>
        <v>0.94279255540789841</v>
      </c>
      <c r="J121" s="8">
        <f t="shared" si="97"/>
        <v>0.94269516928267982</v>
      </c>
      <c r="K121" s="59">
        <f t="shared" si="102"/>
        <v>-0.13549876778992762</v>
      </c>
      <c r="L121" s="28">
        <f>SUMIF('R9'!$AF$7:$AK$7,B121,'R9'!$AF$36:$AK$36)</f>
        <v>1.414720945462832</v>
      </c>
      <c r="M121" s="25">
        <f>SUMIF('R9'!$AF$7:$AK$7,B121,'R9'!$AF$37:$AK$37)</f>
        <v>48.32421050453717</v>
      </c>
      <c r="N121" s="25">
        <f t="shared" si="55"/>
        <v>49.738931450000003</v>
      </c>
      <c r="O121" s="59">
        <f t="shared" si="103"/>
        <v>-1.428544431989602E-16</v>
      </c>
      <c r="P121" s="41">
        <f t="shared" si="56"/>
        <v>34.158121896419438</v>
      </c>
      <c r="Q121" s="59">
        <f t="shared" si="104"/>
        <v>3.7071252520901127E-2</v>
      </c>
      <c r="R121" s="33">
        <f>SUMIF('R9'!$AF$7:$AK$7,B121,'R9'!$AF$40:$AK$40)</f>
        <v>128650367663.29491</v>
      </c>
      <c r="S121" s="59">
        <f t="shared" si="105"/>
        <v>1.7777872096189144E-4</v>
      </c>
      <c r="T121" s="28">
        <f>SUMIF('R9'!$AF$7:$AK$7,B121,'R9'!$AF$41:$AK$41)</f>
        <v>167737856188.23318</v>
      </c>
      <c r="U121" s="59">
        <f t="shared" si="106"/>
        <v>1.777787209617248E-4</v>
      </c>
      <c r="V121" s="25">
        <f t="shared" si="57"/>
        <v>1.3038272585993571</v>
      </c>
      <c r="W121" s="59">
        <f t="shared" si="107"/>
        <v>-1.703021649996517E-16</v>
      </c>
      <c r="X121" s="28">
        <f>SUMIF('R9'!$AF$7:$AK$7,B121,'R9'!$AF$52:$AK$52)</f>
        <v>126226999110.1808</v>
      </c>
      <c r="Y121" s="59">
        <f t="shared" si="108"/>
        <v>3.6036283596936071E-4</v>
      </c>
      <c r="Z121" s="28">
        <f>SUMIF('R9'!$AF$7:$AK$7,B121,'R9'!$AF$35:$AK$35)</f>
        <v>6278396055880.4941</v>
      </c>
      <c r="AA121" s="59">
        <f t="shared" si="109"/>
        <v>3.6036283596942441E-4</v>
      </c>
      <c r="AB121" s="5"/>
      <c r="AC121" s="5"/>
      <c r="AD121" s="5"/>
    </row>
    <row r="122" spans="1:30" x14ac:dyDescent="0.25">
      <c r="A122" s="91" t="s">
        <v>74</v>
      </c>
      <c r="B122" s="21">
        <v>2000</v>
      </c>
      <c r="C122" s="3">
        <f>SUMIF('R9'!$AF$7:$AK$7,B122,'R9'!$AF$67:$AK$67)</f>
        <v>17.474866370000001</v>
      </c>
      <c r="D122" s="42">
        <f>SUMIF('R9'!$AF$7:$AK$7,B122,'R9'!$AF$71:$AK$71)</f>
        <v>0.96439833420871968</v>
      </c>
      <c r="E122" s="34">
        <f>SUMIF('R9'!$AF$7:$AK$7,B122,'R9'!$AF$72:$AK$72)</f>
        <v>0.99844694181596516</v>
      </c>
      <c r="F122" s="49">
        <f t="shared" si="96"/>
        <v>1.0353055437773875</v>
      </c>
      <c r="G122" s="57">
        <f>(F122-$F110)/$F110</f>
        <v>0</v>
      </c>
      <c r="H122" s="1">
        <f>SUMIF('R9'!$AF$7:$AK$7,B122,'R9'!$AF$69:$AK$69)</f>
        <v>0.91305087301969401</v>
      </c>
      <c r="I122" s="2">
        <f>SUMIF('R9'!$AF$7:$AK$7,B122,'R9'!$AF$70:$AK$70)</f>
        <v>0.99563611390647888</v>
      </c>
      <c r="J122" s="2">
        <f t="shared" si="97"/>
        <v>1.0904497693689885</v>
      </c>
      <c r="K122" s="57">
        <f>(J122-$J110)/$J110</f>
        <v>0</v>
      </c>
      <c r="L122" s="26">
        <f>SUMIF('R9'!$AF$7:$AK$7,B122,'R9'!$AF$61:$AK$61)</f>
        <v>11.890499999999999</v>
      </c>
      <c r="M122" s="23">
        <f>SUMIF('R9'!$AF$7:$AK$7,B122,'R9'!$AF$62:$AK$62)</f>
        <v>17.795100000000001</v>
      </c>
      <c r="N122" s="23">
        <f t="shared" si="55"/>
        <v>29.685600000000001</v>
      </c>
      <c r="O122" s="57">
        <f t="shared" ref="O122:O127" si="110">(N122-$N110)/$N110</f>
        <v>0</v>
      </c>
      <c r="P122" s="38">
        <f t="shared" si="56"/>
        <v>1.4965813044026746</v>
      </c>
      <c r="Q122" s="57">
        <f>(P122-$P110)/$P110</f>
        <v>0</v>
      </c>
      <c r="R122" s="26">
        <f>SUMIF('R9'!$AF$7:$AK$7,B122,'R9'!$AF$65:$AK$65)</f>
        <v>12693901918.097731</v>
      </c>
      <c r="S122" s="57">
        <f>(R122-$R110)/$R110</f>
        <v>0</v>
      </c>
      <c r="T122" s="26">
        <f>SUMIF('R9'!$AF$7:$AK$7,B122,'R9'!$AF$66:$AK$66)</f>
        <v>16550655338.802481</v>
      </c>
      <c r="U122" s="57">
        <f>(T122-$T110)/$T110</f>
        <v>0</v>
      </c>
      <c r="V122" s="23">
        <f t="shared" si="57"/>
        <v>1.3038272585993567</v>
      </c>
      <c r="W122" s="57">
        <f>(V122-$V110)/$V110</f>
        <v>0</v>
      </c>
      <c r="X122" s="26">
        <f>SUMIF('R9'!$AF$7:$AK$7,B122,'R9'!$AF$77:$AK$77)</f>
        <v>5152994447.4046478</v>
      </c>
      <c r="Y122" s="57">
        <f>(X122-$X110)/$X110</f>
        <v>0</v>
      </c>
      <c r="Z122" s="26">
        <f>SUMIF('R9'!$AF$7:$AK$7,B122,'R9'!$AF$60:$AK$60)</f>
        <v>267000000000</v>
      </c>
      <c r="AA122" s="57">
        <f>(Z122-$Z110)/$Z110</f>
        <v>0</v>
      </c>
      <c r="AB122" s="5"/>
      <c r="AC122" s="5"/>
      <c r="AD122" s="5"/>
    </row>
    <row r="123" spans="1:30" x14ac:dyDescent="0.25">
      <c r="A123" s="92"/>
      <c r="B123" s="31">
        <v>2020</v>
      </c>
      <c r="C123" s="14">
        <f>SUMIF('R9'!$AF$7:$AK$7,B123,'R9'!$AF$67:$AK$67)</f>
        <v>17.947823400000001</v>
      </c>
      <c r="D123" s="43">
        <f>SUMIF('R9'!$AF$7:$AK$7,B123,'R9'!$AF$71:$AK$71)</f>
        <v>0.95269766517752652</v>
      </c>
      <c r="E123" s="35">
        <f>SUMIF('R9'!$AF$7:$AK$7,B123,'R9'!$AF$72:$AK$72)</f>
        <v>0.99556088418081246</v>
      </c>
      <c r="F123" s="50">
        <f t="shared" si="96"/>
        <v>1.0449914181277002</v>
      </c>
      <c r="G123" s="58">
        <f t="shared" ref="G123:G127" si="111">(F123-$F111)/$F111</f>
        <v>9.3555708346476588E-3</v>
      </c>
      <c r="H123" s="4">
        <f>SUMIF('R9'!$AF$7:$AK$7,B123,'R9'!$AF$69:$AK$69)</f>
        <v>0.91305087301969401</v>
      </c>
      <c r="I123" s="5">
        <f>SUMIF('R9'!$AF$7:$AK$7,B123,'R9'!$AF$70:$AK$70)</f>
        <v>0.99563611390647888</v>
      </c>
      <c r="J123" s="13">
        <f t="shared" si="97"/>
        <v>1.0904497693689885</v>
      </c>
      <c r="K123" s="58">
        <f t="shared" ref="K123:K127" si="112">(J123-$J111)/$J111</f>
        <v>0</v>
      </c>
      <c r="L123" s="27">
        <f>SUMIF('R9'!$AF$7:$AK$7,B123,'R9'!$AF$61:$AK$61)</f>
        <v>10.55138738558381</v>
      </c>
      <c r="M123" s="24">
        <f>SUMIF('R9'!$AF$7:$AK$7,B123,'R9'!$AF$62:$AK$62)</f>
        <v>29.23585856041619</v>
      </c>
      <c r="N123" s="24">
        <f t="shared" si="55"/>
        <v>39.787245945999999</v>
      </c>
      <c r="O123" s="58">
        <f t="shared" si="110"/>
        <v>0</v>
      </c>
      <c r="P123" s="39">
        <f t="shared" si="56"/>
        <v>2.7708070504889877</v>
      </c>
      <c r="Q123" s="58">
        <f t="shared" ref="Q123:Q127" si="113">(P123-$P111)/$P111</f>
        <v>-2.3253118976506158E-3</v>
      </c>
      <c r="R123" s="27">
        <f>SUMIF('R9'!$AF$7:$AK$7,B123,'R9'!$AF$65:$AK$65)</f>
        <v>30904117901.550819</v>
      </c>
      <c r="S123" s="58">
        <f t="shared" ref="S123:S127" si="114">(R123-$R111)/$R111</f>
        <v>2.4511531698281908E-3</v>
      </c>
      <c r="T123" s="27">
        <f>SUMIF('R9'!$AF$7:$AK$7,B123,'R9'!$AF$66:$AK$66)</f>
        <v>39920155480.680656</v>
      </c>
      <c r="U123" s="58">
        <f t="shared" ref="U123:U127" si="115">(T123-$T111)/$T111</f>
        <v>-6.8404216158538143E-3</v>
      </c>
      <c r="V123" s="24">
        <f t="shared" si="57"/>
        <v>1.2917422722710166</v>
      </c>
      <c r="W123" s="58">
        <f t="shared" ref="W123:W127" si="116">(V123-$V111)/$V111</f>
        <v>-9.2688554013843193E-3</v>
      </c>
      <c r="X123" s="27">
        <f>SUMIF('R9'!$AF$7:$AK$7,B123,'R9'!$AF$77:$AK$77)</f>
        <v>25203402643.379349</v>
      </c>
      <c r="Y123" s="58">
        <f t="shared" ref="Y123:Y127" si="117">(X123-$X111)/$X111</f>
        <v>-9.7776013507920104E-3</v>
      </c>
      <c r="Z123" s="27">
        <f>SUMIF('R9'!$AF$7:$AK$7,B123,'R9'!$AF$60:$AK$60)</f>
        <v>1002773979648.201</v>
      </c>
      <c r="AA123" s="58">
        <f t="shared" ref="AA123:AA127" si="118">(Z123-$Z111)/$Z111</f>
        <v>-9.777601350791431E-3</v>
      </c>
      <c r="AB123" s="5"/>
      <c r="AC123" s="5"/>
      <c r="AD123" s="5"/>
    </row>
    <row r="124" spans="1:30" x14ac:dyDescent="0.25">
      <c r="A124" s="92"/>
      <c r="B124" s="31">
        <v>2040</v>
      </c>
      <c r="C124" s="6">
        <f>SUMIF('R9'!$AF$7:$AK$7,B124,'R9'!$AF$67:$AK$67)</f>
        <v>18.790946000000002</v>
      </c>
      <c r="D124" s="43">
        <f>SUMIF('R9'!$AF$7:$AK$7,B124,'R9'!$AF$71:$AK$71)</f>
        <v>0.92479939883583451</v>
      </c>
      <c r="E124" s="35">
        <f>SUMIF('R9'!$AF$7:$AK$7,B124,'R9'!$AF$72:$AK$72)</f>
        <v>0.98540782953795247</v>
      </c>
      <c r="F124" s="50">
        <f t="shared" si="96"/>
        <v>1.0655368405066155</v>
      </c>
      <c r="G124" s="58">
        <f t="shared" si="111"/>
        <v>2.9200362067923341E-2</v>
      </c>
      <c r="H124" s="4">
        <f>SUMIF('R9'!$AF$7:$AK$7,B124,'R9'!$AF$69:$AK$69)</f>
        <v>0.91305087301969401</v>
      </c>
      <c r="I124" s="5">
        <f>SUMIF('R9'!$AF$7:$AK$7,B124,'R9'!$AF$70:$AK$70)</f>
        <v>0.99563611390647888</v>
      </c>
      <c r="J124" s="5">
        <f t="shared" si="97"/>
        <v>1.0904497693689885</v>
      </c>
      <c r="K124" s="58">
        <f t="shared" si="112"/>
        <v>0</v>
      </c>
      <c r="L124" s="27">
        <f>SUMIF('R9'!$AF$7:$AK$7,B124,'R9'!$AF$61:$AK$61)</f>
        <v>7.7157001535268783</v>
      </c>
      <c r="M124" s="24">
        <f>SUMIF('R9'!$AF$7:$AK$7,B124,'R9'!$AF$62:$AK$62)</f>
        <v>39.480687244473117</v>
      </c>
      <c r="N124" s="24">
        <f t="shared" si="55"/>
        <v>47.196387397999999</v>
      </c>
      <c r="O124" s="58">
        <f t="shared" si="110"/>
        <v>1.5055023804432335E-16</v>
      </c>
      <c r="P124" s="40">
        <f t="shared" si="56"/>
        <v>5.1169286596014665</v>
      </c>
      <c r="Q124" s="58">
        <f t="shared" si="113"/>
        <v>-7.1697124003580106E-3</v>
      </c>
      <c r="R124" s="27">
        <f>SUMIF('R9'!$AF$7:$AK$7,B124,'R9'!$AF$65:$AK$65)</f>
        <v>50068773817.99649</v>
      </c>
      <c r="S124" s="58">
        <f t="shared" si="114"/>
        <v>8.2236118449009188E-3</v>
      </c>
      <c r="T124" s="27">
        <f>SUMIF('R9'!$AF$7:$AK$7,B124,'R9'!$AF$66:$AK$66)</f>
        <v>63428885681.096703</v>
      </c>
      <c r="U124" s="58">
        <f t="shared" si="115"/>
        <v>-2.0381600119994656E-2</v>
      </c>
      <c r="V124" s="24">
        <f t="shared" si="57"/>
        <v>1.2668352117362642</v>
      </c>
      <c r="W124" s="58">
        <f t="shared" si="116"/>
        <v>-2.8371892533395695E-2</v>
      </c>
      <c r="X124" s="27">
        <f>SUMIF('R9'!$AF$7:$AK$7,B124,'R9'!$AF$77:$AK$77)</f>
        <v>42475860433.634483</v>
      </c>
      <c r="Y124" s="58">
        <f t="shared" si="117"/>
        <v>-3.3326540927644255E-2</v>
      </c>
      <c r="Z124" s="27">
        <f>SUMIF('R9'!$AF$7:$AK$7,B124,'R9'!$AF$60:$AK$60)</f>
        <v>2004707164089.1931</v>
      </c>
      <c r="AA124" s="58">
        <f t="shared" si="118"/>
        <v>-3.3326540927644484E-2</v>
      </c>
      <c r="AB124" s="5"/>
      <c r="AC124" s="5"/>
      <c r="AD124" s="5"/>
    </row>
    <row r="125" spans="1:30" x14ac:dyDescent="0.25">
      <c r="A125" s="92"/>
      <c r="B125" s="31">
        <v>2060</v>
      </c>
      <c r="C125" s="6">
        <f>SUMIF('R9'!$AF$7:$AK$7,B125,'R9'!$AF$67:$AK$67)</f>
        <v>19.843035539999999</v>
      </c>
      <c r="D125" s="43">
        <f>SUMIF('R9'!$AF$7:$AK$7,B125,'R9'!$AF$71:$AK$71)</f>
        <v>0.89139111669784621</v>
      </c>
      <c r="E125" s="35">
        <f>SUMIF('R9'!$AF$7:$AK$7,B125,'R9'!$AF$72:$AK$72)</f>
        <v>0.96957624782154495</v>
      </c>
      <c r="F125" s="50">
        <f t="shared" si="96"/>
        <v>1.0877113644719001</v>
      </c>
      <c r="G125" s="58">
        <f t="shared" si="111"/>
        <v>5.0618699966877567E-2</v>
      </c>
      <c r="H125" s="4">
        <f>SUMIF('R9'!$AF$7:$AK$7,B125,'R9'!$AF$69:$AK$69)</f>
        <v>0.91305087301969401</v>
      </c>
      <c r="I125" s="5">
        <f>SUMIF('R9'!$AF$7:$AK$7,B125,'R9'!$AF$70:$AK$70)</f>
        <v>0.99563611390647888</v>
      </c>
      <c r="J125" s="5">
        <f t="shared" si="97"/>
        <v>1.0904497693689885</v>
      </c>
      <c r="K125" s="58">
        <f t="shared" si="112"/>
        <v>0</v>
      </c>
      <c r="L125" s="27">
        <f>SUMIF('R9'!$AF$7:$AK$7,B125,'R9'!$AF$61:$AK$61)</f>
        <v>4.9377612758189988</v>
      </c>
      <c r="M125" s="24">
        <f>SUMIF('R9'!$AF$7:$AK$7,B125,'R9'!$AF$62:$AK$62)</f>
        <v>46.646618557181</v>
      </c>
      <c r="N125" s="24">
        <f t="shared" si="55"/>
        <v>51.584379833</v>
      </c>
      <c r="O125" s="58">
        <f t="shared" si="110"/>
        <v>1.3774377787625274E-16</v>
      </c>
      <c r="P125" s="40">
        <f t="shared" si="56"/>
        <v>9.4469165177378862</v>
      </c>
      <c r="Q125" s="58">
        <f t="shared" si="113"/>
        <v>-1.2268922624057738E-2</v>
      </c>
      <c r="R125" s="27">
        <f>SUMIF('R9'!$AF$7:$AK$7,B125,'R9'!$AF$65:$AK$65)</f>
        <v>74567419344.981842</v>
      </c>
      <c r="S125" s="58">
        <f t="shared" si="114"/>
        <v>1.2686053582563098E-2</v>
      </c>
      <c r="T125" s="27">
        <f>SUMIF('R9'!$AF$7:$AK$7,B125,'R9'!$AF$66:$AK$66)</f>
        <v>92538838256.411591</v>
      </c>
      <c r="U125" s="58">
        <f t="shared" si="115"/>
        <v>-3.6105055416880638E-2</v>
      </c>
      <c r="V125" s="24">
        <f t="shared" si="57"/>
        <v>1.2410089965469506</v>
      </c>
      <c r="W125" s="58">
        <f t="shared" si="116"/>
        <v>-4.8179896253963683E-2</v>
      </c>
      <c r="X125" s="27">
        <f>SUMIF('R9'!$AF$7:$AK$7,B125,'R9'!$AF$77:$AK$77)</f>
        <v>63660021297.745407</v>
      </c>
      <c r="Y125" s="58">
        <f t="shared" si="117"/>
        <v>-6.4142061349187734E-2</v>
      </c>
      <c r="Z125" s="27">
        <f>SUMIF('R9'!$AF$7:$AK$7,B125,'R9'!$AF$60:$AK$60)</f>
        <v>3283862718799.769</v>
      </c>
      <c r="AA125" s="58">
        <f t="shared" si="118"/>
        <v>-6.414206134918754E-2</v>
      </c>
      <c r="AB125" s="5"/>
      <c r="AC125" s="5"/>
      <c r="AD125" s="5"/>
    </row>
    <row r="126" spans="1:30" x14ac:dyDescent="0.25">
      <c r="A126" s="92"/>
      <c r="B126" s="31">
        <v>2080</v>
      </c>
      <c r="C126" s="6">
        <f>SUMIF('R9'!$AF$7:$AK$7,B126,'R9'!$AF$67:$AK$67)</f>
        <v>21.022310900000001</v>
      </c>
      <c r="D126" s="43">
        <f>SUMIF('R9'!$AF$7:$AK$7,B126,'R9'!$AF$71:$AK$71)</f>
        <v>0.84289864993793617</v>
      </c>
      <c r="E126" s="35">
        <f>SUMIF('R9'!$AF$7:$AK$7,B126,'R9'!$AF$72:$AK$72)</f>
        <v>0.94223331790392795</v>
      </c>
      <c r="F126" s="50">
        <f t="shared" si="96"/>
        <v>1.117848887257449</v>
      </c>
      <c r="G126" s="58">
        <f t="shared" si="111"/>
        <v>7.9728485929763449E-2</v>
      </c>
      <c r="H126" s="4">
        <f>SUMIF('R9'!$AF$7:$AK$7,B126,'R9'!$AF$69:$AK$69)</f>
        <v>0.91305087301969401</v>
      </c>
      <c r="I126" s="5">
        <f>SUMIF('R9'!$AF$7:$AK$7,B126,'R9'!$AF$70:$AK$70)</f>
        <v>0.99563611390647888</v>
      </c>
      <c r="J126" s="5">
        <f t="shared" si="97"/>
        <v>1.0904497693689885</v>
      </c>
      <c r="K126" s="58">
        <f t="shared" si="112"/>
        <v>0</v>
      </c>
      <c r="L126" s="27">
        <f>SUMIF('R9'!$AF$7:$AK$7,B126,'R9'!$AF$61:$AK$61)</f>
        <v>2.8475266179944279</v>
      </c>
      <c r="M126" s="24">
        <f>SUMIF('R9'!$AF$7:$AK$7,B126,'R9'!$AF$62:$AK$62)</f>
        <v>49.580114603005583</v>
      </c>
      <c r="N126" s="24">
        <f t="shared" si="55"/>
        <v>52.427641221000009</v>
      </c>
      <c r="O126" s="58">
        <f t="shared" si="110"/>
        <v>1.355282670004026E-16</v>
      </c>
      <c r="P126" s="40">
        <f t="shared" si="56"/>
        <v>17.411642191399739</v>
      </c>
      <c r="Q126" s="58">
        <f t="shared" si="113"/>
        <v>-1.8994685404709836E-2</v>
      </c>
      <c r="R126" s="27">
        <f>SUMIF('R9'!$AF$7:$AK$7,B126,'R9'!$AF$65:$AK$65)</f>
        <v>101356851181.76759</v>
      </c>
      <c r="S126" s="58">
        <f t="shared" si="114"/>
        <v>1.2308047284562893E-2</v>
      </c>
      <c r="T126" s="27">
        <f>SUMIF('R9'!$AF$7:$AK$7,B126,'R9'!$AF$66:$AK$66)</f>
        <v>122393571290.09151</v>
      </c>
      <c r="U126" s="58">
        <f t="shared" si="115"/>
        <v>-6.2442030124957512E-2</v>
      </c>
      <c r="V126" s="24">
        <f t="shared" si="57"/>
        <v>1.2075510423128464</v>
      </c>
      <c r="W126" s="58">
        <f t="shared" si="116"/>
        <v>-7.3841235985460801E-2</v>
      </c>
      <c r="X126" s="27">
        <f>SUMIF('R9'!$AF$7:$AK$7,B126,'R9'!$AF$77:$AK$77)</f>
        <v>84578607158.496307</v>
      </c>
      <c r="Y126" s="58">
        <f t="shared" si="117"/>
        <v>-0.11537644053643838</v>
      </c>
      <c r="Z126" s="27">
        <f>SUMIF('R9'!$AF$7:$AK$7,B126,'R9'!$AF$60:$AK$60)</f>
        <v>4434256871077.5469</v>
      </c>
      <c r="AA126" s="58">
        <f t="shared" si="118"/>
        <v>-0.11537644053643833</v>
      </c>
      <c r="AB126" s="5"/>
      <c r="AC126" s="5"/>
      <c r="AD126" s="5"/>
    </row>
    <row r="127" spans="1:30" ht="15.75" thickBot="1" x14ac:dyDescent="0.3">
      <c r="A127" s="93"/>
      <c r="B127" s="32">
        <v>2100</v>
      </c>
      <c r="C127" s="9">
        <f>SUMIF('R9'!$AF$7:$AK$7,B127,'R9'!$AF$67:$AK$67)</f>
        <v>22.185305060000001</v>
      </c>
      <c r="D127" s="44">
        <f>SUMIF('R9'!$AF$7:$AK$7,B127,'R9'!$AF$71:$AK$71)</f>
        <v>0.77676075594033223</v>
      </c>
      <c r="E127" s="36">
        <f>SUMIF('R9'!$AF$7:$AK$7,B127,'R9'!$AF$72:$AK$72)</f>
        <v>0.8993395708601768</v>
      </c>
      <c r="F127" s="51">
        <f t="shared" si="96"/>
        <v>1.1578076827162218</v>
      </c>
      <c r="G127" s="59">
        <f t="shared" si="111"/>
        <v>0.11832462375491236</v>
      </c>
      <c r="H127" s="7">
        <f>SUMIF('R9'!$AF$7:$AK$7,B127,'R9'!$AF$69:$AK$69)</f>
        <v>0.91305087301969401</v>
      </c>
      <c r="I127" s="8">
        <f>SUMIF('R9'!$AF$7:$AK$7,B127,'R9'!$AF$70:$AK$70)</f>
        <v>0.99563611390647888</v>
      </c>
      <c r="J127" s="8">
        <f t="shared" si="97"/>
        <v>1.0904497693689885</v>
      </c>
      <c r="K127" s="59">
        <f t="shared" si="112"/>
        <v>0</v>
      </c>
      <c r="L127" s="28">
        <f>SUMIF('R9'!$AF$7:$AK$7,B127,'R9'!$AF$61:$AK$61)</f>
        <v>1.505916841511562</v>
      </c>
      <c r="M127" s="25">
        <f>SUMIF('R9'!$AF$7:$AK$7,B127,'R9'!$AF$62:$AK$62)</f>
        <v>48.233014608488439</v>
      </c>
      <c r="N127" s="25">
        <f t="shared" si="55"/>
        <v>49.738931450000003</v>
      </c>
      <c r="O127" s="59">
        <f t="shared" si="110"/>
        <v>-1.428544431989602E-16</v>
      </c>
      <c r="P127" s="41">
        <f t="shared" si="56"/>
        <v>32.029002717092013</v>
      </c>
      <c r="Q127" s="59">
        <f t="shared" si="113"/>
        <v>-2.7570717572390813E-2</v>
      </c>
      <c r="R127" s="33">
        <f>SUMIF('R9'!$AF$7:$AK$7,B127,'R9'!$AF$65:$AK$65)</f>
        <v>128881954228.63589</v>
      </c>
      <c r="S127" s="59">
        <f t="shared" si="114"/>
        <v>1.9782223629931758E-3</v>
      </c>
      <c r="T127" s="28">
        <f>SUMIF('R9'!$AF$7:$AK$7,B127,'R9'!$AF$66:$AK$66)</f>
        <v>150260310374.4921</v>
      </c>
      <c r="U127" s="59">
        <f t="shared" si="115"/>
        <v>-0.10403634054061302</v>
      </c>
      <c r="V127" s="25">
        <f t="shared" si="57"/>
        <v>1.1658754809686631</v>
      </c>
      <c r="W127" s="59">
        <f t="shared" si="116"/>
        <v>-0.1058052565789195</v>
      </c>
      <c r="X127" s="28">
        <f>SUMIF('R9'!$AF$7:$AK$7,B127,'R9'!$AF$77:$AK$77)</f>
        <v>101817424240.7869</v>
      </c>
      <c r="Y127" s="59">
        <f t="shared" si="117"/>
        <v>-0.19308772152912262</v>
      </c>
      <c r="Z127" s="28">
        <f>SUMIF('R9'!$AF$7:$AK$7,B127,'R9'!$AF$60:$AK$60)</f>
        <v>5064289884728.0674</v>
      </c>
      <c r="AA127" s="59">
        <f t="shared" si="118"/>
        <v>-0.19308772152912265</v>
      </c>
      <c r="AB127" s="5"/>
      <c r="AC127" s="5"/>
      <c r="AD127" s="5"/>
    </row>
    <row r="128" spans="1:30" x14ac:dyDescent="0.25">
      <c r="A128" s="91" t="s">
        <v>75</v>
      </c>
      <c r="B128" s="21">
        <v>2000</v>
      </c>
      <c r="C128" s="3">
        <f>SUMIF('R9'!$AF$7:$AK$7,B128,'R9'!$AF$92:$AK$92)</f>
        <v>17.474866370000001</v>
      </c>
      <c r="D128" s="42">
        <f>SUMIF('R9'!$AF$7:$AK$7,B128,'R9'!$AF$96:$AK$96)</f>
        <v>0.96439833420871968</v>
      </c>
      <c r="E128" s="34">
        <f>SUMIF('R9'!$AF$7:$AK$7,B128,'R9'!$AF$97:$AK$97)</f>
        <v>0.99844694181596516</v>
      </c>
      <c r="F128" s="49">
        <f t="shared" si="96"/>
        <v>1.0353055437773875</v>
      </c>
      <c r="G128" s="57">
        <f>(F128-$F110)/$F110</f>
        <v>0</v>
      </c>
      <c r="H128" s="1">
        <f>SUMIF('R9'!$AF$7:$AK$7,B128,'R9'!$AF$94:$AK$94)</f>
        <v>0.91305087301969401</v>
      </c>
      <c r="I128" s="2">
        <f>SUMIF('R9'!$AF$7:$AK$7,B128,'R9'!$AF$95:$AK$95)</f>
        <v>0.99563611390647888</v>
      </c>
      <c r="J128" s="2">
        <f t="shared" si="97"/>
        <v>1.0904497693689885</v>
      </c>
      <c r="K128" s="57">
        <f>(J128-$J110)/$J110</f>
        <v>0</v>
      </c>
      <c r="L128" s="26">
        <f>SUMIF('R9'!$AF$7:$AK$7,B128,'R9'!$AF$86:$AK$86)</f>
        <v>11.890499999999999</v>
      </c>
      <c r="M128" s="23">
        <f>SUMIF('R9'!$AF$7:$AK$7,B128,'R9'!$AF$87:$AK$87)</f>
        <v>17.795100000000001</v>
      </c>
      <c r="N128" s="23">
        <f t="shared" si="55"/>
        <v>29.685600000000001</v>
      </c>
      <c r="O128" s="57">
        <f t="shared" ref="O128:O133" si="119">(N128-$N110)/$N110</f>
        <v>0</v>
      </c>
      <c r="P128" s="38">
        <f t="shared" si="56"/>
        <v>1.4965813044026746</v>
      </c>
      <c r="Q128" s="57">
        <f>(P128-$P110)/$P110</f>
        <v>0</v>
      </c>
      <c r="R128" s="26">
        <f>SUMIF('R9'!$AF$7:$AK$7,B128,'R9'!$AF$90:$AK$90)</f>
        <v>12693901918.097731</v>
      </c>
      <c r="S128" s="57">
        <f>(R128-$R110)/$R110</f>
        <v>0</v>
      </c>
      <c r="T128" s="26">
        <f>SUMIF('R9'!$AF$7:$AK$7,B128,'R9'!$AF$91:$AK$91)</f>
        <v>16550655338.802481</v>
      </c>
      <c r="U128" s="57">
        <f>(T128-$T110)/$T110</f>
        <v>0</v>
      </c>
      <c r="V128" s="23">
        <f t="shared" si="57"/>
        <v>1.3038272585993567</v>
      </c>
      <c r="W128" s="57">
        <f>(V128-$V110)/$V110</f>
        <v>0</v>
      </c>
      <c r="X128" s="26">
        <f>SUMIF('R9'!$AF$7:$AK$7,B128,'R9'!$AF$102:$AK$102)</f>
        <v>5152994447.4046478</v>
      </c>
      <c r="Y128" s="57">
        <f>(X128-$X110)/$X110</f>
        <v>0</v>
      </c>
      <c r="Z128" s="26">
        <f>SUMIF('R9'!$AF$7:$AK$7,B128,'R9'!$AF$85:$AK$85)</f>
        <v>267000000000</v>
      </c>
      <c r="AA128" s="57">
        <f>(Z128-$Z110)/$Z110</f>
        <v>0</v>
      </c>
      <c r="AB128" s="5"/>
      <c r="AC128" s="5"/>
      <c r="AD128" s="5"/>
    </row>
    <row r="129" spans="1:30" x14ac:dyDescent="0.25">
      <c r="A129" s="92"/>
      <c r="B129" s="31">
        <v>2020</v>
      </c>
      <c r="C129" s="14">
        <f>SUMIF('R9'!$AF$7:$AK$7,B129,'R9'!$AF$92:$AK$92)</f>
        <v>17.947823400000001</v>
      </c>
      <c r="D129" s="43">
        <f>SUMIF('R9'!$AF$7:$AK$7,B129,'R9'!$AF$96:$AK$96)</f>
        <v>0.95269766517752652</v>
      </c>
      <c r="E129" s="35">
        <f>SUMIF('R9'!$AF$7:$AK$7,B129,'R9'!$AF$97:$AK$97)</f>
        <v>0.99556088418081246</v>
      </c>
      <c r="F129" s="50">
        <f t="shared" si="96"/>
        <v>1.0449914181277002</v>
      </c>
      <c r="G129" s="58">
        <f t="shared" ref="G129:G133" si="120">(F129-$F111)/$F111</f>
        <v>9.3555708346476588E-3</v>
      </c>
      <c r="H129" s="4">
        <f>SUMIF('R9'!$AF$7:$AK$7,B129,'R9'!$AF$94:$AK$94)</f>
        <v>0.93642174417761037</v>
      </c>
      <c r="I129" s="5">
        <f>SUMIF('R9'!$AF$7:$AK$7,B129,'R9'!$AF$95:$AK$95)</f>
        <v>0.99493983296554867</v>
      </c>
      <c r="J129" s="13">
        <f t="shared" si="97"/>
        <v>1.062491168270906</v>
      </c>
      <c r="K129" s="58">
        <f t="shared" ref="K129:K133" si="121">(J129-$J111)/$J111</f>
        <v>-2.5639513055481129E-2</v>
      </c>
      <c r="L129" s="27">
        <f>SUMIF('R9'!$AF$7:$AK$7,B129,'R9'!$AF$86:$AK$86)</f>
        <v>10.501118866082249</v>
      </c>
      <c r="M129" s="24">
        <f>SUMIF('R9'!$AF$7:$AK$7,B129,'R9'!$AF$87:$AK$87)</f>
        <v>29.28612707991774</v>
      </c>
      <c r="N129" s="24">
        <f t="shared" si="55"/>
        <v>39.787245945999992</v>
      </c>
      <c r="O129" s="58">
        <f t="shared" si="119"/>
        <v>-1.7858555395476788E-16</v>
      </c>
      <c r="P129" s="39">
        <f t="shared" si="56"/>
        <v>2.78885778300344</v>
      </c>
      <c r="Q129" s="58">
        <f t="shared" ref="Q129:Q133" si="122">(P129-$P111)/$P111</f>
        <v>4.1741514728489667E-3</v>
      </c>
      <c r="R129" s="27">
        <f>SUMIF('R9'!$AF$7:$AK$7,B129,'R9'!$AF$90:$AK$90)</f>
        <v>30906416204.716381</v>
      </c>
      <c r="S129" s="58">
        <f t="shared" ref="S129:S133" si="123">(R129-$R111)/$R111</f>
        <v>2.5257042916557305E-3</v>
      </c>
      <c r="T129" s="27">
        <f>SUMIF('R9'!$AF$7:$AK$7,B129,'R9'!$AF$91:$AK$91)</f>
        <v>39923124296.034111</v>
      </c>
      <c r="U129" s="58">
        <f t="shared" ref="U129:U133" si="124">(T129-$T111)/$T111</f>
        <v>-6.7665614975943979E-3</v>
      </c>
      <c r="V129" s="24">
        <f t="shared" si="57"/>
        <v>1.2917422722710168</v>
      </c>
      <c r="W129" s="58">
        <f t="shared" ref="W129:W133" si="125">(V129-$V111)/$V111</f>
        <v>-9.2688554013841493E-3</v>
      </c>
      <c r="X129" s="27">
        <f>SUMIF('R9'!$AF$7:$AK$7,B129,'R9'!$AF$102:$AK$102)</f>
        <v>25209986132.23357</v>
      </c>
      <c r="Y129" s="58">
        <f t="shared" ref="Y129:Y133" si="126">(X129-$X111)/$X111</f>
        <v>-9.5189411128491028E-3</v>
      </c>
      <c r="Z129" s="27">
        <f>SUMIF('R9'!$AF$7:$AK$7,B129,'R9'!$AF$85:$AK$85)</f>
        <v>1003035918538.426</v>
      </c>
      <c r="AA129" s="58">
        <f t="shared" ref="AA129:AA133" si="127">(Z129-$Z111)/$Z111</f>
        <v>-9.5189411128491948E-3</v>
      </c>
      <c r="AB129" s="5"/>
      <c r="AC129" s="5"/>
      <c r="AD129" s="5"/>
    </row>
    <row r="130" spans="1:30" x14ac:dyDescent="0.25">
      <c r="A130" s="92"/>
      <c r="B130" s="31">
        <v>2040</v>
      </c>
      <c r="C130" s="6">
        <f>SUMIF('R9'!$AF$7:$AK$7,B130,'R9'!$AF$92:$AK$92)</f>
        <v>18.790946000000002</v>
      </c>
      <c r="D130" s="43">
        <f>SUMIF('R9'!$AF$7:$AK$7,B130,'R9'!$AF$96:$AK$96)</f>
        <v>0.92479939883583451</v>
      </c>
      <c r="E130" s="35">
        <f>SUMIF('R9'!$AF$7:$AK$7,B130,'R9'!$AF$97:$AK$97)</f>
        <v>0.98540782953795247</v>
      </c>
      <c r="F130" s="50">
        <f t="shared" si="96"/>
        <v>1.0655368405066155</v>
      </c>
      <c r="G130" s="58">
        <f t="shared" si="120"/>
        <v>2.9200362067923341E-2</v>
      </c>
      <c r="H130" s="4">
        <f>SUMIF('R9'!$AF$7:$AK$7,B130,'R9'!$AF$94:$AK$94)</f>
        <v>0.96998391150311303</v>
      </c>
      <c r="I130" s="5">
        <f>SUMIF('R9'!$AF$7:$AK$7,B130,'R9'!$AF$95:$AK$95)</f>
        <v>0.99114648137769323</v>
      </c>
      <c r="J130" s="5">
        <f t="shared" si="97"/>
        <v>1.021817444210787</v>
      </c>
      <c r="K130" s="58">
        <f t="shared" si="121"/>
        <v>-6.2939465059373645E-2</v>
      </c>
      <c r="L130" s="27">
        <f>SUMIF('R9'!$AF$7:$AK$7,B130,'R9'!$AF$86:$AK$86)</f>
        <v>7.6113781704370851</v>
      </c>
      <c r="M130" s="24">
        <f>SUMIF('R9'!$AF$7:$AK$7,B130,'R9'!$AF$87:$AK$87)</f>
        <v>39.585009227562907</v>
      </c>
      <c r="N130" s="24">
        <f t="shared" ref="N130:N133" si="128">M130+L130</f>
        <v>47.196387397999992</v>
      </c>
      <c r="O130" s="58">
        <f t="shared" si="119"/>
        <v>0</v>
      </c>
      <c r="P130" s="40">
        <f t="shared" ref="P130:P133" si="129">M130/L130</f>
        <v>5.2007676325048147</v>
      </c>
      <c r="Q130" s="58">
        <f t="shared" si="122"/>
        <v>9.0974425898725491E-3</v>
      </c>
      <c r="R130" s="27">
        <f>SUMIF('R9'!$AF$7:$AK$7,B130,'R9'!$AF$90:$AK$90)</f>
        <v>50084433754.332863</v>
      </c>
      <c r="S130" s="58">
        <f t="shared" si="123"/>
        <v>8.5389524528357505E-3</v>
      </c>
      <c r="T130" s="27">
        <f>SUMIF('R9'!$AF$7:$AK$7,B130,'R9'!$AF$91:$AK$91)</f>
        <v>63448724239.86116</v>
      </c>
      <c r="U130" s="58">
        <f t="shared" si="124"/>
        <v>-2.0075206321899679E-2</v>
      </c>
      <c r="V130" s="24">
        <f t="shared" ref="V130:V133" si="130">T130/R130</f>
        <v>1.266835211736264</v>
      </c>
      <c r="W130" s="58">
        <f t="shared" si="125"/>
        <v>-2.8371892533395865E-2</v>
      </c>
      <c r="X130" s="27">
        <f>SUMIF('R9'!$AF$7:$AK$7,B130,'R9'!$AF$102:$AK$102)</f>
        <v>42504157886.046417</v>
      </c>
      <c r="Y130" s="58">
        <f t="shared" si="126"/>
        <v>-3.268254229108411E-2</v>
      </c>
      <c r="Z130" s="27">
        <f>SUMIF('R9'!$AF$7:$AK$7,B130,'R9'!$AF$85:$AK$85)</f>
        <v>2006042701615.604</v>
      </c>
      <c r="AA130" s="58">
        <f t="shared" si="127"/>
        <v>-3.2682542291083964E-2</v>
      </c>
      <c r="AB130" s="5"/>
      <c r="AC130" s="5"/>
      <c r="AD130" s="5"/>
    </row>
    <row r="131" spans="1:30" x14ac:dyDescent="0.25">
      <c r="A131" s="92"/>
      <c r="B131" s="31">
        <v>2060</v>
      </c>
      <c r="C131" s="6">
        <f>SUMIF('R9'!$AF$7:$AK$7,B131,'R9'!$AF$92:$AK$92)</f>
        <v>19.843035539999999</v>
      </c>
      <c r="D131" s="43">
        <f>SUMIF('R9'!$AF$7:$AK$7,B131,'R9'!$AF$96:$AK$96)</f>
        <v>0.89139111669784621</v>
      </c>
      <c r="E131" s="35">
        <f>SUMIF('R9'!$AF$7:$AK$7,B131,'R9'!$AF$97:$AK$97)</f>
        <v>0.96957624782154495</v>
      </c>
      <c r="F131" s="50">
        <f t="shared" si="96"/>
        <v>1.0877113644719001</v>
      </c>
      <c r="G131" s="58">
        <f t="shared" si="120"/>
        <v>5.0618699966877567E-2</v>
      </c>
      <c r="H131" s="4">
        <f>SUMIF('R9'!$AF$7:$AK$7,B131,'R9'!$AF$94:$AK$94)</f>
        <v>0.99730871239556729</v>
      </c>
      <c r="I131" s="5">
        <f>SUMIF('R9'!$AF$7:$AK$7,B131,'R9'!$AF$95:$AK$95)</f>
        <v>0.98182690648408288</v>
      </c>
      <c r="J131" s="5">
        <f t="shared" si="97"/>
        <v>0.98447641565840072</v>
      </c>
      <c r="K131" s="58">
        <f t="shared" si="121"/>
        <v>-9.718315935993227E-2</v>
      </c>
      <c r="L131" s="27">
        <f>SUMIF('R9'!$AF$7:$AK$7,B131,'R9'!$AF$86:$AK$86)</f>
        <v>4.8248112786992516</v>
      </c>
      <c r="M131" s="24">
        <f>SUMIF('R9'!$AF$7:$AK$7,B131,'R9'!$AF$87:$AK$87)</f>
        <v>46.759568554300749</v>
      </c>
      <c r="N131" s="24">
        <f t="shared" si="128"/>
        <v>51.584379833</v>
      </c>
      <c r="O131" s="58">
        <f t="shared" si="119"/>
        <v>1.3774377787625274E-16</v>
      </c>
      <c r="P131" s="40">
        <f t="shared" si="129"/>
        <v>9.6914813561178139</v>
      </c>
      <c r="Q131" s="58">
        <f t="shared" si="122"/>
        <v>1.3301779821307263E-2</v>
      </c>
      <c r="R131" s="27">
        <f>SUMIF('R9'!$AF$7:$AK$7,B131,'R9'!$AF$90:$AK$90)</f>
        <v>74598257565.509445</v>
      </c>
      <c r="S131" s="58">
        <f t="shared" si="123"/>
        <v>1.3104861637340025E-2</v>
      </c>
      <c r="T131" s="27">
        <f>SUMIF('R9'!$AF$7:$AK$7,B131,'R9'!$AF$91:$AK$91)</f>
        <v>92577108765.52388</v>
      </c>
      <c r="U131" s="58">
        <f t="shared" si="124"/>
        <v>-3.5706425490732822E-2</v>
      </c>
      <c r="V131" s="24">
        <f t="shared" si="130"/>
        <v>1.2410089965469511</v>
      </c>
      <c r="W131" s="58">
        <f t="shared" si="125"/>
        <v>-4.8179896253963343E-2</v>
      </c>
      <c r="X131" s="27">
        <f>SUMIF('R9'!$AF$7:$AK$7,B131,'R9'!$AF$102:$AK$102)</f>
        <v>63709524786.579483</v>
      </c>
      <c r="Y131" s="58">
        <f t="shared" si="126"/>
        <v>-6.3414316807608034E-2</v>
      </c>
      <c r="Z131" s="27">
        <f>SUMIF('R9'!$AF$7:$AK$7,B131,'R9'!$AF$85:$AK$85)</f>
        <v>3286416325570.8442</v>
      </c>
      <c r="AA131" s="58">
        <f t="shared" si="127"/>
        <v>-6.3414316807607965E-2</v>
      </c>
      <c r="AB131" s="5"/>
      <c r="AC131" s="5"/>
      <c r="AD131" s="5"/>
    </row>
    <row r="132" spans="1:30" x14ac:dyDescent="0.25">
      <c r="A132" s="92"/>
      <c r="B132" s="31">
        <v>2080</v>
      </c>
      <c r="C132" s="6">
        <f>SUMIF('R9'!$AF$7:$AK$7,B132,'R9'!$AF$92:$AK$92)</f>
        <v>21.022310900000001</v>
      </c>
      <c r="D132" s="43">
        <f>SUMIF('R9'!$AF$7:$AK$7,B132,'R9'!$AF$96:$AK$96)</f>
        <v>0.84289864993793617</v>
      </c>
      <c r="E132" s="35">
        <f>SUMIF('R9'!$AF$7:$AK$7,B132,'R9'!$AF$97:$AK$97)</f>
        <v>0.94223331790392795</v>
      </c>
      <c r="F132" s="50">
        <f t="shared" si="96"/>
        <v>1.117848887257449</v>
      </c>
      <c r="G132" s="58">
        <f t="shared" si="120"/>
        <v>7.9728485929763449E-2</v>
      </c>
      <c r="H132" s="4">
        <f>SUMIF('R9'!$AF$7:$AK$7,B132,'R9'!$AF$94:$AK$94)</f>
        <v>1.00872760149331</v>
      </c>
      <c r="I132" s="5">
        <f>SUMIF('R9'!$AF$7:$AK$7,B132,'R9'!$AF$95:$AK$95)</f>
        <v>0.96532849417460498</v>
      </c>
      <c r="J132" s="5">
        <f t="shared" si="97"/>
        <v>0.95697638564221166</v>
      </c>
      <c r="K132" s="58">
        <f t="shared" si="121"/>
        <v>-0.12240213852676039</v>
      </c>
      <c r="L132" s="27">
        <f>SUMIF('R9'!$AF$7:$AK$7,B132,'R9'!$AF$86:$AK$86)</f>
        <v>2.7608948453553781</v>
      </c>
      <c r="M132" s="24">
        <f>SUMIF('R9'!$AF$7:$AK$7,B132,'R9'!$AF$87:$AK$87)</f>
        <v>49.666746375644628</v>
      </c>
      <c r="N132" s="24">
        <f t="shared" si="128"/>
        <v>52.427641221000009</v>
      </c>
      <c r="O132" s="58">
        <f t="shared" si="119"/>
        <v>1.355282670004026E-16</v>
      </c>
      <c r="P132" s="40">
        <f t="shared" si="129"/>
        <v>17.989365462142981</v>
      </c>
      <c r="Q132" s="58">
        <f t="shared" si="122"/>
        <v>1.3555351675906992E-2</v>
      </c>
      <c r="R132" s="27">
        <f>SUMIF('R9'!$AF$7:$AK$7,B132,'R9'!$AF$90:$AK$90)</f>
        <v>101394820291.7695</v>
      </c>
      <c r="S132" s="58">
        <f t="shared" si="123"/>
        <v>1.268726620420192E-2</v>
      </c>
      <c r="T132" s="27">
        <f>SUMIF('R9'!$AF$7:$AK$7,B132,'R9'!$AF$91:$AK$91)</f>
        <v>122439420928.45</v>
      </c>
      <c r="U132" s="58">
        <f t="shared" si="124"/>
        <v>-6.2090813199053733E-2</v>
      </c>
      <c r="V132" s="24">
        <f t="shared" si="130"/>
        <v>1.2075510423128464</v>
      </c>
      <c r="W132" s="58">
        <f t="shared" si="125"/>
        <v>-7.3841235985460801E-2</v>
      </c>
      <c r="X132" s="27">
        <f>SUMIF('R9'!$AF$7:$AK$7,B132,'R9'!$AF$102:$AK$102)</f>
        <v>84634384597.253281</v>
      </c>
      <c r="Y132" s="58">
        <f t="shared" si="126"/>
        <v>-0.11479305381409037</v>
      </c>
      <c r="Z132" s="27">
        <f>SUMIF('R9'!$AF$7:$AK$7,B132,'R9'!$AF$85:$AK$85)</f>
        <v>4437181150624.9238</v>
      </c>
      <c r="AA132" s="58">
        <f t="shared" si="127"/>
        <v>-0.11479305381409032</v>
      </c>
      <c r="AB132" s="5"/>
      <c r="AC132" s="5"/>
      <c r="AD132" s="5"/>
    </row>
    <row r="133" spans="1:30" ht="15.75" thickBot="1" x14ac:dyDescent="0.3">
      <c r="A133" s="93"/>
      <c r="B133" s="32">
        <v>2100</v>
      </c>
      <c r="C133" s="9">
        <f>SUMIF('R9'!$AF$7:$AK$7,B133,'R9'!$AF$92:$AK$92)</f>
        <v>22.185305060000001</v>
      </c>
      <c r="D133" s="44">
        <f>SUMIF('R9'!$AF$7:$AK$7,B133,'R9'!$AF$96:$AK$96)</f>
        <v>0.77676075594033223</v>
      </c>
      <c r="E133" s="36">
        <f>SUMIF('R9'!$AF$7:$AK$7,B133,'R9'!$AF$97:$AK$97)</f>
        <v>0.8993395708601768</v>
      </c>
      <c r="F133" s="51">
        <f t="shared" si="96"/>
        <v>1.1578076827162218</v>
      </c>
      <c r="G133" s="59">
        <f t="shared" si="120"/>
        <v>0.11832462375491236</v>
      </c>
      <c r="H133" s="7">
        <f>SUMIF('R9'!$AF$7:$AK$7,B133,'R9'!$AF$94:$AK$94)</f>
        <v>1.00010330606159</v>
      </c>
      <c r="I133" s="8">
        <f>SUMIF('R9'!$AF$7:$AK$7,B133,'R9'!$AF$95:$AK$95)</f>
        <v>0.94279255540789841</v>
      </c>
      <c r="J133" s="8">
        <f t="shared" si="97"/>
        <v>0.94269516928267982</v>
      </c>
      <c r="K133" s="59">
        <f t="shared" si="121"/>
        <v>-0.13549876778992762</v>
      </c>
      <c r="L133" s="28">
        <f>SUMIF('R9'!$AF$7:$AK$7,B133,'R9'!$AF$86:$AK$86)</f>
        <v>1.4536594309994759</v>
      </c>
      <c r="M133" s="25">
        <f>SUMIF('R9'!$AF$7:$AK$7,B133,'R9'!$AF$87:$AK$87)</f>
        <v>48.285272019000523</v>
      </c>
      <c r="N133" s="25">
        <f t="shared" si="128"/>
        <v>49.738931449999995</v>
      </c>
      <c r="O133" s="59">
        <f t="shared" si="119"/>
        <v>-2.8570888639792041E-16</v>
      </c>
      <c r="P133" s="41">
        <f t="shared" si="129"/>
        <v>33.216357964809937</v>
      </c>
      <c r="Q133" s="59">
        <f t="shared" si="122"/>
        <v>8.478453915201108E-3</v>
      </c>
      <c r="R133" s="33">
        <f>SUMIF('R9'!$AF$7:$AK$7,B133,'R9'!$AF$90:$AK$90)</f>
        <v>128917729721.2946</v>
      </c>
      <c r="S133" s="59">
        <f t="shared" si="123"/>
        <v>2.2563548971627004E-3</v>
      </c>
      <c r="T133" s="28">
        <f>SUMIF('R9'!$AF$7:$AK$7,B133,'R9'!$AF$91:$AK$91)</f>
        <v>150302020144.20239</v>
      </c>
      <c r="U133" s="59">
        <f t="shared" si="124"/>
        <v>-0.10378763589058462</v>
      </c>
      <c r="V133" s="25">
        <f t="shared" si="130"/>
        <v>1.1658754809686627</v>
      </c>
      <c r="W133" s="59">
        <f t="shared" si="125"/>
        <v>-0.10580525657891983</v>
      </c>
      <c r="X133" s="28">
        <f>SUMIF('R9'!$AF$7:$AK$7,B133,'R9'!$AF$102:$AK$102)</f>
        <v>101864781391.36839</v>
      </c>
      <c r="Y133" s="59">
        <f t="shared" si="126"/>
        <v>-0.19271241183569299</v>
      </c>
      <c r="Z133" s="28">
        <f>SUMIF('R9'!$AF$7:$AK$7,B133,'R9'!$AF$85:$AK$85)</f>
        <v>5066645378794.5068</v>
      </c>
      <c r="AA133" s="59">
        <f t="shared" si="127"/>
        <v>-0.19271241183569318</v>
      </c>
      <c r="AB133" s="5"/>
      <c r="AC133" s="5"/>
      <c r="AD133" s="5"/>
    </row>
  </sheetData>
  <mergeCells count="22">
    <mergeCell ref="A116:A121"/>
    <mergeCell ref="A86:A91"/>
    <mergeCell ref="A92:A97"/>
    <mergeCell ref="A98:A103"/>
    <mergeCell ref="A104:A109"/>
    <mergeCell ref="A110:A115"/>
    <mergeCell ref="A122:A127"/>
    <mergeCell ref="A128:A133"/>
    <mergeCell ref="A2:A7"/>
    <mergeCell ref="A8:A13"/>
    <mergeCell ref="A14:A19"/>
    <mergeCell ref="A20:A25"/>
    <mergeCell ref="A26:A31"/>
    <mergeCell ref="A32:A37"/>
    <mergeCell ref="A38:A43"/>
    <mergeCell ref="A44:A49"/>
    <mergeCell ref="A50:A55"/>
    <mergeCell ref="A56:A61"/>
    <mergeCell ref="A62:A67"/>
    <mergeCell ref="A68:A73"/>
    <mergeCell ref="A74:A79"/>
    <mergeCell ref="A80:A8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-0.249977111117893"/>
  </sheetPr>
  <dimension ref="A1:AK52"/>
  <sheetViews>
    <sheetView workbookViewId="0">
      <selection activeCell="I4" sqref="I4"/>
    </sheetView>
  </sheetViews>
  <sheetFormatPr defaultColWidth="9.140625" defaultRowHeight="15" x14ac:dyDescent="0.25"/>
  <cols>
    <col min="1" max="16384" width="9.140625" style="20"/>
  </cols>
  <sheetData>
    <row r="1" spans="1:37" x14ac:dyDescent="0.25">
      <c r="A1" s="20" t="s">
        <v>49</v>
      </c>
      <c r="B1" s="20" t="s">
        <v>50</v>
      </c>
    </row>
    <row r="2" spans="1:37" x14ac:dyDescent="0.25">
      <c r="A2" s="20" t="s">
        <v>33</v>
      </c>
      <c r="B2" s="20">
        <v>0.27500000000000002</v>
      </c>
    </row>
    <row r="3" spans="1:37" x14ac:dyDescent="0.25">
      <c r="A3" s="20" t="s">
        <v>14</v>
      </c>
      <c r="B3" s="20">
        <v>0.75</v>
      </c>
    </row>
    <row r="4" spans="1:37" x14ac:dyDescent="0.25">
      <c r="A4" s="20" t="s">
        <v>23</v>
      </c>
      <c r="B4" s="20">
        <v>0.4</v>
      </c>
    </row>
    <row r="5" spans="1:37" x14ac:dyDescent="0.25">
      <c r="A5" s="20" t="s">
        <v>16</v>
      </c>
      <c r="B5" s="20">
        <v>0.1893549842288946</v>
      </c>
    </row>
    <row r="6" spans="1:37" x14ac:dyDescent="0.25">
      <c r="A6" s="20" t="s">
        <v>17</v>
      </c>
      <c r="B6" s="20">
        <v>0.2556026411779832</v>
      </c>
    </row>
    <row r="7" spans="1:37" x14ac:dyDescent="0.25">
      <c r="A7" s="20" t="s">
        <v>15</v>
      </c>
      <c r="B7" s="20">
        <v>2000</v>
      </c>
      <c r="C7" s="20">
        <v>2020</v>
      </c>
      <c r="D7" s="20">
        <v>2040</v>
      </c>
      <c r="E7" s="20">
        <v>2060</v>
      </c>
      <c r="F7" s="20">
        <v>2080</v>
      </c>
      <c r="G7" s="20">
        <v>2100</v>
      </c>
      <c r="K7" s="20" t="s">
        <v>15</v>
      </c>
      <c r="L7" s="20">
        <v>2000</v>
      </c>
      <c r="M7" s="20">
        <v>2020</v>
      </c>
      <c r="N7" s="20">
        <v>2040</v>
      </c>
      <c r="O7" s="20">
        <v>2060</v>
      </c>
      <c r="P7" s="20">
        <v>2080</v>
      </c>
      <c r="Q7" s="20">
        <v>2100</v>
      </c>
      <c r="U7" s="20" t="s">
        <v>15</v>
      </c>
      <c r="V7" s="20">
        <v>2000</v>
      </c>
      <c r="W7" s="20">
        <v>2020</v>
      </c>
      <c r="X7" s="20">
        <v>2040</v>
      </c>
      <c r="Y7" s="20">
        <v>2060</v>
      </c>
      <c r="Z7" s="20">
        <v>2080</v>
      </c>
      <c r="AA7" s="20">
        <v>2100</v>
      </c>
      <c r="AE7" s="20" t="s">
        <v>15</v>
      </c>
      <c r="AF7" s="20">
        <v>2000</v>
      </c>
      <c r="AG7" s="20">
        <v>2020</v>
      </c>
      <c r="AH7" s="20">
        <v>2040</v>
      </c>
      <c r="AI7" s="20">
        <v>2060</v>
      </c>
      <c r="AJ7" s="20">
        <v>2080</v>
      </c>
      <c r="AK7" s="20">
        <v>2100</v>
      </c>
    </row>
    <row r="8" spans="1:37" x14ac:dyDescent="0.25">
      <c r="A8" s="20" t="s">
        <v>11</v>
      </c>
      <c r="B8" s="20">
        <v>52800.154593546307</v>
      </c>
      <c r="C8" s="20">
        <v>928435.06955684687</v>
      </c>
      <c r="D8" s="20">
        <v>13472791.97300896</v>
      </c>
      <c r="E8" s="20">
        <v>182198832.40721509</v>
      </c>
      <c r="F8" s="20">
        <v>2357477241.136766</v>
      </c>
      <c r="G8" s="20">
        <v>29721130358.25029</v>
      </c>
      <c r="K8" s="20" t="s">
        <v>11</v>
      </c>
      <c r="L8" s="20">
        <v>52800.154593546307</v>
      </c>
      <c r="M8" s="20">
        <v>928435.06955684687</v>
      </c>
      <c r="N8" s="20">
        <v>13472791.97300896</v>
      </c>
      <c r="O8" s="20">
        <v>182198832.40721509</v>
      </c>
      <c r="P8" s="20">
        <v>2357477241.136766</v>
      </c>
      <c r="Q8" s="20">
        <v>29721130358.25029</v>
      </c>
      <c r="U8" s="20" t="s">
        <v>11</v>
      </c>
      <c r="V8" s="20">
        <v>52800.154593546307</v>
      </c>
      <c r="W8" s="20">
        <v>928435.06955684687</v>
      </c>
      <c r="X8" s="20">
        <v>13472791.97300896</v>
      </c>
      <c r="Y8" s="20">
        <v>182198832.40721509</v>
      </c>
      <c r="Z8" s="20">
        <v>2357477241.136766</v>
      </c>
      <c r="AA8" s="20">
        <v>29721130358.25029</v>
      </c>
      <c r="AE8" s="20" t="s">
        <v>11</v>
      </c>
      <c r="AF8" s="20">
        <v>52800.154593546307</v>
      </c>
      <c r="AG8" s="20">
        <v>928435.06955684687</v>
      </c>
      <c r="AH8" s="20">
        <v>13472791.97300896</v>
      </c>
      <c r="AI8" s="20">
        <v>182198832.40721509</v>
      </c>
      <c r="AJ8" s="20">
        <v>2357477241.136766</v>
      </c>
      <c r="AK8" s="20">
        <v>29721130358.25029</v>
      </c>
    </row>
    <row r="9" spans="1:37" x14ac:dyDescent="0.25">
      <c r="A9" s="20" t="s">
        <v>13</v>
      </c>
      <c r="B9" s="20">
        <v>117350.3522482023</v>
      </c>
      <c r="C9" s="20">
        <v>295095.91195358848</v>
      </c>
      <c r="D9" s="20">
        <v>670066.98015003558</v>
      </c>
      <c r="E9" s="20">
        <v>1417931.200774183</v>
      </c>
      <c r="F9" s="20">
        <v>2870820.473279227</v>
      </c>
      <c r="G9" s="20">
        <v>5663342.2115404783</v>
      </c>
      <c r="K9" s="20" t="s">
        <v>13</v>
      </c>
      <c r="L9" s="20">
        <v>117350.3522482023</v>
      </c>
      <c r="M9" s="20">
        <v>295095.91195358848</v>
      </c>
      <c r="N9" s="20">
        <v>670066.98015003558</v>
      </c>
      <c r="O9" s="20">
        <v>1417931.200774183</v>
      </c>
      <c r="P9" s="20">
        <v>2870820.473279227</v>
      </c>
      <c r="Q9" s="20">
        <v>5663342.2115404783</v>
      </c>
      <c r="U9" s="20" t="s">
        <v>13</v>
      </c>
      <c r="V9" s="20">
        <v>117350.3522482023</v>
      </c>
      <c r="W9" s="20">
        <v>295095.91195358848</v>
      </c>
      <c r="X9" s="20">
        <v>670066.98015003558</v>
      </c>
      <c r="Y9" s="20">
        <v>1417931.200774183</v>
      </c>
      <c r="Z9" s="20">
        <v>2870820.473279227</v>
      </c>
      <c r="AA9" s="20">
        <v>5663342.2115404783</v>
      </c>
      <c r="AE9" s="20" t="s">
        <v>13</v>
      </c>
      <c r="AF9" s="20">
        <v>117350.3522482023</v>
      </c>
      <c r="AG9" s="20">
        <v>295095.91195358848</v>
      </c>
      <c r="AH9" s="20">
        <v>670066.98015003558</v>
      </c>
      <c r="AI9" s="20">
        <v>1417931.200774183</v>
      </c>
      <c r="AJ9" s="20">
        <v>2870820.473279227</v>
      </c>
      <c r="AK9" s="20">
        <v>5663342.2115404783</v>
      </c>
    </row>
    <row r="10" spans="1:37" x14ac:dyDescent="0.25">
      <c r="A10" s="20" t="s">
        <v>51</v>
      </c>
      <c r="B10" s="20">
        <v>92159.678226000004</v>
      </c>
      <c r="C10" s="20">
        <v>385423.33558163297</v>
      </c>
      <c r="D10" s="20">
        <v>1183081.4651928041</v>
      </c>
      <c r="E10" s="20">
        <v>2985170.392167388</v>
      </c>
      <c r="F10" s="20">
        <v>6674790.8535665106</v>
      </c>
      <c r="G10" s="20">
        <v>13910578.828201231</v>
      </c>
      <c r="K10" s="20" t="s">
        <v>51</v>
      </c>
      <c r="L10" s="20">
        <v>92159.678226000004</v>
      </c>
      <c r="M10" s="20">
        <v>385423.33558163297</v>
      </c>
      <c r="N10" s="20">
        <v>1183081.4651928041</v>
      </c>
      <c r="O10" s="20">
        <v>2985170.392167388</v>
      </c>
      <c r="P10" s="20">
        <v>6674790.8535665106</v>
      </c>
      <c r="Q10" s="20">
        <v>13910578.828201231</v>
      </c>
      <c r="U10" s="20" t="s">
        <v>51</v>
      </c>
      <c r="V10" s="20">
        <v>92159.678226000004</v>
      </c>
      <c r="W10" s="20">
        <v>385423.33558163297</v>
      </c>
      <c r="X10" s="20">
        <v>1183081.4651928041</v>
      </c>
      <c r="Y10" s="20">
        <v>2985170.392167388</v>
      </c>
      <c r="Z10" s="20">
        <v>6674790.8535665106</v>
      </c>
      <c r="AA10" s="20">
        <v>13910578.828201231</v>
      </c>
      <c r="AE10" s="20" t="s">
        <v>51</v>
      </c>
      <c r="AF10" s="20">
        <v>92159.678226000004</v>
      </c>
      <c r="AG10" s="20">
        <v>385423.33558163297</v>
      </c>
      <c r="AH10" s="20">
        <v>1183081.4651928041</v>
      </c>
      <c r="AI10" s="20">
        <v>2985170.392167388</v>
      </c>
      <c r="AJ10" s="20">
        <v>6674790.8535665106</v>
      </c>
      <c r="AK10" s="20">
        <v>13910578.828201231</v>
      </c>
    </row>
    <row r="11" spans="1:37" x14ac:dyDescent="0.25">
      <c r="A11" s="20" t="s">
        <v>0</v>
      </c>
      <c r="B11" s="20">
        <v>1.1477007267974999</v>
      </c>
      <c r="C11" s="20">
        <v>1.2745678574973771</v>
      </c>
      <c r="D11" s="20">
        <v>1.2781254891663381</v>
      </c>
      <c r="E11" s="20">
        <v>1.1944444247396919</v>
      </c>
      <c r="F11" s="20">
        <v>1.0680026571689529</v>
      </c>
      <c r="G11" s="20">
        <v>0.93045337018780971</v>
      </c>
      <c r="K11" s="20" t="s">
        <v>0</v>
      </c>
      <c r="L11" s="20">
        <v>1.1477007267974999</v>
      </c>
      <c r="M11" s="20">
        <v>1.2745678574973771</v>
      </c>
      <c r="N11" s="20">
        <v>1.2781254891663381</v>
      </c>
      <c r="O11" s="20">
        <v>1.1944444247396919</v>
      </c>
      <c r="P11" s="20">
        <v>1.0680026571689529</v>
      </c>
      <c r="Q11" s="20">
        <v>0.93045337018780971</v>
      </c>
      <c r="U11" s="20" t="s">
        <v>0</v>
      </c>
      <c r="V11" s="20">
        <v>1.1477007267974999</v>
      </c>
      <c r="W11" s="20">
        <v>1.2745678574973771</v>
      </c>
      <c r="X11" s="20">
        <v>1.2781254891663381</v>
      </c>
      <c r="Y11" s="20">
        <v>1.1944444247396919</v>
      </c>
      <c r="Z11" s="20">
        <v>1.0680026571689529</v>
      </c>
      <c r="AA11" s="20">
        <v>0.93045337018780971</v>
      </c>
      <c r="AE11" s="20" t="s">
        <v>0</v>
      </c>
      <c r="AF11" s="20">
        <v>1.1477007267974999</v>
      </c>
      <c r="AG11" s="20">
        <v>1.2745678574973771</v>
      </c>
      <c r="AH11" s="20">
        <v>1.2781254891663381</v>
      </c>
      <c r="AI11" s="20">
        <v>1.1944444247396919</v>
      </c>
      <c r="AJ11" s="20">
        <v>1.0680026571689529</v>
      </c>
      <c r="AK11" s="20">
        <v>0.93045337018780971</v>
      </c>
    </row>
    <row r="12" spans="1:37" x14ac:dyDescent="0.25">
      <c r="A12" s="20" t="s">
        <v>1</v>
      </c>
      <c r="B12" s="20">
        <v>1.7176274507745</v>
      </c>
      <c r="C12" s="20">
        <v>3.5398127746407022</v>
      </c>
      <c r="D12" s="20">
        <v>6.5873060358525857</v>
      </c>
      <c r="E12" s="20">
        <v>11.42397665118577</v>
      </c>
      <c r="F12" s="20">
        <v>18.95573841387553</v>
      </c>
      <c r="G12" s="20">
        <v>30.64643780314308</v>
      </c>
      <c r="K12" s="20" t="s">
        <v>1</v>
      </c>
      <c r="L12" s="20">
        <v>1.7176274507745</v>
      </c>
      <c r="M12" s="20">
        <v>3.5398127746407022</v>
      </c>
      <c r="N12" s="20">
        <v>6.5873060358525857</v>
      </c>
      <c r="O12" s="20">
        <v>11.42397665118577</v>
      </c>
      <c r="P12" s="20">
        <v>18.95573841387553</v>
      </c>
      <c r="Q12" s="20">
        <v>30.64643780314308</v>
      </c>
      <c r="U12" s="20" t="s">
        <v>1</v>
      </c>
      <c r="V12" s="20">
        <v>1.7176274507745</v>
      </c>
      <c r="W12" s="20">
        <v>3.5398127746407022</v>
      </c>
      <c r="X12" s="20">
        <v>6.5873060358525857</v>
      </c>
      <c r="Y12" s="20">
        <v>11.42397665118577</v>
      </c>
      <c r="Z12" s="20">
        <v>18.95573841387553</v>
      </c>
      <c r="AA12" s="20">
        <v>30.64643780314308</v>
      </c>
      <c r="AE12" s="20" t="s">
        <v>1</v>
      </c>
      <c r="AF12" s="20">
        <v>1.7176274507745</v>
      </c>
      <c r="AG12" s="20">
        <v>3.5398127746407022</v>
      </c>
      <c r="AH12" s="20">
        <v>6.5873060358525857</v>
      </c>
      <c r="AI12" s="20">
        <v>11.42397665118577</v>
      </c>
      <c r="AJ12" s="20">
        <v>18.95573841387553</v>
      </c>
      <c r="AK12" s="20">
        <v>30.64643780314308</v>
      </c>
    </row>
    <row r="13" spans="1:37" x14ac:dyDescent="0.25">
      <c r="A13" s="20" t="s">
        <v>2</v>
      </c>
      <c r="B13" s="20">
        <v>2.8653281775720001</v>
      </c>
      <c r="C13" s="20">
        <v>4.8143806321380787</v>
      </c>
      <c r="D13" s="20">
        <v>7.8654315250189244</v>
      </c>
      <c r="E13" s="20">
        <v>12.618421075925459</v>
      </c>
      <c r="F13" s="20">
        <v>20.02374107104448</v>
      </c>
      <c r="G13" s="20">
        <v>31.576891173330889</v>
      </c>
      <c r="K13" s="20" t="s">
        <v>2</v>
      </c>
      <c r="L13" s="20">
        <v>2.8653281775720001</v>
      </c>
      <c r="M13" s="20">
        <v>4.8143806321380787</v>
      </c>
      <c r="N13" s="20">
        <v>7.8654315250189244</v>
      </c>
      <c r="O13" s="20">
        <v>12.618421075925459</v>
      </c>
      <c r="P13" s="20">
        <v>20.02374107104448</v>
      </c>
      <c r="Q13" s="20">
        <v>31.576891173330889</v>
      </c>
      <c r="U13" s="20" t="s">
        <v>2</v>
      </c>
      <c r="V13" s="20">
        <v>2.8653281775720001</v>
      </c>
      <c r="W13" s="20">
        <v>4.8143806321380787</v>
      </c>
      <c r="X13" s="20">
        <v>7.8654315250189244</v>
      </c>
      <c r="Y13" s="20">
        <v>12.618421075925459</v>
      </c>
      <c r="Z13" s="20">
        <v>20.02374107104448</v>
      </c>
      <c r="AA13" s="20">
        <v>31.576891173330889</v>
      </c>
      <c r="AE13" s="20" t="s">
        <v>2</v>
      </c>
      <c r="AF13" s="20">
        <v>2.8653281775720001</v>
      </c>
      <c r="AG13" s="20">
        <v>4.8143806321380787</v>
      </c>
      <c r="AH13" s="20">
        <v>7.8654315250189244</v>
      </c>
      <c r="AI13" s="20">
        <v>12.618421075925459</v>
      </c>
      <c r="AJ13" s="20">
        <v>20.02374107104448</v>
      </c>
      <c r="AK13" s="20">
        <v>31.576891173330889</v>
      </c>
    </row>
    <row r="14" spans="1:37" x14ac:dyDescent="0.25">
      <c r="A14" s="20" t="s">
        <v>3</v>
      </c>
      <c r="B14" s="20">
        <v>1.496581304402675</v>
      </c>
      <c r="C14" s="20">
        <v>2.777265057971217</v>
      </c>
      <c r="D14" s="20">
        <v>5.1538805005361263</v>
      </c>
      <c r="E14" s="20">
        <v>9.5642596797045805</v>
      </c>
      <c r="F14" s="20">
        <v>17.748774580882721</v>
      </c>
      <c r="G14" s="20">
        <v>32.937102261188187</v>
      </c>
      <c r="K14" s="20" t="s">
        <v>3</v>
      </c>
      <c r="L14" s="20">
        <v>1.496581304402675</v>
      </c>
      <c r="M14" s="20">
        <v>2.777265057971217</v>
      </c>
      <c r="N14" s="20">
        <v>5.1538805005361263</v>
      </c>
      <c r="O14" s="20">
        <v>9.5642596797045805</v>
      </c>
      <c r="P14" s="20">
        <v>17.748774580882721</v>
      </c>
      <c r="Q14" s="20">
        <v>32.937102261188187</v>
      </c>
      <c r="U14" s="20" t="s">
        <v>3</v>
      </c>
      <c r="V14" s="20">
        <v>1.496581304402675</v>
      </c>
      <c r="W14" s="20">
        <v>2.777265057971217</v>
      </c>
      <c r="X14" s="20">
        <v>5.1538805005361263</v>
      </c>
      <c r="Y14" s="20">
        <v>9.5642596797045805</v>
      </c>
      <c r="Z14" s="20">
        <v>17.748774580882721</v>
      </c>
      <c r="AA14" s="20">
        <v>32.937102261188187</v>
      </c>
      <c r="AE14" s="20" t="s">
        <v>3</v>
      </c>
      <c r="AF14" s="20">
        <v>1.496581304402675</v>
      </c>
      <c r="AG14" s="20">
        <v>2.777265057971217</v>
      </c>
      <c r="AH14" s="20">
        <v>5.1538805005361263</v>
      </c>
      <c r="AI14" s="20">
        <v>9.5642596797045805</v>
      </c>
      <c r="AJ14" s="20">
        <v>17.748774580882721</v>
      </c>
      <c r="AK14" s="20">
        <v>32.937102261188187</v>
      </c>
    </row>
    <row r="15" spans="1:37" x14ac:dyDescent="0.25">
      <c r="A15" s="20" t="s">
        <v>18</v>
      </c>
      <c r="B15" s="20">
        <v>45230.686034216073</v>
      </c>
      <c r="C15" s="20">
        <v>109448.40458383469</v>
      </c>
      <c r="D15" s="20">
        <v>199949.3642326369</v>
      </c>
      <c r="E15" s="20">
        <v>308810.7223873203</v>
      </c>
      <c r="F15" s="20">
        <v>430406.12872292643</v>
      </c>
      <c r="G15" s="20">
        <v>565256.78132613655</v>
      </c>
      <c r="K15" s="20" t="s">
        <v>18</v>
      </c>
      <c r="L15" s="20">
        <v>45230.686034216073</v>
      </c>
      <c r="M15" s="20">
        <v>109448.40458383469</v>
      </c>
      <c r="N15" s="20">
        <v>199949.3642326369</v>
      </c>
      <c r="O15" s="20">
        <v>308810.7223873203</v>
      </c>
      <c r="P15" s="20">
        <v>430406.12872292643</v>
      </c>
      <c r="Q15" s="20">
        <v>565256.78132613655</v>
      </c>
      <c r="U15" s="20" t="s">
        <v>18</v>
      </c>
      <c r="V15" s="20">
        <v>45230.686034216073</v>
      </c>
      <c r="W15" s="20">
        <v>109448.40458383469</v>
      </c>
      <c r="X15" s="20">
        <v>199949.3642326369</v>
      </c>
      <c r="Y15" s="20">
        <v>308810.7223873203</v>
      </c>
      <c r="Z15" s="20">
        <v>430406.12872292643</v>
      </c>
      <c r="AA15" s="20">
        <v>565256.78132613655</v>
      </c>
      <c r="AE15" s="20" t="s">
        <v>18</v>
      </c>
      <c r="AF15" s="20">
        <v>45230.686034216073</v>
      </c>
      <c r="AG15" s="20">
        <v>109448.40458383469</v>
      </c>
      <c r="AH15" s="20">
        <v>199949.3642326369</v>
      </c>
      <c r="AI15" s="20">
        <v>308810.7223873203</v>
      </c>
      <c r="AJ15" s="20">
        <v>430406.12872292643</v>
      </c>
      <c r="AK15" s="20">
        <v>565256.78132613655</v>
      </c>
    </row>
    <row r="16" spans="1:37" x14ac:dyDescent="0.25">
      <c r="A16" s="20" t="s">
        <v>19</v>
      </c>
      <c r="B16" s="20">
        <v>59242.103980910957</v>
      </c>
      <c r="C16" s="20">
        <v>143352.98297256359</v>
      </c>
      <c r="D16" s="20">
        <v>261889.04182939211</v>
      </c>
      <c r="E16" s="20">
        <v>404473.12499859883</v>
      </c>
      <c r="F16" s="20">
        <v>563735.96926069411</v>
      </c>
      <c r="G16" s="20">
        <v>740360.22778663575</v>
      </c>
      <c r="K16" s="20" t="s">
        <v>19</v>
      </c>
      <c r="L16" s="20">
        <v>59242.103980910957</v>
      </c>
      <c r="M16" s="20">
        <v>143352.98297256359</v>
      </c>
      <c r="N16" s="20">
        <v>261889.04182939211</v>
      </c>
      <c r="O16" s="20">
        <v>404473.12499859883</v>
      </c>
      <c r="P16" s="20">
        <v>563735.96926069411</v>
      </c>
      <c r="Q16" s="20">
        <v>740360.22778663575</v>
      </c>
      <c r="U16" s="20" t="s">
        <v>19</v>
      </c>
      <c r="V16" s="20">
        <v>59242.103980910957</v>
      </c>
      <c r="W16" s="20">
        <v>143352.98297256359</v>
      </c>
      <c r="X16" s="20">
        <v>261889.04182939211</v>
      </c>
      <c r="Y16" s="20">
        <v>404473.12499859883</v>
      </c>
      <c r="Z16" s="20">
        <v>563735.96926069411</v>
      </c>
      <c r="AA16" s="20">
        <v>740360.22778663575</v>
      </c>
      <c r="AE16" s="20" t="s">
        <v>19</v>
      </c>
      <c r="AF16" s="20">
        <v>59242.103980910957</v>
      </c>
      <c r="AG16" s="20">
        <v>143352.98297256359</v>
      </c>
      <c r="AH16" s="20">
        <v>261889.04182939211</v>
      </c>
      <c r="AI16" s="20">
        <v>404473.12499859883</v>
      </c>
      <c r="AJ16" s="20">
        <v>563735.96926069411</v>
      </c>
      <c r="AK16" s="20">
        <v>740360.22778663575</v>
      </c>
    </row>
    <row r="17" spans="1:37" x14ac:dyDescent="0.25">
      <c r="A17" s="20" t="s">
        <v>7</v>
      </c>
      <c r="B17" s="20">
        <v>17.178609999999999</v>
      </c>
      <c r="C17" s="20">
        <v>17.178609999999999</v>
      </c>
      <c r="D17" s="20">
        <v>17.178609999999999</v>
      </c>
      <c r="E17" s="20">
        <v>17.178609999999999</v>
      </c>
      <c r="F17" s="20">
        <v>17.178609999999999</v>
      </c>
      <c r="G17" s="20">
        <v>17.178609999999999</v>
      </c>
      <c r="K17" s="20" t="s">
        <v>7</v>
      </c>
      <c r="L17" s="20">
        <v>17.178609999999999</v>
      </c>
      <c r="M17" s="20">
        <v>17.178609999999999</v>
      </c>
      <c r="N17" s="20">
        <v>17.178609999999999</v>
      </c>
      <c r="O17" s="20">
        <v>17.178609999999999</v>
      </c>
      <c r="P17" s="20">
        <v>17.178609999999999</v>
      </c>
      <c r="Q17" s="20">
        <v>17.178609999999999</v>
      </c>
      <c r="U17" s="20" t="s">
        <v>7</v>
      </c>
      <c r="V17" s="20">
        <v>17.178609999999999</v>
      </c>
      <c r="W17" s="20">
        <v>17.178609999999999</v>
      </c>
      <c r="X17" s="20">
        <v>17.178609999999999</v>
      </c>
      <c r="Y17" s="20">
        <v>17.178609999999999</v>
      </c>
      <c r="Z17" s="20">
        <v>17.178609999999999</v>
      </c>
      <c r="AA17" s="20">
        <v>17.178609999999999</v>
      </c>
      <c r="AE17" s="20" t="s">
        <v>7</v>
      </c>
      <c r="AF17" s="20">
        <v>17.178609999999999</v>
      </c>
      <c r="AG17" s="20">
        <v>17.178609999999999</v>
      </c>
      <c r="AH17" s="20">
        <v>17.178609999999999</v>
      </c>
      <c r="AI17" s="20">
        <v>17.178609999999999</v>
      </c>
      <c r="AJ17" s="20">
        <v>17.178609999999999</v>
      </c>
      <c r="AK17" s="20">
        <v>17.178609999999999</v>
      </c>
    </row>
    <row r="18" spans="1:37" x14ac:dyDescent="0.25">
      <c r="A18" s="20" t="s">
        <v>52</v>
      </c>
      <c r="B18" s="20">
        <v>27.513741077999999</v>
      </c>
      <c r="C18" s="20">
        <v>27.513741077999999</v>
      </c>
      <c r="D18" s="20">
        <v>27.513741077999999</v>
      </c>
      <c r="E18" s="20">
        <v>27.513741077999999</v>
      </c>
      <c r="F18" s="20">
        <v>27.513741077999999</v>
      </c>
      <c r="G18" s="20">
        <v>27.513741077999999</v>
      </c>
      <c r="K18" s="20" t="s">
        <v>52</v>
      </c>
      <c r="L18" s="20">
        <v>27.513741077999999</v>
      </c>
      <c r="M18" s="20">
        <v>27.513741077999999</v>
      </c>
      <c r="N18" s="20">
        <v>27.513741077999999</v>
      </c>
      <c r="O18" s="20">
        <v>27.513741077999999</v>
      </c>
      <c r="P18" s="20">
        <v>27.513741077999999</v>
      </c>
      <c r="Q18" s="20">
        <v>27.513741077999999</v>
      </c>
      <c r="U18" s="20" t="s">
        <v>52</v>
      </c>
      <c r="V18" s="20">
        <v>27.513741077999999</v>
      </c>
      <c r="W18" s="20">
        <v>27.513741077999999</v>
      </c>
      <c r="X18" s="20">
        <v>27.513741077999999</v>
      </c>
      <c r="Y18" s="20">
        <v>27.513741077999999</v>
      </c>
      <c r="Z18" s="20">
        <v>27.513741077999999</v>
      </c>
      <c r="AA18" s="20">
        <v>27.513741077999999</v>
      </c>
      <c r="AE18" s="20" t="s">
        <v>52</v>
      </c>
      <c r="AF18" s="20">
        <v>27.513741077999999</v>
      </c>
      <c r="AG18" s="20">
        <v>27.513741077999999</v>
      </c>
      <c r="AH18" s="20">
        <v>27.513741077999999</v>
      </c>
      <c r="AI18" s="20">
        <v>27.513741077999999</v>
      </c>
      <c r="AJ18" s="20">
        <v>27.513741077999999</v>
      </c>
      <c r="AK18" s="20">
        <v>27.513741077999999</v>
      </c>
    </row>
    <row r="19" spans="1:37" x14ac:dyDescent="0.25">
      <c r="A19" s="20" t="s">
        <v>4</v>
      </c>
      <c r="B19" s="20">
        <v>0.91393118527122841</v>
      </c>
      <c r="C19" s="20">
        <v>0.91393118527122841</v>
      </c>
      <c r="D19" s="20">
        <v>0.91393118527122841</v>
      </c>
      <c r="E19" s="20">
        <v>0.91393118527122841</v>
      </c>
      <c r="F19" s="20">
        <v>0.91393118527122841</v>
      </c>
      <c r="G19" s="20">
        <v>0.91393118527122841</v>
      </c>
      <c r="K19" s="20" t="s">
        <v>4</v>
      </c>
      <c r="L19" s="20">
        <v>0.91393118527122841</v>
      </c>
      <c r="M19" s="20">
        <v>0.91393118527122841</v>
      </c>
      <c r="N19" s="20">
        <v>0.91393118527122841</v>
      </c>
      <c r="O19" s="20">
        <v>0.91393118527122841</v>
      </c>
      <c r="P19" s="20">
        <v>0.91393118527122841</v>
      </c>
      <c r="Q19" s="20">
        <v>0.91393118527122841</v>
      </c>
      <c r="U19" s="20" t="s">
        <v>4</v>
      </c>
      <c r="V19" s="20">
        <v>0.91393118527122841</v>
      </c>
      <c r="W19" s="20">
        <v>0.91393118527122841</v>
      </c>
      <c r="X19" s="20">
        <v>0.91393118527122841</v>
      </c>
      <c r="Y19" s="20">
        <v>0.91393118527122841</v>
      </c>
      <c r="Z19" s="20">
        <v>0.91393118527122841</v>
      </c>
      <c r="AA19" s="20">
        <v>0.91393118527122841</v>
      </c>
      <c r="AE19" s="20" t="s">
        <v>4</v>
      </c>
      <c r="AF19" s="20">
        <v>0.91393118527122841</v>
      </c>
      <c r="AG19" s="20">
        <v>0.91393118527122841</v>
      </c>
      <c r="AH19" s="20">
        <v>0.91393118527122841</v>
      </c>
      <c r="AI19" s="20">
        <v>0.91393118527122841</v>
      </c>
      <c r="AJ19" s="20">
        <v>0.91393118527122841</v>
      </c>
      <c r="AK19" s="20">
        <v>0.91393118527122841</v>
      </c>
    </row>
    <row r="20" spans="1:37" x14ac:dyDescent="0.25">
      <c r="A20" s="20" t="s">
        <v>5</v>
      </c>
      <c r="B20" s="20">
        <v>1</v>
      </c>
      <c r="C20" s="20">
        <v>1</v>
      </c>
      <c r="D20" s="20">
        <v>1</v>
      </c>
      <c r="E20" s="20">
        <v>1</v>
      </c>
      <c r="F20" s="20">
        <v>1</v>
      </c>
      <c r="G20" s="20">
        <v>1</v>
      </c>
      <c r="K20" s="20" t="s">
        <v>5</v>
      </c>
      <c r="L20" s="20">
        <v>1</v>
      </c>
      <c r="M20" s="20">
        <v>1</v>
      </c>
      <c r="N20" s="20">
        <v>1</v>
      </c>
      <c r="O20" s="20">
        <v>1</v>
      </c>
      <c r="P20" s="20">
        <v>1</v>
      </c>
      <c r="Q20" s="20">
        <v>1</v>
      </c>
      <c r="U20" s="20" t="s">
        <v>5</v>
      </c>
      <c r="V20" s="20">
        <v>1</v>
      </c>
      <c r="W20" s="20">
        <v>1</v>
      </c>
      <c r="X20" s="20">
        <v>1</v>
      </c>
      <c r="Y20" s="20">
        <v>1</v>
      </c>
      <c r="Z20" s="20">
        <v>1</v>
      </c>
      <c r="AA20" s="20">
        <v>1</v>
      </c>
      <c r="AE20" s="20" t="s">
        <v>5</v>
      </c>
      <c r="AF20" s="20">
        <v>1</v>
      </c>
      <c r="AG20" s="20">
        <v>1</v>
      </c>
      <c r="AH20" s="20">
        <v>1</v>
      </c>
      <c r="AI20" s="20">
        <v>1</v>
      </c>
      <c r="AJ20" s="20">
        <v>1</v>
      </c>
      <c r="AK20" s="20">
        <v>1</v>
      </c>
    </row>
    <row r="21" spans="1:37" x14ac:dyDescent="0.25">
      <c r="A21" s="20" t="s">
        <v>20</v>
      </c>
      <c r="B21" s="20">
        <v>1</v>
      </c>
      <c r="C21" s="20">
        <v>0.96966048781639314</v>
      </c>
      <c r="D21" s="20">
        <v>0.96966048781639314</v>
      </c>
      <c r="E21" s="20">
        <v>0.96966048781639314</v>
      </c>
      <c r="F21" s="20">
        <v>0.96966048781639314</v>
      </c>
      <c r="G21" s="20">
        <v>0.96966048781639314</v>
      </c>
      <c r="K21" s="20" t="s">
        <v>20</v>
      </c>
      <c r="L21" s="20">
        <v>1</v>
      </c>
      <c r="M21" s="20">
        <v>0.96966048781639314</v>
      </c>
      <c r="N21" s="20">
        <v>0.96966048781639314</v>
      </c>
      <c r="O21" s="20">
        <v>0.96966048781639314</v>
      </c>
      <c r="P21" s="20">
        <v>0.96966048781639314</v>
      </c>
      <c r="Q21" s="20">
        <v>0.96966048781639314</v>
      </c>
      <c r="U21" s="20" t="s">
        <v>20</v>
      </c>
      <c r="V21" s="20">
        <v>1</v>
      </c>
      <c r="W21" s="20">
        <v>0.96966048781639314</v>
      </c>
      <c r="X21" s="20">
        <v>0.96966048781639314</v>
      </c>
      <c r="Y21" s="20">
        <v>0.96966048781639314</v>
      </c>
      <c r="Z21" s="20">
        <v>0.96966048781639314</v>
      </c>
      <c r="AA21" s="20">
        <v>0.96966048781639314</v>
      </c>
      <c r="AE21" s="20" t="s">
        <v>20</v>
      </c>
      <c r="AF21" s="20">
        <v>1</v>
      </c>
      <c r="AG21" s="20">
        <v>0.96966048781639314</v>
      </c>
      <c r="AH21" s="20">
        <v>0.96966048781639314</v>
      </c>
      <c r="AI21" s="20">
        <v>0.96966048781639314</v>
      </c>
      <c r="AJ21" s="20">
        <v>0.96966048781639314</v>
      </c>
      <c r="AK21" s="20">
        <v>0.96966048781639314</v>
      </c>
    </row>
    <row r="22" spans="1:37" x14ac:dyDescent="0.25">
      <c r="A22" s="20" t="s">
        <v>21</v>
      </c>
      <c r="B22" s="20">
        <v>1</v>
      </c>
      <c r="C22" s="20">
        <v>0.99933476497980267</v>
      </c>
      <c r="D22" s="20">
        <v>0.99933476497980267</v>
      </c>
      <c r="E22" s="20">
        <v>0.99933476497980267</v>
      </c>
      <c r="F22" s="20">
        <v>0.99933476497980267</v>
      </c>
      <c r="G22" s="20">
        <v>0.99933476497980267</v>
      </c>
      <c r="K22" s="20" t="s">
        <v>21</v>
      </c>
      <c r="L22" s="20">
        <v>1</v>
      </c>
      <c r="M22" s="20">
        <v>0.99933476497980267</v>
      </c>
      <c r="N22" s="20">
        <v>0.99933476497980267</v>
      </c>
      <c r="O22" s="20">
        <v>0.99933476497980267</v>
      </c>
      <c r="P22" s="20">
        <v>0.99933476497980267</v>
      </c>
      <c r="Q22" s="20">
        <v>0.99933476497980267</v>
      </c>
      <c r="U22" s="20" t="s">
        <v>21</v>
      </c>
      <c r="V22" s="20">
        <v>1</v>
      </c>
      <c r="W22" s="20">
        <v>0.99933476497980267</v>
      </c>
      <c r="X22" s="20">
        <v>0.99933476497980267</v>
      </c>
      <c r="Y22" s="20">
        <v>0.99933476497980267</v>
      </c>
      <c r="Z22" s="20">
        <v>0.99933476497980267</v>
      </c>
      <c r="AA22" s="20">
        <v>0.99933476497980267</v>
      </c>
      <c r="AE22" s="20" t="s">
        <v>21</v>
      </c>
      <c r="AF22" s="20">
        <v>1</v>
      </c>
      <c r="AG22" s="20">
        <v>0.99933476497980267</v>
      </c>
      <c r="AH22" s="20">
        <v>0.99933476497980267</v>
      </c>
      <c r="AI22" s="20">
        <v>0.99933476497980267</v>
      </c>
      <c r="AJ22" s="20">
        <v>0.99933476497980267</v>
      </c>
      <c r="AK22" s="20">
        <v>0.99933476497980267</v>
      </c>
    </row>
    <row r="23" spans="1:37" x14ac:dyDescent="0.25">
      <c r="A23" s="20" t="s">
        <v>10</v>
      </c>
      <c r="B23" s="20">
        <v>0.95333675383367567</v>
      </c>
      <c r="C23" s="20">
        <v>0.14569362862734361</v>
      </c>
      <c r="D23" s="20">
        <v>1.8393129073278201E-2</v>
      </c>
      <c r="E23" s="20">
        <v>1.963054823301026E-3</v>
      </c>
      <c r="F23" s="20">
        <v>1.8907015069357031E-4</v>
      </c>
      <c r="G23" s="20">
        <v>1.7159110504255699E-5</v>
      </c>
      <c r="K23" s="20" t="s">
        <v>10</v>
      </c>
      <c r="L23" s="20">
        <v>0.95333675383367567</v>
      </c>
      <c r="M23" s="20">
        <v>0.14569362862734361</v>
      </c>
      <c r="N23" s="20">
        <v>1.8393129073278201E-2</v>
      </c>
      <c r="O23" s="20">
        <v>1.963054823301026E-3</v>
      </c>
      <c r="P23" s="20">
        <v>1.8907015069357031E-4</v>
      </c>
      <c r="Q23" s="20">
        <v>1.7159110504255699E-5</v>
      </c>
      <c r="U23" s="20" t="s">
        <v>10</v>
      </c>
      <c r="V23" s="20">
        <v>0.95333675383367567</v>
      </c>
      <c r="W23" s="20">
        <v>0.14569362862734361</v>
      </c>
      <c r="X23" s="20">
        <v>1.8393129073278201E-2</v>
      </c>
      <c r="Y23" s="20">
        <v>1.963054823301026E-3</v>
      </c>
      <c r="Z23" s="20">
        <v>1.8907015069357031E-4</v>
      </c>
      <c r="AA23" s="20">
        <v>1.7159110504255699E-5</v>
      </c>
      <c r="AE23" s="20" t="s">
        <v>10</v>
      </c>
      <c r="AF23" s="20">
        <v>0.95333675383367567</v>
      </c>
      <c r="AG23" s="20">
        <v>0.14569362862734361</v>
      </c>
      <c r="AH23" s="20">
        <v>1.8393129073278201E-2</v>
      </c>
      <c r="AI23" s="20">
        <v>1.963054823301026E-3</v>
      </c>
      <c r="AJ23" s="20">
        <v>1.8907015069357031E-4</v>
      </c>
      <c r="AK23" s="20">
        <v>1.7159110504255699E-5</v>
      </c>
    </row>
    <row r="24" spans="1:37" x14ac:dyDescent="0.25">
      <c r="A24" s="20" t="s">
        <v>12</v>
      </c>
      <c r="B24" s="20">
        <v>0.86653487208887681</v>
      </c>
      <c r="C24" s="20">
        <v>1.718441805525678</v>
      </c>
      <c r="D24" s="20">
        <v>2.5728706104350998</v>
      </c>
      <c r="E24" s="20">
        <v>3.2565879696191562</v>
      </c>
      <c r="F24" s="20">
        <v>3.719815622317316</v>
      </c>
      <c r="G24" s="20">
        <v>4.0036976470658718</v>
      </c>
      <c r="K24" s="20" t="s">
        <v>12</v>
      </c>
      <c r="L24" s="20">
        <v>0.86653487208887681</v>
      </c>
      <c r="M24" s="20">
        <v>1.718441805525678</v>
      </c>
      <c r="N24" s="20">
        <v>2.5728706104350998</v>
      </c>
      <c r="O24" s="20">
        <v>3.2565879696191562</v>
      </c>
      <c r="P24" s="20">
        <v>3.719815622317316</v>
      </c>
      <c r="Q24" s="20">
        <v>4.0036976470658718</v>
      </c>
      <c r="U24" s="20" t="s">
        <v>12</v>
      </c>
      <c r="V24" s="20">
        <v>0.86653487208887681</v>
      </c>
      <c r="W24" s="20">
        <v>1.718441805525678</v>
      </c>
      <c r="X24" s="20">
        <v>2.5728706104350998</v>
      </c>
      <c r="Y24" s="20">
        <v>3.2565879696191562</v>
      </c>
      <c r="Z24" s="20">
        <v>3.719815622317316</v>
      </c>
      <c r="AA24" s="20">
        <v>4.0036976470658718</v>
      </c>
      <c r="AE24" s="20" t="s">
        <v>12</v>
      </c>
      <c r="AF24" s="20">
        <v>0.86653487208887681</v>
      </c>
      <c r="AG24" s="20">
        <v>1.718441805525678</v>
      </c>
      <c r="AH24" s="20">
        <v>2.5728706104350998</v>
      </c>
      <c r="AI24" s="20">
        <v>3.2565879696191562</v>
      </c>
      <c r="AJ24" s="20">
        <v>3.719815622317316</v>
      </c>
      <c r="AK24" s="20">
        <v>4.0036976470658718</v>
      </c>
    </row>
    <row r="25" spans="1:37" x14ac:dyDescent="0.25">
      <c r="A25" s="20" t="s">
        <v>11</v>
      </c>
      <c r="B25" s="20">
        <v>52800.154593546307</v>
      </c>
      <c r="C25" s="20">
        <v>928435.06955684687</v>
      </c>
      <c r="D25" s="20">
        <v>13472791.97300896</v>
      </c>
      <c r="E25" s="20">
        <v>182198832.40721509</v>
      </c>
      <c r="F25" s="20">
        <v>2357477241.136766</v>
      </c>
      <c r="G25" s="20">
        <v>29721130358.25029</v>
      </c>
      <c r="K25" s="20" t="s">
        <v>11</v>
      </c>
      <c r="L25" s="20">
        <v>52800.154593546307</v>
      </c>
      <c r="M25" s="20">
        <v>928435.06955684687</v>
      </c>
      <c r="N25" s="20">
        <v>13472791.97300896</v>
      </c>
      <c r="O25" s="20">
        <v>182198832.40721509</v>
      </c>
      <c r="P25" s="20">
        <v>2357477241.136766</v>
      </c>
      <c r="Q25" s="20">
        <v>29721130358.25029</v>
      </c>
      <c r="U25" s="20" t="s">
        <v>11</v>
      </c>
      <c r="V25" s="20">
        <v>52800.154593546307</v>
      </c>
      <c r="W25" s="20">
        <v>928435.06955684687</v>
      </c>
      <c r="X25" s="20">
        <v>13472791.97300896</v>
      </c>
      <c r="Y25" s="20">
        <v>182198832.40721509</v>
      </c>
      <c r="Z25" s="20">
        <v>2357477241.136766</v>
      </c>
      <c r="AA25" s="20">
        <v>29721130358.25029</v>
      </c>
      <c r="AE25" s="20" t="s">
        <v>11</v>
      </c>
      <c r="AF25" s="20">
        <v>52800.154593546307</v>
      </c>
      <c r="AG25" s="20">
        <v>928435.06955684687</v>
      </c>
      <c r="AH25" s="20">
        <v>13472791.97300896</v>
      </c>
      <c r="AI25" s="20">
        <v>182198832.40721509</v>
      </c>
      <c r="AJ25" s="20">
        <v>2357477241.136766</v>
      </c>
      <c r="AK25" s="20">
        <v>29721130358.25029</v>
      </c>
    </row>
    <row r="26" spans="1:37" x14ac:dyDescent="0.25">
      <c r="A26" s="20" t="s">
        <v>13</v>
      </c>
      <c r="B26" s="20">
        <v>117350.3522482023</v>
      </c>
      <c r="C26" s="20">
        <v>295095.91195358848</v>
      </c>
      <c r="D26" s="20">
        <v>670066.98015003558</v>
      </c>
      <c r="E26" s="20">
        <v>1417931.200774183</v>
      </c>
      <c r="F26" s="20">
        <v>2870820.473279227</v>
      </c>
      <c r="G26" s="20">
        <v>5663342.2115404783</v>
      </c>
      <c r="K26" s="20" t="s">
        <v>13</v>
      </c>
      <c r="L26" s="20">
        <v>117350.3522482023</v>
      </c>
      <c r="M26" s="20">
        <v>295095.91195358848</v>
      </c>
      <c r="N26" s="20">
        <v>670066.98015003558</v>
      </c>
      <c r="O26" s="20">
        <v>1417931.200774183</v>
      </c>
      <c r="P26" s="20">
        <v>2870820.473279227</v>
      </c>
      <c r="Q26" s="20">
        <v>5663342.2115404783</v>
      </c>
      <c r="U26" s="20" t="s">
        <v>13</v>
      </c>
      <c r="V26" s="20">
        <v>117350.3522482023</v>
      </c>
      <c r="W26" s="20">
        <v>295095.91195358848</v>
      </c>
      <c r="X26" s="20">
        <v>670066.98015003558</v>
      </c>
      <c r="Y26" s="20">
        <v>1417931.200774183</v>
      </c>
      <c r="Z26" s="20">
        <v>2870820.473279227</v>
      </c>
      <c r="AA26" s="20">
        <v>5663342.2115404783</v>
      </c>
      <c r="AE26" s="20" t="s">
        <v>13</v>
      </c>
      <c r="AF26" s="20">
        <v>117350.3522482023</v>
      </c>
      <c r="AG26" s="20">
        <v>295095.91195358848</v>
      </c>
      <c r="AH26" s="20">
        <v>670066.98015003558</v>
      </c>
      <c r="AI26" s="20">
        <v>1417931.200774183</v>
      </c>
      <c r="AJ26" s="20">
        <v>2870820.473279227</v>
      </c>
      <c r="AK26" s="20">
        <v>5663342.2115404783</v>
      </c>
    </row>
    <row r="27" spans="1:37" x14ac:dyDescent="0.25">
      <c r="A27" s="20" t="s">
        <v>22</v>
      </c>
      <c r="B27" s="20">
        <v>18427.262540756401</v>
      </c>
      <c r="C27" s="20">
        <v>80056.681228892689</v>
      </c>
      <c r="D27" s="20">
        <v>150415.32831727981</v>
      </c>
      <c r="E27" s="20">
        <v>236572.41854630769</v>
      </c>
      <c r="F27" s="20">
        <v>333343.84568219649</v>
      </c>
      <c r="G27" s="20">
        <v>440530.34707703523</v>
      </c>
      <c r="K27" s="20" t="s">
        <v>22</v>
      </c>
      <c r="L27" s="20">
        <v>18427.262540756401</v>
      </c>
      <c r="M27" s="20">
        <v>80056.681228892689</v>
      </c>
      <c r="N27" s="20">
        <v>150415.32831727981</v>
      </c>
      <c r="O27" s="20">
        <v>236572.41854630769</v>
      </c>
      <c r="P27" s="20">
        <v>333343.84568219649</v>
      </c>
      <c r="Q27" s="20">
        <v>440530.34707703523</v>
      </c>
      <c r="U27" s="20" t="s">
        <v>22</v>
      </c>
      <c r="V27" s="20">
        <v>18427.262540756401</v>
      </c>
      <c r="W27" s="20">
        <v>80056.681228892689</v>
      </c>
      <c r="X27" s="20">
        <v>150415.32831727981</v>
      </c>
      <c r="Y27" s="20">
        <v>236572.41854630769</v>
      </c>
      <c r="Z27" s="20">
        <v>333343.84568219649</v>
      </c>
      <c r="AA27" s="20">
        <v>440530.34707703523</v>
      </c>
      <c r="AE27" s="20" t="s">
        <v>22</v>
      </c>
      <c r="AF27" s="20">
        <v>18427.262540756401</v>
      </c>
      <c r="AG27" s="20">
        <v>80056.681228892689</v>
      </c>
      <c r="AH27" s="20">
        <v>150415.32831727981</v>
      </c>
      <c r="AI27" s="20">
        <v>236572.41854630769</v>
      </c>
      <c r="AJ27" s="20">
        <v>333343.84568219649</v>
      </c>
      <c r="AK27" s="20">
        <v>440530.34707703523</v>
      </c>
    </row>
    <row r="32" spans="1:37" x14ac:dyDescent="0.25">
      <c r="A32" s="20" t="s">
        <v>15</v>
      </c>
      <c r="B32" s="20">
        <v>2000</v>
      </c>
      <c r="C32" s="20">
        <v>2020</v>
      </c>
      <c r="D32" s="20">
        <v>2040</v>
      </c>
      <c r="E32" s="20">
        <v>2060</v>
      </c>
      <c r="F32" s="20">
        <v>2080</v>
      </c>
      <c r="G32" s="20">
        <v>2100</v>
      </c>
      <c r="K32" s="20" t="s">
        <v>15</v>
      </c>
      <c r="L32" s="20">
        <v>2000</v>
      </c>
      <c r="M32" s="20">
        <v>2020</v>
      </c>
      <c r="N32" s="20">
        <v>2040</v>
      </c>
      <c r="O32" s="20">
        <v>2060</v>
      </c>
      <c r="P32" s="20">
        <v>2080</v>
      </c>
      <c r="Q32" s="20">
        <v>2100</v>
      </c>
      <c r="U32" s="20" t="s">
        <v>15</v>
      </c>
      <c r="V32" s="20">
        <v>2000</v>
      </c>
      <c r="W32" s="20">
        <v>2020</v>
      </c>
      <c r="X32" s="20">
        <v>2040</v>
      </c>
      <c r="Y32" s="20">
        <v>2060</v>
      </c>
      <c r="Z32" s="20">
        <v>2080</v>
      </c>
      <c r="AA32" s="20">
        <v>2100</v>
      </c>
      <c r="AE32" s="20" t="s">
        <v>15</v>
      </c>
      <c r="AF32" s="20">
        <v>2000</v>
      </c>
      <c r="AG32" s="20">
        <v>2020</v>
      </c>
      <c r="AH32" s="20">
        <v>2040</v>
      </c>
      <c r="AI32" s="20">
        <v>2060</v>
      </c>
      <c r="AJ32" s="20">
        <v>2080</v>
      </c>
      <c r="AK32" s="20">
        <v>2100</v>
      </c>
    </row>
    <row r="33" spans="1:37" x14ac:dyDescent="0.25">
      <c r="A33" s="20" t="s">
        <v>11</v>
      </c>
      <c r="B33" s="20">
        <v>52800.154593546307</v>
      </c>
      <c r="C33" s="20">
        <v>920584.70803764579</v>
      </c>
      <c r="D33" s="20">
        <v>13257798.74938469</v>
      </c>
      <c r="E33" s="20">
        <v>179206976.1336365</v>
      </c>
      <c r="F33" s="20">
        <v>2306087915.4764009</v>
      </c>
      <c r="G33" s="20">
        <v>29069587793.832691</v>
      </c>
      <c r="K33" s="20" t="s">
        <v>11</v>
      </c>
      <c r="L33" s="20">
        <v>52800.154593546307</v>
      </c>
      <c r="M33" s="20">
        <v>920584.70803764579</v>
      </c>
      <c r="N33" s="20">
        <v>13187733.88504548</v>
      </c>
      <c r="O33" s="20">
        <v>175380223.68253329</v>
      </c>
      <c r="P33" s="20">
        <v>2268431550.032218</v>
      </c>
      <c r="Q33" s="20">
        <v>28408708173.335159</v>
      </c>
      <c r="U33" s="20" t="s">
        <v>11</v>
      </c>
      <c r="V33" s="20">
        <v>52800.154593546307</v>
      </c>
      <c r="W33" s="20">
        <v>916021.33390207752</v>
      </c>
      <c r="X33" s="20">
        <v>13188557.421493569</v>
      </c>
      <c r="Y33" s="20">
        <v>176872045.70876399</v>
      </c>
      <c r="Z33" s="20">
        <v>2233135507.3391609</v>
      </c>
      <c r="AA33" s="20">
        <v>27874614642.103069</v>
      </c>
      <c r="AE33" s="20" t="s">
        <v>11</v>
      </c>
      <c r="AF33" s="20">
        <v>52800.154593546307</v>
      </c>
      <c r="AG33" s="20">
        <v>920584.70803764579</v>
      </c>
      <c r="AH33" s="20">
        <v>13083774.752370751</v>
      </c>
      <c r="AI33" s="20">
        <v>172627405.7809881</v>
      </c>
      <c r="AJ33" s="20">
        <v>2171062243.5055408</v>
      </c>
      <c r="AK33" s="20">
        <v>26309740706.385761</v>
      </c>
    </row>
    <row r="34" spans="1:37" x14ac:dyDescent="0.25">
      <c r="A34" s="20" t="s">
        <v>13</v>
      </c>
      <c r="B34" s="20">
        <v>117350.3522482023</v>
      </c>
      <c r="C34" s="20">
        <v>295073.23461773049</v>
      </c>
      <c r="D34" s="20">
        <v>668923.96389480017</v>
      </c>
      <c r="E34" s="20">
        <v>1414846.0955818491</v>
      </c>
      <c r="F34" s="20">
        <v>2858957.2725336431</v>
      </c>
      <c r="G34" s="20">
        <v>5639227.7521624388</v>
      </c>
      <c r="K34" s="20" t="s">
        <v>13</v>
      </c>
      <c r="L34" s="20">
        <v>117350.3522482023</v>
      </c>
      <c r="M34" s="20">
        <v>295073.23461773049</v>
      </c>
      <c r="N34" s="20">
        <v>667734.88628146774</v>
      </c>
      <c r="O34" s="20">
        <v>1406566.282879252</v>
      </c>
      <c r="P34" s="20">
        <v>2846782.047577661</v>
      </c>
      <c r="Q34" s="20">
        <v>5599204.1839455524</v>
      </c>
      <c r="U34" s="20" t="s">
        <v>13</v>
      </c>
      <c r="V34" s="20">
        <v>117350.3522482023</v>
      </c>
      <c r="W34" s="20">
        <v>294629.49957454059</v>
      </c>
      <c r="X34" s="20">
        <v>667776.58442470455</v>
      </c>
      <c r="Y34" s="20">
        <v>1409869.3877347941</v>
      </c>
      <c r="Z34" s="20">
        <v>2830387.5155237219</v>
      </c>
      <c r="AA34" s="20">
        <v>5563107.5718705337</v>
      </c>
      <c r="AE34" s="20" t="s">
        <v>13</v>
      </c>
      <c r="AF34" s="20">
        <v>117350.3522482023</v>
      </c>
      <c r="AG34" s="20">
        <v>295073.23461773049</v>
      </c>
      <c r="AH34" s="20">
        <v>666505.57169783814</v>
      </c>
      <c r="AI34" s="20">
        <v>1398271.837233844</v>
      </c>
      <c r="AJ34" s="20">
        <v>2797510.5275701778</v>
      </c>
      <c r="AK34" s="20">
        <v>5404248.7751954272</v>
      </c>
    </row>
    <row r="35" spans="1:37" x14ac:dyDescent="0.25">
      <c r="A35" s="20" t="s">
        <v>51</v>
      </c>
      <c r="B35" s="20">
        <v>92159.678226000004</v>
      </c>
      <c r="C35" s="20">
        <v>384015.69726384379</v>
      </c>
      <c r="D35" s="20">
        <v>1175078.1558888331</v>
      </c>
      <c r="E35" s="20">
        <v>2967301.2663319199</v>
      </c>
      <c r="F35" s="20">
        <v>6613718.0027800975</v>
      </c>
      <c r="G35" s="20">
        <v>13789441.504434809</v>
      </c>
      <c r="K35" s="20" t="s">
        <v>51</v>
      </c>
      <c r="L35" s="20">
        <v>92159.678226000004</v>
      </c>
      <c r="M35" s="20">
        <v>384015.69726384379</v>
      </c>
      <c r="N35" s="20">
        <v>1169850.162952912</v>
      </c>
      <c r="O35" s="20">
        <v>2925896.274309339</v>
      </c>
      <c r="P35" s="20">
        <v>6551027.2261687405</v>
      </c>
      <c r="Q35" s="20">
        <v>13585149.249558499</v>
      </c>
      <c r="U35" s="20" t="s">
        <v>51</v>
      </c>
      <c r="V35" s="20">
        <v>92159.678226000004</v>
      </c>
      <c r="W35" s="20">
        <v>382296.2269468279</v>
      </c>
      <c r="X35" s="20">
        <v>1169923.2167661281</v>
      </c>
      <c r="Y35" s="20">
        <v>2942064.4722103919</v>
      </c>
      <c r="Z35" s="20">
        <v>6469972.7716956586</v>
      </c>
      <c r="AA35" s="20">
        <v>13401893.098026659</v>
      </c>
      <c r="AE35" s="20" t="s">
        <v>51</v>
      </c>
      <c r="AF35" s="20">
        <v>92159.678226000004</v>
      </c>
      <c r="AG35" s="20">
        <v>384015.69726384379</v>
      </c>
      <c r="AH35" s="20">
        <v>1163769.911313172</v>
      </c>
      <c r="AI35" s="20">
        <v>2887447.7687912211</v>
      </c>
      <c r="AJ35" s="20">
        <v>6312903.921036263</v>
      </c>
      <c r="AK35" s="20">
        <v>12632672.21227999</v>
      </c>
    </row>
    <row r="36" spans="1:37" x14ac:dyDescent="0.25">
      <c r="A36" s="20" t="s">
        <v>0</v>
      </c>
      <c r="B36" s="20">
        <v>1.1477007267974999</v>
      </c>
      <c r="C36" s="20">
        <v>1.2706865399072811</v>
      </c>
      <c r="D36" s="20">
        <v>1.272052163602446</v>
      </c>
      <c r="E36" s="20">
        <v>1.1882091074100949</v>
      </c>
      <c r="F36" s="20">
        <v>1.0633231830269549</v>
      </c>
      <c r="G36" s="20">
        <v>0.9262596860817206</v>
      </c>
      <c r="K36" s="20" t="s">
        <v>0</v>
      </c>
      <c r="L36" s="20">
        <v>1.1477007267974999</v>
      </c>
      <c r="M36" s="20">
        <v>1.2706865399072811</v>
      </c>
      <c r="N36" s="20">
        <v>1.2733584218027101</v>
      </c>
      <c r="O36" s="20">
        <v>1.1866857300153471</v>
      </c>
      <c r="P36" s="20">
        <v>1.0606821141647971</v>
      </c>
      <c r="Q36" s="20">
        <v>0.92499267260550166</v>
      </c>
      <c r="U36" s="20" t="s">
        <v>0</v>
      </c>
      <c r="V36" s="20">
        <v>1.1477007267974999</v>
      </c>
      <c r="W36" s="20">
        <v>1.271846270549118</v>
      </c>
      <c r="X36" s="20">
        <v>1.2734379394121009</v>
      </c>
      <c r="Y36" s="20">
        <v>1.188184129456012</v>
      </c>
      <c r="Z36" s="20">
        <v>1.060747609660426</v>
      </c>
      <c r="AA36" s="20">
        <v>0.9228212657156637</v>
      </c>
      <c r="AE36" s="20" t="s">
        <v>0</v>
      </c>
      <c r="AF36" s="20">
        <v>1.1477007267974999</v>
      </c>
      <c r="AG36" s="20">
        <v>1.2706865399072811</v>
      </c>
      <c r="AH36" s="20">
        <v>1.2719005080223189</v>
      </c>
      <c r="AI36" s="20">
        <v>1.1865943129764509</v>
      </c>
      <c r="AJ36" s="20">
        <v>1.059413305898584</v>
      </c>
      <c r="AK36" s="20">
        <v>0.92533036792356671</v>
      </c>
    </row>
    <row r="37" spans="1:37" x14ac:dyDescent="0.25">
      <c r="A37" s="20" t="s">
        <v>1</v>
      </c>
      <c r="B37" s="20">
        <v>1.7176274507745</v>
      </c>
      <c r="C37" s="20">
        <v>3.542688123767272</v>
      </c>
      <c r="D37" s="20">
        <v>6.5902309942079116</v>
      </c>
      <c r="E37" s="20">
        <v>11.423668913877361</v>
      </c>
      <c r="F37" s="20">
        <v>18.94896563525765</v>
      </c>
      <c r="G37" s="20">
        <v>30.63162259584033</v>
      </c>
      <c r="K37" s="20" t="s">
        <v>1</v>
      </c>
      <c r="L37" s="20">
        <v>1.7176274507745</v>
      </c>
      <c r="M37" s="20">
        <v>3.542688123767272</v>
      </c>
      <c r="N37" s="20">
        <v>6.5892632948924046</v>
      </c>
      <c r="O37" s="20">
        <v>11.425327279591061</v>
      </c>
      <c r="P37" s="20">
        <v>18.951133433202799</v>
      </c>
      <c r="Q37" s="20">
        <v>30.631820586556589</v>
      </c>
      <c r="U37" s="20" t="s">
        <v>1</v>
      </c>
      <c r="V37" s="20">
        <v>1.7176274507745</v>
      </c>
      <c r="W37" s="20">
        <v>3.541828974674043</v>
      </c>
      <c r="X37" s="20">
        <v>6.5896747756317531</v>
      </c>
      <c r="Y37" s="20">
        <v>11.424985616208559</v>
      </c>
      <c r="Z37" s="20">
        <v>18.95289512284203</v>
      </c>
      <c r="AA37" s="20">
        <v>30.636288618522379</v>
      </c>
      <c r="AE37" s="20" t="s">
        <v>1</v>
      </c>
      <c r="AF37" s="20">
        <v>1.7176274507745</v>
      </c>
      <c r="AG37" s="20">
        <v>3.542688123767272</v>
      </c>
      <c r="AH37" s="20">
        <v>6.5903433433599048</v>
      </c>
      <c r="AI37" s="20">
        <v>11.4248036705525</v>
      </c>
      <c r="AJ37" s="20">
        <v>18.951110916761991</v>
      </c>
      <c r="AK37" s="20">
        <v>30.629549584301831</v>
      </c>
    </row>
    <row r="38" spans="1:37" x14ac:dyDescent="0.25">
      <c r="A38" s="20" t="s">
        <v>2</v>
      </c>
      <c r="B38" s="20">
        <v>2.8653281775720001</v>
      </c>
      <c r="C38" s="20">
        <v>4.8133746636745522</v>
      </c>
      <c r="D38" s="20">
        <v>7.8622831578103582</v>
      </c>
      <c r="E38" s="20">
        <v>12.611878021287451</v>
      </c>
      <c r="F38" s="20">
        <v>20.012288818284599</v>
      </c>
      <c r="G38" s="20">
        <v>31.557882281922051</v>
      </c>
      <c r="K38" s="20" t="s">
        <v>2</v>
      </c>
      <c r="L38" s="20">
        <v>2.8653281775720001</v>
      </c>
      <c r="M38" s="20">
        <v>4.8133746636745522</v>
      </c>
      <c r="N38" s="20">
        <v>7.8626217166951147</v>
      </c>
      <c r="O38" s="20">
        <v>12.6120130096064</v>
      </c>
      <c r="P38" s="20">
        <v>20.0118155473676</v>
      </c>
      <c r="Q38" s="20">
        <v>31.556813259162091</v>
      </c>
      <c r="U38" s="20" t="s">
        <v>2</v>
      </c>
      <c r="V38" s="20">
        <v>2.8653281775720001</v>
      </c>
      <c r="W38" s="20">
        <v>4.8136752452231608</v>
      </c>
      <c r="X38" s="20">
        <v>7.8631127150438536</v>
      </c>
      <c r="Y38" s="20">
        <v>12.613169745664569</v>
      </c>
      <c r="Z38" s="20">
        <v>20.013642732502461</v>
      </c>
      <c r="AA38" s="20">
        <v>31.559109884238051</v>
      </c>
      <c r="AE38" s="20" t="s">
        <v>2</v>
      </c>
      <c r="AF38" s="20">
        <v>2.8653281775720001</v>
      </c>
      <c r="AG38" s="20">
        <v>4.8133746636745522</v>
      </c>
      <c r="AH38" s="20">
        <v>7.8622438513822237</v>
      </c>
      <c r="AI38" s="20">
        <v>12.61139798352896</v>
      </c>
      <c r="AJ38" s="20">
        <v>20.010524222660571</v>
      </c>
      <c r="AK38" s="20">
        <v>31.554879952225399</v>
      </c>
    </row>
    <row r="39" spans="1:37" x14ac:dyDescent="0.25">
      <c r="A39" s="20" t="s">
        <v>3</v>
      </c>
      <c r="B39" s="20">
        <v>1.496581304402675</v>
      </c>
      <c r="C39" s="20">
        <v>2.7880110574129269</v>
      </c>
      <c r="D39" s="20">
        <v>5.1807867497700801</v>
      </c>
      <c r="E39" s="20">
        <v>9.6141906695002533</v>
      </c>
      <c r="F39" s="20">
        <v>17.820513967649759</v>
      </c>
      <c r="G39" s="20">
        <v>33.070231875705112</v>
      </c>
      <c r="K39" s="20" t="s">
        <v>3</v>
      </c>
      <c r="L39" s="20">
        <v>1.496581304402675</v>
      </c>
      <c r="M39" s="20">
        <v>2.7880110574129269</v>
      </c>
      <c r="N39" s="20">
        <v>5.1747121486532448</v>
      </c>
      <c r="O39" s="20">
        <v>9.6279301171366569</v>
      </c>
      <c r="P39" s="20">
        <v>17.866930327306701</v>
      </c>
      <c r="Q39" s="20">
        <v>33.115744041813286</v>
      </c>
      <c r="U39" s="20" t="s">
        <v>3</v>
      </c>
      <c r="V39" s="20">
        <v>1.496581304402675</v>
      </c>
      <c r="W39" s="20">
        <v>2.7847933014301032</v>
      </c>
      <c r="X39" s="20">
        <v>5.1747121486532448</v>
      </c>
      <c r="Y39" s="20">
        <v>9.615500942130307</v>
      </c>
      <c r="Z39" s="20">
        <v>17.8674879398591</v>
      </c>
      <c r="AA39" s="20">
        <v>33.198507399765447</v>
      </c>
      <c r="AE39" s="20" t="s">
        <v>3</v>
      </c>
      <c r="AF39" s="20">
        <v>1.496581304402675</v>
      </c>
      <c r="AG39" s="20">
        <v>2.7880110574129269</v>
      </c>
      <c r="AH39" s="20">
        <v>5.1814928147227857</v>
      </c>
      <c r="AI39" s="20">
        <v>9.62823059710656</v>
      </c>
      <c r="AJ39" s="20">
        <v>17.888307435111781</v>
      </c>
      <c r="AK39" s="20">
        <v>33.10120433314458</v>
      </c>
    </row>
    <row r="40" spans="1:37" x14ac:dyDescent="0.25">
      <c r="A40" s="20" t="s">
        <v>18</v>
      </c>
      <c r="B40" s="20">
        <v>45230.686034216073</v>
      </c>
      <c r="C40" s="20">
        <v>109643.69288109129</v>
      </c>
      <c r="D40" s="20">
        <v>200900.25716420179</v>
      </c>
      <c r="E40" s="20">
        <v>310582.06161884149</v>
      </c>
      <c r="F40" s="20">
        <v>434286.48097009578</v>
      </c>
      <c r="G40" s="20">
        <v>570637.50670214707</v>
      </c>
      <c r="K40" s="20" t="s">
        <v>18</v>
      </c>
      <c r="L40" s="20">
        <v>45230.686034216073</v>
      </c>
      <c r="M40" s="20">
        <v>109643.69288109129</v>
      </c>
      <c r="N40" s="20">
        <v>201275.52626769969</v>
      </c>
      <c r="O40" s="20">
        <v>312515.87760428939</v>
      </c>
      <c r="P40" s="20">
        <v>436219.96326765133</v>
      </c>
      <c r="Q40" s="20">
        <v>574488.36747000157</v>
      </c>
      <c r="U40" s="20" t="s">
        <v>18</v>
      </c>
      <c r="V40" s="20">
        <v>45230.686034216073</v>
      </c>
      <c r="W40" s="20">
        <v>109796.639593271</v>
      </c>
      <c r="X40" s="20">
        <v>201275.52626769969</v>
      </c>
      <c r="Y40" s="20">
        <v>311966.29484767321</v>
      </c>
      <c r="Z40" s="20">
        <v>437619.00388600491</v>
      </c>
      <c r="AA40" s="20">
        <v>576189.36495005351</v>
      </c>
      <c r="AE40" s="20" t="s">
        <v>18</v>
      </c>
      <c r="AF40" s="20">
        <v>45230.686034216073</v>
      </c>
      <c r="AG40" s="20">
        <v>109643.69288109129</v>
      </c>
      <c r="AH40" s="20">
        <v>201589.28636161849</v>
      </c>
      <c r="AI40" s="20">
        <v>313318.1749378086</v>
      </c>
      <c r="AJ40" s="20">
        <v>438712.56492845842</v>
      </c>
      <c r="AK40" s="20">
        <v>577076.67147363967</v>
      </c>
    </row>
    <row r="41" spans="1:37" x14ac:dyDescent="0.25">
      <c r="A41" s="20" t="s">
        <v>19</v>
      </c>
      <c r="B41" s="20">
        <v>59242.103980910957</v>
      </c>
      <c r="C41" s="20">
        <v>142956.43551186309</v>
      </c>
      <c r="D41" s="20">
        <v>260732.0649035988</v>
      </c>
      <c r="E41" s="20">
        <v>403079.13683610171</v>
      </c>
      <c r="F41" s="20">
        <v>560986.20574489515</v>
      </c>
      <c r="G41" s="20">
        <v>737116.58955049969</v>
      </c>
      <c r="K41" s="20" t="s">
        <v>19</v>
      </c>
      <c r="L41" s="20">
        <v>59242.103980910957</v>
      </c>
      <c r="M41" s="20">
        <v>142956.43551186309</v>
      </c>
      <c r="N41" s="20">
        <v>259996.10565358319</v>
      </c>
      <c r="O41" s="20">
        <v>399835.12414136803</v>
      </c>
      <c r="P41" s="20">
        <v>558103.04584559903</v>
      </c>
      <c r="Q41" s="20">
        <v>731409.05110802222</v>
      </c>
      <c r="U41" s="20" t="s">
        <v>19</v>
      </c>
      <c r="V41" s="20">
        <v>59242.103980910957</v>
      </c>
      <c r="W41" s="20">
        <v>142496.10709672529</v>
      </c>
      <c r="X41" s="20">
        <v>259996.10565358319</v>
      </c>
      <c r="Y41" s="20">
        <v>401065.60343179642</v>
      </c>
      <c r="Z41" s="20">
        <v>554391.16344773979</v>
      </c>
      <c r="AA41" s="20">
        <v>726264.14505747741</v>
      </c>
      <c r="AE41" s="20" t="s">
        <v>19</v>
      </c>
      <c r="AF41" s="20">
        <v>59242.103980910957</v>
      </c>
      <c r="AG41" s="20">
        <v>142956.43551186309</v>
      </c>
      <c r="AH41" s="20">
        <v>259164.3075399712</v>
      </c>
      <c r="AI41" s="20">
        <v>396922.49648815818</v>
      </c>
      <c r="AJ41" s="20">
        <v>547314.96088441496</v>
      </c>
      <c r="AK41" s="20">
        <v>704657.27797654213</v>
      </c>
    </row>
    <row r="42" spans="1:37" x14ac:dyDescent="0.25">
      <c r="A42" s="20" t="s">
        <v>7</v>
      </c>
      <c r="B42" s="20">
        <v>17.178609999999999</v>
      </c>
      <c r="C42" s="20">
        <v>17.55029</v>
      </c>
      <c r="D42" s="20">
        <v>17.814419999999998</v>
      </c>
      <c r="E42" s="20">
        <v>17.840879999999999</v>
      </c>
      <c r="F42" s="20">
        <v>17.90551</v>
      </c>
      <c r="G42" s="20">
        <v>17.986930000000001</v>
      </c>
      <c r="K42" s="20" t="s">
        <v>7</v>
      </c>
      <c r="L42" s="20">
        <v>17.178609999999999</v>
      </c>
      <c r="M42" s="20">
        <v>17.54879</v>
      </c>
      <c r="N42" s="20">
        <v>17.980550000000001</v>
      </c>
      <c r="O42" s="20">
        <v>18.356870000000001</v>
      </c>
      <c r="P42" s="20">
        <v>18.469449999999998</v>
      </c>
      <c r="Q42" s="20">
        <v>18.660360000000001</v>
      </c>
      <c r="U42" s="20" t="s">
        <v>7</v>
      </c>
      <c r="V42" s="20">
        <v>17.178609999999999</v>
      </c>
      <c r="W42" s="20">
        <v>17.660730000000001</v>
      </c>
      <c r="X42" s="20">
        <v>17.866330000000001</v>
      </c>
      <c r="Y42" s="20">
        <v>18.27337</v>
      </c>
      <c r="Z42" s="20">
        <v>18.78472</v>
      </c>
      <c r="AA42" s="20">
        <v>19.125910000000001</v>
      </c>
      <c r="AE42" s="20" t="s">
        <v>7</v>
      </c>
      <c r="AF42" s="20">
        <v>17.178609999999999</v>
      </c>
      <c r="AG42" s="20">
        <v>17.57141</v>
      </c>
      <c r="AH42" s="20">
        <v>18.19323</v>
      </c>
      <c r="AI42" s="20">
        <v>18.91656</v>
      </c>
      <c r="AJ42" s="20">
        <v>19.61712</v>
      </c>
      <c r="AK42" s="20">
        <v>20.436979999999998</v>
      </c>
    </row>
    <row r="43" spans="1:37" x14ac:dyDescent="0.25">
      <c r="A43" s="20" t="s">
        <v>52</v>
      </c>
      <c r="B43" s="20">
        <v>27.513741077999999</v>
      </c>
      <c r="C43" s="20">
        <v>27.840745141999999</v>
      </c>
      <c r="D43" s="20">
        <v>28.073126716000001</v>
      </c>
      <c r="E43" s="20">
        <v>28.096406223999999</v>
      </c>
      <c r="F43" s="20">
        <v>28.153267698000001</v>
      </c>
      <c r="G43" s="20">
        <v>28.224901014</v>
      </c>
      <c r="K43" s="20" t="s">
        <v>52</v>
      </c>
      <c r="L43" s="20">
        <v>27.513741077999999</v>
      </c>
      <c r="M43" s="20">
        <v>27.839425442</v>
      </c>
      <c r="N43" s="20">
        <v>28.21928789</v>
      </c>
      <c r="O43" s="20">
        <v>28.550374225999999</v>
      </c>
      <c r="P43" s="20">
        <v>28.64942211</v>
      </c>
      <c r="Q43" s="20">
        <v>28.817384728</v>
      </c>
      <c r="U43" s="20" t="s">
        <v>52</v>
      </c>
      <c r="V43" s="20">
        <v>27.513741077999999</v>
      </c>
      <c r="W43" s="20">
        <v>27.937910253999998</v>
      </c>
      <c r="X43" s="20">
        <v>28.118797134000001</v>
      </c>
      <c r="Y43" s="20">
        <v>28.476910925999999</v>
      </c>
      <c r="Z43" s="20">
        <v>28.926796656</v>
      </c>
      <c r="AA43" s="20">
        <v>29.226975618000001</v>
      </c>
      <c r="AE43" s="20" t="s">
        <v>52</v>
      </c>
      <c r="AF43" s="20">
        <v>27.513741077999999</v>
      </c>
      <c r="AG43" s="20">
        <v>27.859326518</v>
      </c>
      <c r="AH43" s="20">
        <v>28.406403753999999</v>
      </c>
      <c r="AI43" s="20">
        <v>29.042789488</v>
      </c>
      <c r="AJ43" s="20">
        <v>29.659142176</v>
      </c>
      <c r="AK43" s="20">
        <v>30.380455004000002</v>
      </c>
    </row>
    <row r="44" spans="1:37" x14ac:dyDescent="0.25">
      <c r="A44" s="20" t="s">
        <v>4</v>
      </c>
      <c r="B44" s="20">
        <v>0.91393118527122841</v>
      </c>
      <c r="C44" s="20">
        <v>0.93239381990594794</v>
      </c>
      <c r="D44" s="20">
        <v>0.94176453358424828</v>
      </c>
      <c r="E44" s="20">
        <v>0.94176453358424828</v>
      </c>
      <c r="F44" s="20">
        <v>0.94176453358424828</v>
      </c>
      <c r="G44" s="20">
        <v>0.94176453358424828</v>
      </c>
      <c r="K44" s="20" t="s">
        <v>4</v>
      </c>
      <c r="L44" s="20">
        <v>0.91393118527122841</v>
      </c>
      <c r="M44" s="20">
        <v>0.93239381990594794</v>
      </c>
      <c r="N44" s="20">
        <v>0.94176453358424828</v>
      </c>
      <c r="O44" s="20">
        <v>0.96078943915232329</v>
      </c>
      <c r="P44" s="20">
        <v>0.96078943915232329</v>
      </c>
      <c r="Q44" s="20">
        <v>0.96078943915232329</v>
      </c>
      <c r="U44" s="20" t="s">
        <v>4</v>
      </c>
      <c r="V44" s="20">
        <v>0.91393118527122841</v>
      </c>
      <c r="W44" s="20">
        <v>0.93239381990594794</v>
      </c>
      <c r="X44" s="20">
        <v>0.94176453358424828</v>
      </c>
      <c r="Y44" s="20">
        <v>0.95122942450071424</v>
      </c>
      <c r="Z44" s="20">
        <v>0.97044553354850793</v>
      </c>
      <c r="AA44" s="20">
        <v>0.98019867330675492</v>
      </c>
      <c r="AE44" s="20" t="s">
        <v>4</v>
      </c>
      <c r="AF44" s="20">
        <v>0.91393118527122841</v>
      </c>
      <c r="AG44" s="20">
        <v>0.93239381990594794</v>
      </c>
      <c r="AH44" s="20">
        <v>0.95122942450071424</v>
      </c>
      <c r="AI44" s="20">
        <v>0.97044553354850793</v>
      </c>
      <c r="AJ44" s="20">
        <v>0.99004983374916744</v>
      </c>
      <c r="AK44" s="20">
        <v>1</v>
      </c>
    </row>
    <row r="45" spans="1:37" x14ac:dyDescent="0.25">
      <c r="A45" s="20" t="s">
        <v>5</v>
      </c>
      <c r="B45" s="20">
        <v>1</v>
      </c>
      <c r="C45" s="20">
        <v>1</v>
      </c>
      <c r="D45" s="20">
        <v>1</v>
      </c>
      <c r="E45" s="20">
        <v>1</v>
      </c>
      <c r="F45" s="20">
        <v>1</v>
      </c>
      <c r="G45" s="20">
        <v>1</v>
      </c>
      <c r="K45" s="20" t="s">
        <v>5</v>
      </c>
      <c r="L45" s="20">
        <v>1</v>
      </c>
      <c r="M45" s="20">
        <v>1</v>
      </c>
      <c r="N45" s="20">
        <v>1</v>
      </c>
      <c r="O45" s="20">
        <v>1</v>
      </c>
      <c r="P45" s="20">
        <v>1</v>
      </c>
      <c r="Q45" s="20">
        <v>1</v>
      </c>
      <c r="U45" s="20" t="s">
        <v>5</v>
      </c>
      <c r="V45" s="20">
        <v>1</v>
      </c>
      <c r="W45" s="20">
        <v>1</v>
      </c>
      <c r="X45" s="20">
        <v>1</v>
      </c>
      <c r="Y45" s="20">
        <v>1</v>
      </c>
      <c r="Z45" s="20">
        <v>1</v>
      </c>
      <c r="AA45" s="20">
        <v>1</v>
      </c>
      <c r="AE45" s="20" t="s">
        <v>5</v>
      </c>
      <c r="AF45" s="20">
        <v>1</v>
      </c>
      <c r="AG45" s="20">
        <v>1</v>
      </c>
      <c r="AH45" s="20">
        <v>1</v>
      </c>
      <c r="AI45" s="20">
        <v>1</v>
      </c>
      <c r="AJ45" s="20">
        <v>1</v>
      </c>
      <c r="AK45" s="20">
        <v>1</v>
      </c>
    </row>
    <row r="46" spans="1:37" x14ac:dyDescent="0.25">
      <c r="A46" s="20" t="s">
        <v>20</v>
      </c>
      <c r="B46" s="20">
        <v>1</v>
      </c>
      <c r="C46" s="20">
        <v>0.96439833420871968</v>
      </c>
      <c r="D46" s="20">
        <v>0.9587427485556127</v>
      </c>
      <c r="E46" s="20">
        <v>0.9587427485556127</v>
      </c>
      <c r="F46" s="20">
        <v>0.95269766517752652</v>
      </c>
      <c r="G46" s="20">
        <v>0.95269766517752652</v>
      </c>
      <c r="K46" s="20" t="s">
        <v>20</v>
      </c>
      <c r="L46" s="20">
        <v>1</v>
      </c>
      <c r="M46" s="20">
        <v>0.96439833420871968</v>
      </c>
      <c r="N46" s="20">
        <v>0.95269766517752652</v>
      </c>
      <c r="O46" s="20">
        <v>0.93947441413050536</v>
      </c>
      <c r="P46" s="20">
        <v>0.93947441413050536</v>
      </c>
      <c r="Q46" s="20">
        <v>0.93231395090361513</v>
      </c>
      <c r="U46" s="20" t="s">
        <v>20</v>
      </c>
      <c r="V46" s="20">
        <v>1</v>
      </c>
      <c r="W46" s="20">
        <v>0.9587427485556127</v>
      </c>
      <c r="X46" s="20">
        <v>0.95269766517752652</v>
      </c>
      <c r="Y46" s="20">
        <v>0.94627095271536965</v>
      </c>
      <c r="Z46" s="20">
        <v>0.92479939883583451</v>
      </c>
      <c r="AA46" s="20">
        <v>0.91693862656807257</v>
      </c>
      <c r="AE46" s="20" t="s">
        <v>20</v>
      </c>
      <c r="AF46" s="20">
        <v>1</v>
      </c>
      <c r="AG46" s="20">
        <v>0.96439833420871968</v>
      </c>
      <c r="AH46" s="20">
        <v>0.94627095271536965</v>
      </c>
      <c r="AI46" s="20">
        <v>0.92479939883583451</v>
      </c>
      <c r="AJ46" s="20">
        <v>0.90022563327805616</v>
      </c>
      <c r="AK46" s="20">
        <v>0.86311515559253815</v>
      </c>
    </row>
    <row r="47" spans="1:37" x14ac:dyDescent="0.25">
      <c r="A47" s="20" t="s">
        <v>21</v>
      </c>
      <c r="B47" s="20">
        <v>1</v>
      </c>
      <c r="C47" s="20">
        <v>0.99844694181596516</v>
      </c>
      <c r="D47" s="20">
        <v>0.99718729527581951</v>
      </c>
      <c r="E47" s="20">
        <v>0.99718729527581951</v>
      </c>
      <c r="F47" s="20">
        <v>0.99556088418081246</v>
      </c>
      <c r="G47" s="20">
        <v>0.99556088418081246</v>
      </c>
      <c r="K47" s="20" t="s">
        <v>21</v>
      </c>
      <c r="L47" s="20">
        <v>1</v>
      </c>
      <c r="M47" s="20">
        <v>0.99844694181596516</v>
      </c>
      <c r="N47" s="20">
        <v>0.99556088418081246</v>
      </c>
      <c r="O47" s="20">
        <v>0.99120776832621305</v>
      </c>
      <c r="P47" s="20">
        <v>0.99120776832621305</v>
      </c>
      <c r="Q47" s="20">
        <v>0.98848865179879042</v>
      </c>
      <c r="U47" s="20" t="s">
        <v>21</v>
      </c>
      <c r="V47" s="20">
        <v>1</v>
      </c>
      <c r="W47" s="20">
        <v>0.99718729527581951</v>
      </c>
      <c r="X47" s="20">
        <v>0.99556088418081246</v>
      </c>
      <c r="Y47" s="20">
        <v>0.99356517912022047</v>
      </c>
      <c r="Z47" s="20">
        <v>0.98540782953795247</v>
      </c>
      <c r="AA47" s="20">
        <v>0.98197288977586894</v>
      </c>
      <c r="AE47" s="20" t="s">
        <v>21</v>
      </c>
      <c r="AF47" s="20">
        <v>1</v>
      </c>
      <c r="AG47" s="20">
        <v>0.99844694181596516</v>
      </c>
      <c r="AH47" s="20">
        <v>0.99356517912022047</v>
      </c>
      <c r="AI47" s="20">
        <v>0.98540782953795247</v>
      </c>
      <c r="AJ47" s="20">
        <v>0.97405330480158026</v>
      </c>
      <c r="AK47" s="20">
        <v>0.95414178358867729</v>
      </c>
    </row>
    <row r="48" spans="1:37" x14ac:dyDescent="0.25">
      <c r="A48" s="20" t="s">
        <v>10</v>
      </c>
      <c r="B48" s="20">
        <v>0.95333675383367567</v>
      </c>
      <c r="C48" s="20">
        <v>0.1459535891152462</v>
      </c>
      <c r="D48" s="20">
        <v>1.8480600701368959E-2</v>
      </c>
      <c r="E48" s="20">
        <v>1.9743149116660231E-3</v>
      </c>
      <c r="F48" s="20">
        <v>1.907747239678713E-4</v>
      </c>
      <c r="G48" s="20">
        <v>1.7322449475799582E-5</v>
      </c>
      <c r="K48" s="20" t="s">
        <v>10</v>
      </c>
      <c r="L48" s="20">
        <v>0.95333675383367567</v>
      </c>
      <c r="M48" s="20">
        <v>0.1459535891152462</v>
      </c>
      <c r="N48" s="20">
        <v>1.8515121306544879E-2</v>
      </c>
      <c r="O48" s="20">
        <v>1.986607835850336E-3</v>
      </c>
      <c r="P48" s="20">
        <v>1.9162407012018301E-4</v>
      </c>
      <c r="Q48" s="20">
        <v>1.7439347401901581E-5</v>
      </c>
      <c r="U48" s="20" t="s">
        <v>10</v>
      </c>
      <c r="V48" s="20">
        <v>0.95333675383367567</v>
      </c>
      <c r="W48" s="20">
        <v>0.1461571860664197</v>
      </c>
      <c r="X48" s="20">
        <v>1.8515121306544879E-2</v>
      </c>
      <c r="Y48" s="20">
        <v>1.9831142360399461E-3</v>
      </c>
      <c r="Z48" s="20">
        <v>1.9223864505972529E-4</v>
      </c>
      <c r="AA48" s="20">
        <v>1.74909834099813E-5</v>
      </c>
      <c r="AE48" s="20" t="s">
        <v>10</v>
      </c>
      <c r="AF48" s="20">
        <v>0.95333675383367567</v>
      </c>
      <c r="AG48" s="20">
        <v>0.1459535891152462</v>
      </c>
      <c r="AH48" s="20">
        <v>1.8543983763435599E-2</v>
      </c>
      <c r="AI48" s="20">
        <v>1.991707897266957E-3</v>
      </c>
      <c r="AJ48" s="20">
        <v>1.9271902797551421E-4</v>
      </c>
      <c r="AK48" s="20">
        <v>1.7517918762536721E-5</v>
      </c>
    </row>
    <row r="49" spans="1:37" x14ac:dyDescent="0.25">
      <c r="A49" s="20" t="s">
        <v>12</v>
      </c>
      <c r="B49" s="20">
        <v>0.86653487208887681</v>
      </c>
      <c r="C49" s="20">
        <v>1.7136881985883661</v>
      </c>
      <c r="D49" s="20">
        <v>2.5615041481023071</v>
      </c>
      <c r="E49" s="20">
        <v>3.2453643683482549</v>
      </c>
      <c r="F49" s="20">
        <v>3.7016712890806742</v>
      </c>
      <c r="G49" s="20">
        <v>3.9861567983188029</v>
      </c>
      <c r="K49" s="20" t="s">
        <v>12</v>
      </c>
      <c r="L49" s="20">
        <v>0.86653487208887681</v>
      </c>
      <c r="M49" s="20">
        <v>1.7136881985883661</v>
      </c>
      <c r="N49" s="20">
        <v>2.5542738802315479</v>
      </c>
      <c r="O49" s="20">
        <v>3.219245419864353</v>
      </c>
      <c r="P49" s="20">
        <v>3.682646738901437</v>
      </c>
      <c r="Q49" s="20">
        <v>3.9552917445584179</v>
      </c>
      <c r="U49" s="20" t="s">
        <v>12</v>
      </c>
      <c r="V49" s="20">
        <v>0.86653487208887681</v>
      </c>
      <c r="W49" s="20">
        <v>1.708170018384223</v>
      </c>
      <c r="X49" s="20">
        <v>2.5542738802315479</v>
      </c>
      <c r="Y49" s="20">
        <v>3.22915254052679</v>
      </c>
      <c r="Z49" s="20">
        <v>3.658153857686373</v>
      </c>
      <c r="AA49" s="20">
        <v>3.927469277229882</v>
      </c>
      <c r="AE49" s="20" t="s">
        <v>12</v>
      </c>
      <c r="AF49" s="20">
        <v>0.86653487208887681</v>
      </c>
      <c r="AG49" s="20">
        <v>1.7136881985883661</v>
      </c>
      <c r="AH49" s="20">
        <v>2.5461020647734509</v>
      </c>
      <c r="AI49" s="20">
        <v>3.1957945955964711</v>
      </c>
      <c r="AJ49" s="20">
        <v>3.6114614870074941</v>
      </c>
      <c r="AK49" s="20">
        <v>3.8106243149457439</v>
      </c>
    </row>
    <row r="50" spans="1:37" x14ac:dyDescent="0.25">
      <c r="A50" s="20" t="s">
        <v>11</v>
      </c>
      <c r="B50" s="20">
        <v>52800.154593546307</v>
      </c>
      <c r="C50" s="20">
        <v>920584.70803764579</v>
      </c>
      <c r="D50" s="20">
        <v>13257798.74938469</v>
      </c>
      <c r="E50" s="20">
        <v>179206976.1336365</v>
      </c>
      <c r="F50" s="20">
        <v>2306087915.4764009</v>
      </c>
      <c r="G50" s="20">
        <v>29069587793.832691</v>
      </c>
      <c r="K50" s="20" t="s">
        <v>11</v>
      </c>
      <c r="L50" s="20">
        <v>52800.154593546307</v>
      </c>
      <c r="M50" s="20">
        <v>920584.70803764579</v>
      </c>
      <c r="N50" s="20">
        <v>13187733.88504548</v>
      </c>
      <c r="O50" s="20">
        <v>175380223.68253329</v>
      </c>
      <c r="P50" s="20">
        <v>2268431550.032218</v>
      </c>
      <c r="Q50" s="20">
        <v>28408708173.335159</v>
      </c>
      <c r="U50" s="20" t="s">
        <v>11</v>
      </c>
      <c r="V50" s="20">
        <v>52800.154593546307</v>
      </c>
      <c r="W50" s="20">
        <v>916021.33390207752</v>
      </c>
      <c r="X50" s="20">
        <v>13188557.421493569</v>
      </c>
      <c r="Y50" s="20">
        <v>176872045.70876399</v>
      </c>
      <c r="Z50" s="20">
        <v>2233135507.3391609</v>
      </c>
      <c r="AA50" s="20">
        <v>27874614642.103069</v>
      </c>
      <c r="AE50" s="20" t="s">
        <v>11</v>
      </c>
      <c r="AF50" s="20">
        <v>52800.154593546307</v>
      </c>
      <c r="AG50" s="20">
        <v>920584.70803764579</v>
      </c>
      <c r="AH50" s="20">
        <v>13083774.752370751</v>
      </c>
      <c r="AI50" s="20">
        <v>172627405.7809881</v>
      </c>
      <c r="AJ50" s="20">
        <v>2171062243.5055408</v>
      </c>
      <c r="AK50" s="20">
        <v>26309740706.385761</v>
      </c>
    </row>
    <row r="51" spans="1:37" x14ac:dyDescent="0.25">
      <c r="A51" s="20" t="s">
        <v>13</v>
      </c>
      <c r="B51" s="20">
        <v>117350.3522482023</v>
      </c>
      <c r="C51" s="20">
        <v>295073.23461773049</v>
      </c>
      <c r="D51" s="20">
        <v>668923.96389480017</v>
      </c>
      <c r="E51" s="20">
        <v>1414846.0955818491</v>
      </c>
      <c r="F51" s="20">
        <v>2858957.2725336431</v>
      </c>
      <c r="G51" s="20">
        <v>5639227.7521624388</v>
      </c>
      <c r="K51" s="20" t="s">
        <v>13</v>
      </c>
      <c r="L51" s="20">
        <v>117350.3522482023</v>
      </c>
      <c r="M51" s="20">
        <v>295073.23461773049</v>
      </c>
      <c r="N51" s="20">
        <v>667734.88628146774</v>
      </c>
      <c r="O51" s="20">
        <v>1406566.282879252</v>
      </c>
      <c r="P51" s="20">
        <v>2846782.047577661</v>
      </c>
      <c r="Q51" s="20">
        <v>5599204.1839455524</v>
      </c>
      <c r="U51" s="20" t="s">
        <v>13</v>
      </c>
      <c r="V51" s="20">
        <v>117350.3522482023</v>
      </c>
      <c r="W51" s="20">
        <v>294629.49957454059</v>
      </c>
      <c r="X51" s="20">
        <v>667776.58442470455</v>
      </c>
      <c r="Y51" s="20">
        <v>1409869.3877347941</v>
      </c>
      <c r="Z51" s="20">
        <v>2830387.5155237219</v>
      </c>
      <c r="AA51" s="20">
        <v>5563107.5718705337</v>
      </c>
      <c r="AE51" s="20" t="s">
        <v>13</v>
      </c>
      <c r="AF51" s="20">
        <v>117350.3522482023</v>
      </c>
      <c r="AG51" s="20">
        <v>295073.23461773049</v>
      </c>
      <c r="AH51" s="20">
        <v>666505.57169783814</v>
      </c>
      <c r="AI51" s="20">
        <v>1398271.837233844</v>
      </c>
      <c r="AJ51" s="20">
        <v>2797510.5275701778</v>
      </c>
      <c r="AK51" s="20">
        <v>5404248.7751954272</v>
      </c>
    </row>
    <row r="52" spans="1:37" x14ac:dyDescent="0.25">
      <c r="A52" s="20" t="s">
        <v>22</v>
      </c>
      <c r="B52" s="20">
        <v>18427.262540756401</v>
      </c>
      <c r="C52" s="20">
        <v>79780.969506056368</v>
      </c>
      <c r="D52" s="20">
        <v>149457.6234794489</v>
      </c>
      <c r="E52" s="20">
        <v>235278.30362166869</v>
      </c>
      <c r="F52" s="20">
        <v>330482.83796191018</v>
      </c>
      <c r="G52" s="20">
        <v>436957.12472867989</v>
      </c>
      <c r="K52" s="20" t="s">
        <v>22</v>
      </c>
      <c r="L52" s="20">
        <v>18427.262540756401</v>
      </c>
      <c r="M52" s="20">
        <v>79780.969506056368</v>
      </c>
      <c r="N52" s="20">
        <v>148786.27067469209</v>
      </c>
      <c r="O52" s="20">
        <v>231992.80496148579</v>
      </c>
      <c r="P52" s="20">
        <v>327357.96563098341</v>
      </c>
      <c r="Q52" s="20">
        <v>430498.13483984268</v>
      </c>
      <c r="U52" s="20" t="s">
        <v>22</v>
      </c>
      <c r="V52" s="20">
        <v>18427.262540756401</v>
      </c>
      <c r="W52" s="20">
        <v>79418.782421227661</v>
      </c>
      <c r="X52" s="20">
        <v>148786.27067469209</v>
      </c>
      <c r="Y52" s="20">
        <v>233253.3797241289</v>
      </c>
      <c r="Z52" s="20">
        <v>323278.11873988959</v>
      </c>
      <c r="AA52" s="20">
        <v>424660.04735831061</v>
      </c>
      <c r="AE52" s="20" t="s">
        <v>22</v>
      </c>
      <c r="AF52" s="20">
        <v>18427.262540756401</v>
      </c>
      <c r="AG52" s="20">
        <v>79780.969506056368</v>
      </c>
      <c r="AH52" s="20">
        <v>148020.0733164204</v>
      </c>
      <c r="AI52" s="20">
        <v>228955.4078431555</v>
      </c>
      <c r="AJ52" s="20">
        <v>315479.18739116908</v>
      </c>
      <c r="AK52" s="20">
        <v>400339.73291630519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AK5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20"/>
  </cols>
  <sheetData>
    <row r="1" spans="1:37" x14ac:dyDescent="0.25">
      <c r="A1" s="20" t="s">
        <v>49</v>
      </c>
      <c r="B1" s="20" t="s">
        <v>53</v>
      </c>
    </row>
    <row r="2" spans="1:37" x14ac:dyDescent="0.25">
      <c r="A2" s="20" t="s">
        <v>33</v>
      </c>
      <c r="B2" s="20">
        <v>0.27500000000000002</v>
      </c>
    </row>
    <row r="3" spans="1:37" x14ac:dyDescent="0.25">
      <c r="A3" s="20" t="s">
        <v>14</v>
      </c>
      <c r="B3" s="20">
        <v>0.75</v>
      </c>
    </row>
    <row r="4" spans="1:37" x14ac:dyDescent="0.25">
      <c r="A4" s="20" t="s">
        <v>23</v>
      </c>
      <c r="B4" s="20">
        <v>0.4</v>
      </c>
    </row>
    <row r="5" spans="1:37" x14ac:dyDescent="0.25">
      <c r="A5" s="20" t="s">
        <v>16</v>
      </c>
      <c r="B5" s="20">
        <v>0.1893549842288946</v>
      </c>
    </row>
    <row r="6" spans="1:37" x14ac:dyDescent="0.25">
      <c r="A6" s="20" t="s">
        <v>17</v>
      </c>
      <c r="B6" s="20">
        <v>0.2556026411779832</v>
      </c>
    </row>
    <row r="7" spans="1:37" x14ac:dyDescent="0.25">
      <c r="A7" s="20" t="s">
        <v>15</v>
      </c>
      <c r="B7" s="20">
        <v>2000</v>
      </c>
      <c r="C7" s="20">
        <v>2020</v>
      </c>
      <c r="D7" s="20">
        <v>2040</v>
      </c>
      <c r="E7" s="20">
        <v>2060</v>
      </c>
      <c r="F7" s="20">
        <v>2080</v>
      </c>
      <c r="G7" s="20">
        <v>2100</v>
      </c>
      <c r="K7" s="20" t="s">
        <v>15</v>
      </c>
      <c r="L7" s="20">
        <v>2000</v>
      </c>
      <c r="M7" s="20">
        <v>2020</v>
      </c>
      <c r="N7" s="20">
        <v>2040</v>
      </c>
      <c r="O7" s="20">
        <v>2060</v>
      </c>
      <c r="P7" s="20">
        <v>2080</v>
      </c>
      <c r="Q7" s="20">
        <v>2100</v>
      </c>
      <c r="U7" s="20" t="s">
        <v>15</v>
      </c>
      <c r="V7" s="20">
        <v>2000</v>
      </c>
      <c r="W7" s="20">
        <v>2020</v>
      </c>
      <c r="X7" s="20">
        <v>2040</v>
      </c>
      <c r="Y7" s="20">
        <v>2060</v>
      </c>
      <c r="Z7" s="20">
        <v>2080</v>
      </c>
      <c r="AA7" s="20">
        <v>2100</v>
      </c>
      <c r="AE7" s="20" t="s">
        <v>15</v>
      </c>
      <c r="AF7" s="20">
        <v>2000</v>
      </c>
      <c r="AG7" s="20">
        <v>2020</v>
      </c>
      <c r="AH7" s="20">
        <v>2040</v>
      </c>
      <c r="AI7" s="20">
        <v>2060</v>
      </c>
      <c r="AJ7" s="20">
        <v>2080</v>
      </c>
      <c r="AK7" s="20">
        <v>2100</v>
      </c>
    </row>
    <row r="8" spans="1:37" x14ac:dyDescent="0.25">
      <c r="A8" s="20" t="s">
        <v>11</v>
      </c>
      <c r="B8" s="20">
        <v>86067.515616775694</v>
      </c>
      <c r="C8" s="20">
        <v>1559496.6420477121</v>
      </c>
      <c r="D8" s="20">
        <v>22630310.43295633</v>
      </c>
      <c r="E8" s="20">
        <v>306040213.94806689</v>
      </c>
      <c r="F8" s="20">
        <v>3959865328.020751</v>
      </c>
      <c r="G8" s="20">
        <v>49922718896.946693</v>
      </c>
      <c r="K8" s="20" t="s">
        <v>11</v>
      </c>
      <c r="L8" s="20">
        <v>86067.515616775694</v>
      </c>
      <c r="M8" s="20">
        <v>1559496.6420477121</v>
      </c>
      <c r="N8" s="20">
        <v>22630310.43295633</v>
      </c>
      <c r="O8" s="20">
        <v>306040213.94806689</v>
      </c>
      <c r="P8" s="20">
        <v>3959865328.020751</v>
      </c>
      <c r="Q8" s="20">
        <v>49922718896.946693</v>
      </c>
      <c r="U8" s="20" t="s">
        <v>11</v>
      </c>
      <c r="V8" s="20">
        <v>86067.515616775694</v>
      </c>
      <c r="W8" s="20">
        <v>1559496.6420477121</v>
      </c>
      <c r="X8" s="20">
        <v>22630310.43295633</v>
      </c>
      <c r="Y8" s="20">
        <v>306040213.94806689</v>
      </c>
      <c r="Z8" s="20">
        <v>3959865328.020751</v>
      </c>
      <c r="AA8" s="20">
        <v>49922718896.946693</v>
      </c>
      <c r="AE8" s="20" t="s">
        <v>11</v>
      </c>
      <c r="AF8" s="20">
        <v>86067.515616775694</v>
      </c>
      <c r="AG8" s="20">
        <v>1559496.6420477121</v>
      </c>
      <c r="AH8" s="20">
        <v>22630310.43295633</v>
      </c>
      <c r="AI8" s="20">
        <v>306040213.94806689</v>
      </c>
      <c r="AJ8" s="20">
        <v>3959865328.020751</v>
      </c>
      <c r="AK8" s="20">
        <v>49922718896.946693</v>
      </c>
    </row>
    <row r="9" spans="1:37" x14ac:dyDescent="0.25">
      <c r="A9" s="20" t="s">
        <v>13</v>
      </c>
      <c r="B9" s="20">
        <v>191288.3277048358</v>
      </c>
      <c r="C9" s="20">
        <v>481024.57665183663</v>
      </c>
      <c r="D9" s="20">
        <v>1092250.5951412111</v>
      </c>
      <c r="E9" s="20">
        <v>2311315.5009788922</v>
      </c>
      <c r="F9" s="20">
        <v>4679614.8196717594</v>
      </c>
      <c r="G9" s="20">
        <v>9231597.8615426775</v>
      </c>
      <c r="K9" s="20" t="s">
        <v>13</v>
      </c>
      <c r="L9" s="20">
        <v>191288.3277048358</v>
      </c>
      <c r="M9" s="20">
        <v>481024.57665183663</v>
      </c>
      <c r="N9" s="20">
        <v>1092250.5951412111</v>
      </c>
      <c r="O9" s="20">
        <v>2311315.5009788922</v>
      </c>
      <c r="P9" s="20">
        <v>4679614.8196717594</v>
      </c>
      <c r="Q9" s="20">
        <v>9231597.8615426775</v>
      </c>
      <c r="U9" s="20" t="s">
        <v>13</v>
      </c>
      <c r="V9" s="20">
        <v>191288.3277048358</v>
      </c>
      <c r="W9" s="20">
        <v>481024.57665183663</v>
      </c>
      <c r="X9" s="20">
        <v>1092250.5951412111</v>
      </c>
      <c r="Y9" s="20">
        <v>2311315.5009788922</v>
      </c>
      <c r="Z9" s="20">
        <v>4679614.8196717594</v>
      </c>
      <c r="AA9" s="20">
        <v>9231597.8615426775</v>
      </c>
      <c r="AE9" s="20" t="s">
        <v>13</v>
      </c>
      <c r="AF9" s="20">
        <v>191288.3277048358</v>
      </c>
      <c r="AG9" s="20">
        <v>481024.57665183663</v>
      </c>
      <c r="AH9" s="20">
        <v>1092250.5951412111</v>
      </c>
      <c r="AI9" s="20">
        <v>2311315.5009788922</v>
      </c>
      <c r="AJ9" s="20">
        <v>4679614.8196717594</v>
      </c>
      <c r="AK9" s="20">
        <v>9231597.8615426775</v>
      </c>
    </row>
    <row r="10" spans="1:37" x14ac:dyDescent="0.25">
      <c r="A10" s="20" t="s">
        <v>51</v>
      </c>
      <c r="B10" s="20">
        <v>150225.97198840001</v>
      </c>
      <c r="C10" s="20">
        <v>634211.64562216983</v>
      </c>
      <c r="D10" s="20">
        <v>1939701.533021146</v>
      </c>
      <c r="E10" s="20">
        <v>4883072.813678653</v>
      </c>
      <c r="F10" s="20">
        <v>10903681.86818946</v>
      </c>
      <c r="G10" s="20">
        <v>22706320.756832391</v>
      </c>
      <c r="K10" s="20" t="s">
        <v>51</v>
      </c>
      <c r="L10" s="20">
        <v>150225.97198840001</v>
      </c>
      <c r="M10" s="20">
        <v>634211.64562216983</v>
      </c>
      <c r="N10" s="20">
        <v>1939701.533021146</v>
      </c>
      <c r="O10" s="20">
        <v>4883072.813678653</v>
      </c>
      <c r="P10" s="20">
        <v>10903681.86818946</v>
      </c>
      <c r="Q10" s="20">
        <v>22706320.756832391</v>
      </c>
      <c r="U10" s="20" t="s">
        <v>51</v>
      </c>
      <c r="V10" s="20">
        <v>150225.97198840001</v>
      </c>
      <c r="W10" s="20">
        <v>634211.64562216983</v>
      </c>
      <c r="X10" s="20">
        <v>1939701.533021146</v>
      </c>
      <c r="Y10" s="20">
        <v>4883072.813678653</v>
      </c>
      <c r="Z10" s="20">
        <v>10903681.86818946</v>
      </c>
      <c r="AA10" s="20">
        <v>22706320.756832391</v>
      </c>
      <c r="AE10" s="20" t="s">
        <v>51</v>
      </c>
      <c r="AF10" s="20">
        <v>150225.97198840001</v>
      </c>
      <c r="AG10" s="20">
        <v>634211.64562216983</v>
      </c>
      <c r="AH10" s="20">
        <v>1939701.533021146</v>
      </c>
      <c r="AI10" s="20">
        <v>4883072.813678653</v>
      </c>
      <c r="AJ10" s="20">
        <v>10903681.86818946</v>
      </c>
      <c r="AK10" s="20">
        <v>22706320.756832391</v>
      </c>
    </row>
    <row r="11" spans="1:37" x14ac:dyDescent="0.25">
      <c r="A11" s="20" t="s">
        <v>0</v>
      </c>
      <c r="B11" s="20">
        <v>1.8708231251865</v>
      </c>
      <c r="C11" s="20">
        <v>2.077624390008967</v>
      </c>
      <c r="D11" s="20">
        <v>2.0834235495300728</v>
      </c>
      <c r="E11" s="20">
        <v>1.947018242106048</v>
      </c>
      <c r="F11" s="20">
        <v>1.7409103454761881</v>
      </c>
      <c r="G11" s="20">
        <v>1.5166965056407069</v>
      </c>
      <c r="K11" s="20" t="s">
        <v>0</v>
      </c>
      <c r="L11" s="20">
        <v>1.8708231251865</v>
      </c>
      <c r="M11" s="20">
        <v>2.077624390008967</v>
      </c>
      <c r="N11" s="20">
        <v>2.0834235495300728</v>
      </c>
      <c r="O11" s="20">
        <v>1.947018242106048</v>
      </c>
      <c r="P11" s="20">
        <v>1.7409103454761881</v>
      </c>
      <c r="Q11" s="20">
        <v>1.5166965056407069</v>
      </c>
      <c r="U11" s="20" t="s">
        <v>0</v>
      </c>
      <c r="V11" s="20">
        <v>1.8708231251865</v>
      </c>
      <c r="W11" s="20">
        <v>2.077624390008967</v>
      </c>
      <c r="X11" s="20">
        <v>2.0834235495300728</v>
      </c>
      <c r="Y11" s="20">
        <v>1.947018242106048</v>
      </c>
      <c r="Z11" s="20">
        <v>1.7409103454761881</v>
      </c>
      <c r="AA11" s="20">
        <v>1.5166965056407069</v>
      </c>
      <c r="AE11" s="20" t="s">
        <v>0</v>
      </c>
      <c r="AF11" s="20">
        <v>1.8708231251865</v>
      </c>
      <c r="AG11" s="20">
        <v>2.077624390008967</v>
      </c>
      <c r="AH11" s="20">
        <v>2.0834235495300728</v>
      </c>
      <c r="AI11" s="20">
        <v>1.947018242106048</v>
      </c>
      <c r="AJ11" s="20">
        <v>1.7409103454761881</v>
      </c>
      <c r="AK11" s="20">
        <v>1.5166965056407069</v>
      </c>
    </row>
    <row r="12" spans="1:37" x14ac:dyDescent="0.25">
      <c r="A12" s="20" t="s">
        <v>1</v>
      </c>
      <c r="B12" s="20">
        <v>2.7998389129982999</v>
      </c>
      <c r="C12" s="20">
        <v>5.7701136219606672</v>
      </c>
      <c r="D12" s="20">
        <v>10.737716006280801</v>
      </c>
      <c r="E12" s="20">
        <v>18.621788068624159</v>
      </c>
      <c r="F12" s="20">
        <v>30.89902528738352</v>
      </c>
      <c r="G12" s="20">
        <v>49.955587905474793</v>
      </c>
      <c r="K12" s="20" t="s">
        <v>1</v>
      </c>
      <c r="L12" s="20">
        <v>2.7998389129982999</v>
      </c>
      <c r="M12" s="20">
        <v>5.7701136219606672</v>
      </c>
      <c r="N12" s="20">
        <v>10.737716006280801</v>
      </c>
      <c r="O12" s="20">
        <v>18.621788068624159</v>
      </c>
      <c r="P12" s="20">
        <v>30.89902528738352</v>
      </c>
      <c r="Q12" s="20">
        <v>49.955587905474793</v>
      </c>
      <c r="U12" s="20" t="s">
        <v>1</v>
      </c>
      <c r="V12" s="20">
        <v>2.7998389129982999</v>
      </c>
      <c r="W12" s="20">
        <v>5.7701136219606672</v>
      </c>
      <c r="X12" s="20">
        <v>10.737716006280801</v>
      </c>
      <c r="Y12" s="20">
        <v>18.621788068624159</v>
      </c>
      <c r="Z12" s="20">
        <v>30.89902528738352</v>
      </c>
      <c r="AA12" s="20">
        <v>49.955587905474793</v>
      </c>
      <c r="AE12" s="20" t="s">
        <v>1</v>
      </c>
      <c r="AF12" s="20">
        <v>2.7998389129982999</v>
      </c>
      <c r="AG12" s="20">
        <v>5.7701136219606672</v>
      </c>
      <c r="AH12" s="20">
        <v>10.737716006280801</v>
      </c>
      <c r="AI12" s="20">
        <v>18.621788068624159</v>
      </c>
      <c r="AJ12" s="20">
        <v>30.89902528738352</v>
      </c>
      <c r="AK12" s="20">
        <v>49.955587905474793</v>
      </c>
    </row>
    <row r="13" spans="1:37" x14ac:dyDescent="0.25">
      <c r="A13" s="20" t="s">
        <v>2</v>
      </c>
      <c r="B13" s="20">
        <v>4.6706620381848003</v>
      </c>
      <c r="C13" s="20">
        <v>7.8477380119696338</v>
      </c>
      <c r="D13" s="20">
        <v>12.82113955581088</v>
      </c>
      <c r="E13" s="20">
        <v>20.56880631073021</v>
      </c>
      <c r="F13" s="20">
        <v>32.639935632859697</v>
      </c>
      <c r="G13" s="20">
        <v>51.472284411115503</v>
      </c>
      <c r="K13" s="20" t="s">
        <v>2</v>
      </c>
      <c r="L13" s="20">
        <v>4.6706620381848003</v>
      </c>
      <c r="M13" s="20">
        <v>7.8477380119696338</v>
      </c>
      <c r="N13" s="20">
        <v>12.82113955581088</v>
      </c>
      <c r="O13" s="20">
        <v>20.56880631073021</v>
      </c>
      <c r="P13" s="20">
        <v>32.639935632859697</v>
      </c>
      <c r="Q13" s="20">
        <v>51.472284411115503</v>
      </c>
      <c r="U13" s="20" t="s">
        <v>2</v>
      </c>
      <c r="V13" s="20">
        <v>4.6706620381848003</v>
      </c>
      <c r="W13" s="20">
        <v>7.8477380119696338</v>
      </c>
      <c r="X13" s="20">
        <v>12.82113955581088</v>
      </c>
      <c r="Y13" s="20">
        <v>20.56880631073021</v>
      </c>
      <c r="Z13" s="20">
        <v>32.639935632859697</v>
      </c>
      <c r="AA13" s="20">
        <v>51.472284411115503</v>
      </c>
      <c r="AE13" s="20" t="s">
        <v>2</v>
      </c>
      <c r="AF13" s="20">
        <v>4.6706620381848003</v>
      </c>
      <c r="AG13" s="20">
        <v>7.8477380119696338</v>
      </c>
      <c r="AH13" s="20">
        <v>12.82113955581088</v>
      </c>
      <c r="AI13" s="20">
        <v>20.56880631073021</v>
      </c>
      <c r="AJ13" s="20">
        <v>32.639935632859697</v>
      </c>
      <c r="AK13" s="20">
        <v>51.472284411115503</v>
      </c>
    </row>
    <row r="14" spans="1:37" x14ac:dyDescent="0.25">
      <c r="A14" s="20" t="s">
        <v>3</v>
      </c>
      <c r="B14" s="20">
        <v>1.496581304402675</v>
      </c>
      <c r="C14" s="20">
        <v>2.777265057971217</v>
      </c>
      <c r="D14" s="20">
        <v>5.1538805005361263</v>
      </c>
      <c r="E14" s="20">
        <v>9.5642596797045769</v>
      </c>
      <c r="F14" s="20">
        <v>17.748774580882721</v>
      </c>
      <c r="G14" s="20">
        <v>32.937102261188201</v>
      </c>
      <c r="K14" s="20" t="s">
        <v>3</v>
      </c>
      <c r="L14" s="20">
        <v>1.496581304402675</v>
      </c>
      <c r="M14" s="20">
        <v>2.777265057971217</v>
      </c>
      <c r="N14" s="20">
        <v>5.1538805005361263</v>
      </c>
      <c r="O14" s="20">
        <v>9.5642596797045769</v>
      </c>
      <c r="P14" s="20">
        <v>17.748774580882721</v>
      </c>
      <c r="Q14" s="20">
        <v>32.937102261188201</v>
      </c>
      <c r="U14" s="20" t="s">
        <v>3</v>
      </c>
      <c r="V14" s="20">
        <v>1.496581304402675</v>
      </c>
      <c r="W14" s="20">
        <v>2.777265057971217</v>
      </c>
      <c r="X14" s="20">
        <v>5.1538805005361263</v>
      </c>
      <c r="Y14" s="20">
        <v>9.5642596797045769</v>
      </c>
      <c r="Z14" s="20">
        <v>17.748774580882721</v>
      </c>
      <c r="AA14" s="20">
        <v>32.937102261188201</v>
      </c>
      <c r="AE14" s="20" t="s">
        <v>3</v>
      </c>
      <c r="AF14" s="20">
        <v>1.496581304402675</v>
      </c>
      <c r="AG14" s="20">
        <v>2.777265057971217</v>
      </c>
      <c r="AH14" s="20">
        <v>5.1538805005361263</v>
      </c>
      <c r="AI14" s="20">
        <v>9.5642596797045769</v>
      </c>
      <c r="AJ14" s="20">
        <v>17.748774580882721</v>
      </c>
      <c r="AK14" s="20">
        <v>32.937102261188201</v>
      </c>
    </row>
    <row r="15" spans="1:37" x14ac:dyDescent="0.25">
      <c r="A15" s="20" t="s">
        <v>18</v>
      </c>
      <c r="B15" s="20">
        <v>44822.290798478491</v>
      </c>
      <c r="C15" s="20">
        <v>108984.62419619771</v>
      </c>
      <c r="D15" s="20">
        <v>198380.9085707881</v>
      </c>
      <c r="E15" s="20">
        <v>305686.34199488262</v>
      </c>
      <c r="F15" s="20">
        <v>425474.50853735273</v>
      </c>
      <c r="G15" s="20">
        <v>558350.53552459541</v>
      </c>
      <c r="K15" s="20" t="s">
        <v>18</v>
      </c>
      <c r="L15" s="20">
        <v>44822.290798478491</v>
      </c>
      <c r="M15" s="20">
        <v>108984.62419619771</v>
      </c>
      <c r="N15" s="20">
        <v>198380.9085707881</v>
      </c>
      <c r="O15" s="20">
        <v>305686.34199488262</v>
      </c>
      <c r="P15" s="20">
        <v>425474.50853735273</v>
      </c>
      <c r="Q15" s="20">
        <v>558350.53552459541</v>
      </c>
      <c r="U15" s="20" t="s">
        <v>18</v>
      </c>
      <c r="V15" s="20">
        <v>44822.290798478491</v>
      </c>
      <c r="W15" s="20">
        <v>108984.62419619771</v>
      </c>
      <c r="X15" s="20">
        <v>198380.9085707881</v>
      </c>
      <c r="Y15" s="20">
        <v>305686.34199488262</v>
      </c>
      <c r="Z15" s="20">
        <v>425474.50853735273</v>
      </c>
      <c r="AA15" s="20">
        <v>558350.53552459541</v>
      </c>
      <c r="AE15" s="20" t="s">
        <v>18</v>
      </c>
      <c r="AF15" s="20">
        <v>44822.290798478491</v>
      </c>
      <c r="AG15" s="20">
        <v>108984.62419619771</v>
      </c>
      <c r="AH15" s="20">
        <v>198380.9085707881</v>
      </c>
      <c r="AI15" s="20">
        <v>305686.34199488262</v>
      </c>
      <c r="AJ15" s="20">
        <v>425474.50853735273</v>
      </c>
      <c r="AK15" s="20">
        <v>558350.53552459541</v>
      </c>
    </row>
    <row r="16" spans="1:37" x14ac:dyDescent="0.25">
      <c r="A16" s="20" t="s">
        <v>19</v>
      </c>
      <c r="B16" s="20">
        <v>59488.971502423847</v>
      </c>
      <c r="C16" s="20">
        <v>144646.4044454876</v>
      </c>
      <c r="D16" s="20">
        <v>263294.8027947105</v>
      </c>
      <c r="E16" s="20">
        <v>405712.55425952142</v>
      </c>
      <c r="F16" s="20">
        <v>564697.61947654758</v>
      </c>
      <c r="G16" s="20">
        <v>741053.1346004575</v>
      </c>
      <c r="K16" s="20" t="s">
        <v>19</v>
      </c>
      <c r="L16" s="20">
        <v>59488.971502423847</v>
      </c>
      <c r="M16" s="20">
        <v>144646.4044454876</v>
      </c>
      <c r="N16" s="20">
        <v>263294.8027947105</v>
      </c>
      <c r="O16" s="20">
        <v>405712.55425952142</v>
      </c>
      <c r="P16" s="20">
        <v>564697.61947654758</v>
      </c>
      <c r="Q16" s="20">
        <v>741053.1346004575</v>
      </c>
      <c r="U16" s="20" t="s">
        <v>19</v>
      </c>
      <c r="V16" s="20">
        <v>59488.971502423847</v>
      </c>
      <c r="W16" s="20">
        <v>144646.4044454876</v>
      </c>
      <c r="X16" s="20">
        <v>263294.8027947105</v>
      </c>
      <c r="Y16" s="20">
        <v>405712.55425952142</v>
      </c>
      <c r="Z16" s="20">
        <v>564697.61947654758</v>
      </c>
      <c r="AA16" s="20">
        <v>741053.1346004575</v>
      </c>
      <c r="AE16" s="20" t="s">
        <v>19</v>
      </c>
      <c r="AF16" s="20">
        <v>59488.971502423847</v>
      </c>
      <c r="AG16" s="20">
        <v>144646.4044454876</v>
      </c>
      <c r="AH16" s="20">
        <v>263294.8027947105</v>
      </c>
      <c r="AI16" s="20">
        <v>405712.55425952142</v>
      </c>
      <c r="AJ16" s="20">
        <v>564697.61947654758</v>
      </c>
      <c r="AK16" s="20">
        <v>741053.1346004575</v>
      </c>
    </row>
    <row r="17" spans="1:37" x14ac:dyDescent="0.25">
      <c r="A17" s="20" t="s">
        <v>7</v>
      </c>
      <c r="B17" s="20">
        <v>16.550899999999999</v>
      </c>
      <c r="C17" s="20">
        <v>16.550899999999999</v>
      </c>
      <c r="D17" s="20">
        <v>16.550899999999999</v>
      </c>
      <c r="E17" s="20">
        <v>16.550899999999999</v>
      </c>
      <c r="F17" s="20">
        <v>16.550899999999999</v>
      </c>
      <c r="G17" s="20">
        <v>16.550899999999999</v>
      </c>
      <c r="K17" s="20" t="s">
        <v>7</v>
      </c>
      <c r="L17" s="20">
        <v>16.550899999999999</v>
      </c>
      <c r="M17" s="20">
        <v>16.550899999999999</v>
      </c>
      <c r="N17" s="20">
        <v>16.550899999999999</v>
      </c>
      <c r="O17" s="20">
        <v>16.550899999999999</v>
      </c>
      <c r="P17" s="20">
        <v>16.550899999999999</v>
      </c>
      <c r="Q17" s="20">
        <v>16.550899999999999</v>
      </c>
      <c r="U17" s="20" t="s">
        <v>7</v>
      </c>
      <c r="V17" s="20">
        <v>16.550899999999999</v>
      </c>
      <c r="W17" s="20">
        <v>16.550899999999999</v>
      </c>
      <c r="X17" s="20">
        <v>16.550899999999999</v>
      </c>
      <c r="Y17" s="20">
        <v>16.550899999999999</v>
      </c>
      <c r="Z17" s="20">
        <v>16.550899999999999</v>
      </c>
      <c r="AA17" s="20">
        <v>16.550899999999999</v>
      </c>
      <c r="AE17" s="20" t="s">
        <v>7</v>
      </c>
      <c r="AF17" s="20">
        <v>16.550899999999999</v>
      </c>
      <c r="AG17" s="20">
        <v>16.550899999999999</v>
      </c>
      <c r="AH17" s="20">
        <v>16.550899999999999</v>
      </c>
      <c r="AI17" s="20">
        <v>16.550899999999999</v>
      </c>
      <c r="AJ17" s="20">
        <v>16.550899999999999</v>
      </c>
      <c r="AK17" s="20">
        <v>16.550899999999999</v>
      </c>
    </row>
    <row r="18" spans="1:37" x14ac:dyDescent="0.25">
      <c r="A18" s="20" t="s">
        <v>52</v>
      </c>
      <c r="B18" s="20">
        <v>26.961481819999999</v>
      </c>
      <c r="C18" s="20">
        <v>26.961481819999999</v>
      </c>
      <c r="D18" s="20">
        <v>26.961481819999999</v>
      </c>
      <c r="E18" s="20">
        <v>26.961481819999999</v>
      </c>
      <c r="F18" s="20">
        <v>26.961481819999999</v>
      </c>
      <c r="G18" s="20">
        <v>26.961481819999999</v>
      </c>
      <c r="K18" s="20" t="s">
        <v>52</v>
      </c>
      <c r="L18" s="20">
        <v>26.961481819999999</v>
      </c>
      <c r="M18" s="20">
        <v>26.961481819999999</v>
      </c>
      <c r="N18" s="20">
        <v>26.961481819999999</v>
      </c>
      <c r="O18" s="20">
        <v>26.961481819999999</v>
      </c>
      <c r="P18" s="20">
        <v>26.961481819999999</v>
      </c>
      <c r="Q18" s="20">
        <v>26.961481819999999</v>
      </c>
      <c r="U18" s="20" t="s">
        <v>52</v>
      </c>
      <c r="V18" s="20">
        <v>26.961481819999999</v>
      </c>
      <c r="W18" s="20">
        <v>26.961481819999999</v>
      </c>
      <c r="X18" s="20">
        <v>26.961481819999999</v>
      </c>
      <c r="Y18" s="20">
        <v>26.961481819999999</v>
      </c>
      <c r="Z18" s="20">
        <v>26.961481819999999</v>
      </c>
      <c r="AA18" s="20">
        <v>26.961481819999999</v>
      </c>
      <c r="AE18" s="20" t="s">
        <v>52</v>
      </c>
      <c r="AF18" s="20">
        <v>26.961481819999999</v>
      </c>
      <c r="AG18" s="20">
        <v>26.961481819999999</v>
      </c>
      <c r="AH18" s="20">
        <v>26.961481819999999</v>
      </c>
      <c r="AI18" s="20">
        <v>26.961481819999999</v>
      </c>
      <c r="AJ18" s="20">
        <v>26.961481819999999</v>
      </c>
      <c r="AK18" s="20">
        <v>26.961481819999999</v>
      </c>
    </row>
    <row r="19" spans="1:37" x14ac:dyDescent="0.25">
      <c r="A19" s="20" t="s">
        <v>4</v>
      </c>
      <c r="B19" s="20">
        <v>0.88692043671715748</v>
      </c>
      <c r="C19" s="20">
        <v>0.88692043671715748</v>
      </c>
      <c r="D19" s="20">
        <v>0.88692043671715748</v>
      </c>
      <c r="E19" s="20">
        <v>0.88692043671715748</v>
      </c>
      <c r="F19" s="20">
        <v>0.88692043671715748</v>
      </c>
      <c r="G19" s="20">
        <v>0.88692043671715748</v>
      </c>
      <c r="K19" s="20" t="s">
        <v>4</v>
      </c>
      <c r="L19" s="20">
        <v>0.88692043671715748</v>
      </c>
      <c r="M19" s="20">
        <v>0.88692043671715748</v>
      </c>
      <c r="N19" s="20">
        <v>0.88692043671715748</v>
      </c>
      <c r="O19" s="20">
        <v>0.88692043671715748</v>
      </c>
      <c r="P19" s="20">
        <v>0.88692043671715748</v>
      </c>
      <c r="Q19" s="20">
        <v>0.88692043671715748</v>
      </c>
      <c r="U19" s="20" t="s">
        <v>4</v>
      </c>
      <c r="V19" s="20">
        <v>0.88692043671715748</v>
      </c>
      <c r="W19" s="20">
        <v>0.88692043671715748</v>
      </c>
      <c r="X19" s="20">
        <v>0.88692043671715748</v>
      </c>
      <c r="Y19" s="20">
        <v>0.88692043671715748</v>
      </c>
      <c r="Z19" s="20">
        <v>0.88692043671715748</v>
      </c>
      <c r="AA19" s="20">
        <v>0.88692043671715748</v>
      </c>
      <c r="AE19" s="20" t="s">
        <v>4</v>
      </c>
      <c r="AF19" s="20">
        <v>0.88692043671715748</v>
      </c>
      <c r="AG19" s="20">
        <v>0.88692043671715748</v>
      </c>
      <c r="AH19" s="20">
        <v>0.88692043671715748</v>
      </c>
      <c r="AI19" s="20">
        <v>0.88692043671715748</v>
      </c>
      <c r="AJ19" s="20">
        <v>0.88692043671715748</v>
      </c>
      <c r="AK19" s="20">
        <v>0.88692043671715748</v>
      </c>
    </row>
    <row r="20" spans="1:37" x14ac:dyDescent="0.25">
      <c r="A20" s="20" t="s">
        <v>5</v>
      </c>
      <c r="B20" s="20">
        <v>1</v>
      </c>
      <c r="C20" s="20">
        <v>1</v>
      </c>
      <c r="D20" s="20">
        <v>1</v>
      </c>
      <c r="E20" s="20">
        <v>1</v>
      </c>
      <c r="F20" s="20">
        <v>1</v>
      </c>
      <c r="G20" s="20">
        <v>1</v>
      </c>
      <c r="K20" s="20" t="s">
        <v>5</v>
      </c>
      <c r="L20" s="20">
        <v>1</v>
      </c>
      <c r="M20" s="20">
        <v>1</v>
      </c>
      <c r="N20" s="20">
        <v>1</v>
      </c>
      <c r="O20" s="20">
        <v>1</v>
      </c>
      <c r="P20" s="20">
        <v>1</v>
      </c>
      <c r="Q20" s="20">
        <v>1</v>
      </c>
      <c r="U20" s="20" t="s">
        <v>5</v>
      </c>
      <c r="V20" s="20">
        <v>1</v>
      </c>
      <c r="W20" s="20">
        <v>1</v>
      </c>
      <c r="X20" s="20">
        <v>1</v>
      </c>
      <c r="Y20" s="20">
        <v>1</v>
      </c>
      <c r="Z20" s="20">
        <v>1</v>
      </c>
      <c r="AA20" s="20">
        <v>1</v>
      </c>
      <c r="AE20" s="20" t="s">
        <v>5</v>
      </c>
      <c r="AF20" s="20">
        <v>1</v>
      </c>
      <c r="AG20" s="20">
        <v>1</v>
      </c>
      <c r="AH20" s="20">
        <v>1</v>
      </c>
      <c r="AI20" s="20">
        <v>1</v>
      </c>
      <c r="AJ20" s="20">
        <v>1</v>
      </c>
      <c r="AK20" s="20">
        <v>1</v>
      </c>
    </row>
    <row r="21" spans="1:37" x14ac:dyDescent="0.25">
      <c r="A21" s="20" t="s">
        <v>20</v>
      </c>
      <c r="B21" s="20">
        <v>1</v>
      </c>
      <c r="C21" s="20">
        <v>0.98300570279749855</v>
      </c>
      <c r="D21" s="20">
        <v>0.98300570279749855</v>
      </c>
      <c r="E21" s="20">
        <v>0.98300570279749855</v>
      </c>
      <c r="F21" s="20">
        <v>0.98300570279749855</v>
      </c>
      <c r="G21" s="20">
        <v>0.98300570279749855</v>
      </c>
      <c r="K21" s="20" t="s">
        <v>20</v>
      </c>
      <c r="L21" s="20">
        <v>1</v>
      </c>
      <c r="M21" s="20">
        <v>0.98300570279749855</v>
      </c>
      <c r="N21" s="20">
        <v>0.98300570279749855</v>
      </c>
      <c r="O21" s="20">
        <v>0.98300570279749855</v>
      </c>
      <c r="P21" s="20">
        <v>0.98300570279749855</v>
      </c>
      <c r="Q21" s="20">
        <v>0.98300570279749855</v>
      </c>
      <c r="U21" s="20" t="s">
        <v>20</v>
      </c>
      <c r="V21" s="20">
        <v>1</v>
      </c>
      <c r="W21" s="20">
        <v>0.98300570279749855</v>
      </c>
      <c r="X21" s="20">
        <v>0.98300570279749855</v>
      </c>
      <c r="Y21" s="20">
        <v>0.98300570279749855</v>
      </c>
      <c r="Z21" s="20">
        <v>0.98300570279749855</v>
      </c>
      <c r="AA21" s="20">
        <v>0.98300570279749855</v>
      </c>
      <c r="AE21" s="20" t="s">
        <v>20</v>
      </c>
      <c r="AF21" s="20">
        <v>1</v>
      </c>
      <c r="AG21" s="20">
        <v>0.98300570279749855</v>
      </c>
      <c r="AH21" s="20">
        <v>0.98300570279749855</v>
      </c>
      <c r="AI21" s="20">
        <v>0.98300570279749855</v>
      </c>
      <c r="AJ21" s="20">
        <v>0.98300570279749855</v>
      </c>
      <c r="AK21" s="20">
        <v>0.98300570279749855</v>
      </c>
    </row>
    <row r="22" spans="1:37" x14ac:dyDescent="0.25">
      <c r="A22" s="20" t="s">
        <v>21</v>
      </c>
      <c r="B22" s="20">
        <v>1</v>
      </c>
      <c r="C22" s="20">
        <v>0.99977488244563673</v>
      </c>
      <c r="D22" s="20">
        <v>0.99977488244563673</v>
      </c>
      <c r="E22" s="20">
        <v>0.99977488244563673</v>
      </c>
      <c r="F22" s="20">
        <v>0.99977488244563673</v>
      </c>
      <c r="G22" s="20">
        <v>0.99977488244563673</v>
      </c>
      <c r="K22" s="20" t="s">
        <v>21</v>
      </c>
      <c r="L22" s="20">
        <v>1</v>
      </c>
      <c r="M22" s="20">
        <v>0.99977488244563673</v>
      </c>
      <c r="N22" s="20">
        <v>0.99977488244563673</v>
      </c>
      <c r="O22" s="20">
        <v>0.99977488244563673</v>
      </c>
      <c r="P22" s="20">
        <v>0.99977488244563673</v>
      </c>
      <c r="Q22" s="20">
        <v>0.99977488244563673</v>
      </c>
      <c r="U22" s="20" t="s">
        <v>21</v>
      </c>
      <c r="V22" s="20">
        <v>1</v>
      </c>
      <c r="W22" s="20">
        <v>0.99977488244563673</v>
      </c>
      <c r="X22" s="20">
        <v>0.99977488244563673</v>
      </c>
      <c r="Y22" s="20">
        <v>0.99977488244563673</v>
      </c>
      <c r="Z22" s="20">
        <v>0.99977488244563673</v>
      </c>
      <c r="AA22" s="20">
        <v>0.99977488244563673</v>
      </c>
      <c r="AE22" s="20" t="s">
        <v>21</v>
      </c>
      <c r="AF22" s="20">
        <v>1</v>
      </c>
      <c r="AG22" s="20">
        <v>0.99977488244563673</v>
      </c>
      <c r="AH22" s="20">
        <v>0.99977488244563673</v>
      </c>
      <c r="AI22" s="20">
        <v>0.99977488244563673</v>
      </c>
      <c r="AJ22" s="20">
        <v>0.99977488244563673</v>
      </c>
      <c r="AK22" s="20">
        <v>0.99977488244563673</v>
      </c>
    </row>
    <row r="23" spans="1:37" x14ac:dyDescent="0.25">
      <c r="A23" s="20" t="s">
        <v>10</v>
      </c>
      <c r="B23" s="20">
        <v>0.95773100845373871</v>
      </c>
      <c r="C23" s="20">
        <v>0.14272625135369271</v>
      </c>
      <c r="D23" s="20">
        <v>1.7953245500761231E-2</v>
      </c>
      <c r="E23" s="20">
        <v>1.9117169728138351E-3</v>
      </c>
      <c r="F23" s="20">
        <v>1.8387622227472819E-4</v>
      </c>
      <c r="G23" s="20">
        <v>1.6674907391782501E-5</v>
      </c>
      <c r="K23" s="20" t="s">
        <v>10</v>
      </c>
      <c r="L23" s="20">
        <v>0.95773100845373871</v>
      </c>
      <c r="M23" s="20">
        <v>0.14272625135369271</v>
      </c>
      <c r="N23" s="20">
        <v>1.7953245500761231E-2</v>
      </c>
      <c r="O23" s="20">
        <v>1.9117169728138351E-3</v>
      </c>
      <c r="P23" s="20">
        <v>1.8387622227472819E-4</v>
      </c>
      <c r="Q23" s="20">
        <v>1.6674907391782501E-5</v>
      </c>
      <c r="U23" s="20" t="s">
        <v>10</v>
      </c>
      <c r="V23" s="20">
        <v>0.95773100845373871</v>
      </c>
      <c r="W23" s="20">
        <v>0.14272625135369271</v>
      </c>
      <c r="X23" s="20">
        <v>1.7953245500761231E-2</v>
      </c>
      <c r="Y23" s="20">
        <v>1.9117169728138351E-3</v>
      </c>
      <c r="Z23" s="20">
        <v>1.8387622227472819E-4</v>
      </c>
      <c r="AA23" s="20">
        <v>1.6674907391782501E-5</v>
      </c>
      <c r="AE23" s="20" t="s">
        <v>10</v>
      </c>
      <c r="AF23" s="20">
        <v>0.95773100845373871</v>
      </c>
      <c r="AG23" s="20">
        <v>0.14272625135369271</v>
      </c>
      <c r="AH23" s="20">
        <v>1.7953245500761231E-2</v>
      </c>
      <c r="AI23" s="20">
        <v>1.9117169728138351E-3</v>
      </c>
      <c r="AJ23" s="20">
        <v>1.8387622227472819E-4</v>
      </c>
      <c r="AK23" s="20">
        <v>1.6674907391782501E-5</v>
      </c>
    </row>
    <row r="24" spans="1:37" x14ac:dyDescent="0.25">
      <c r="A24" s="20" t="s">
        <v>12</v>
      </c>
      <c r="B24" s="20">
        <v>0.87052902719703784</v>
      </c>
      <c r="C24" s="20">
        <v>1.7347103249073781</v>
      </c>
      <c r="D24" s="20">
        <v>2.5878203976092551</v>
      </c>
      <c r="E24" s="20">
        <v>3.2680057806462579</v>
      </c>
      <c r="F24" s="20">
        <v>3.727802118046883</v>
      </c>
      <c r="G24" s="20">
        <v>4.0092096480810628</v>
      </c>
      <c r="K24" s="20" t="s">
        <v>12</v>
      </c>
      <c r="L24" s="20">
        <v>0.87052902719703784</v>
      </c>
      <c r="M24" s="20">
        <v>1.7347103249073781</v>
      </c>
      <c r="N24" s="20">
        <v>2.5878203976092551</v>
      </c>
      <c r="O24" s="20">
        <v>3.2680057806462579</v>
      </c>
      <c r="P24" s="20">
        <v>3.727802118046883</v>
      </c>
      <c r="Q24" s="20">
        <v>4.0092096480810628</v>
      </c>
      <c r="U24" s="20" t="s">
        <v>12</v>
      </c>
      <c r="V24" s="20">
        <v>0.87052902719703784</v>
      </c>
      <c r="W24" s="20">
        <v>1.7347103249073781</v>
      </c>
      <c r="X24" s="20">
        <v>2.5878203976092551</v>
      </c>
      <c r="Y24" s="20">
        <v>3.2680057806462579</v>
      </c>
      <c r="Z24" s="20">
        <v>3.727802118046883</v>
      </c>
      <c r="AA24" s="20">
        <v>4.0092096480810628</v>
      </c>
      <c r="AE24" s="20" t="s">
        <v>12</v>
      </c>
      <c r="AF24" s="20">
        <v>0.87052902719703784</v>
      </c>
      <c r="AG24" s="20">
        <v>1.7347103249073781</v>
      </c>
      <c r="AH24" s="20">
        <v>2.5878203976092551</v>
      </c>
      <c r="AI24" s="20">
        <v>3.2680057806462579</v>
      </c>
      <c r="AJ24" s="20">
        <v>3.727802118046883</v>
      </c>
      <c r="AK24" s="20">
        <v>4.0092096480810628</v>
      </c>
    </row>
    <row r="25" spans="1:37" x14ac:dyDescent="0.25">
      <c r="A25" s="20" t="s">
        <v>11</v>
      </c>
      <c r="B25" s="20">
        <v>86067.515616775694</v>
      </c>
      <c r="C25" s="20">
        <v>1559496.6420477121</v>
      </c>
      <c r="D25" s="20">
        <v>22630310.43295633</v>
      </c>
      <c r="E25" s="20">
        <v>306040213.94806689</v>
      </c>
      <c r="F25" s="20">
        <v>3959865328.020751</v>
      </c>
      <c r="G25" s="20">
        <v>49922718896.946693</v>
      </c>
      <c r="K25" s="20" t="s">
        <v>11</v>
      </c>
      <c r="L25" s="20">
        <v>86067.515616775694</v>
      </c>
      <c r="M25" s="20">
        <v>1559496.6420477121</v>
      </c>
      <c r="N25" s="20">
        <v>22630310.43295633</v>
      </c>
      <c r="O25" s="20">
        <v>306040213.94806689</v>
      </c>
      <c r="P25" s="20">
        <v>3959865328.020751</v>
      </c>
      <c r="Q25" s="20">
        <v>49922718896.946693</v>
      </c>
      <c r="U25" s="20" t="s">
        <v>11</v>
      </c>
      <c r="V25" s="20">
        <v>86067.515616775694</v>
      </c>
      <c r="W25" s="20">
        <v>1559496.6420477121</v>
      </c>
      <c r="X25" s="20">
        <v>22630310.43295633</v>
      </c>
      <c r="Y25" s="20">
        <v>306040213.94806689</v>
      </c>
      <c r="Z25" s="20">
        <v>3959865328.020751</v>
      </c>
      <c r="AA25" s="20">
        <v>49922718896.946693</v>
      </c>
      <c r="AE25" s="20" t="s">
        <v>11</v>
      </c>
      <c r="AF25" s="20">
        <v>86067.515616775694</v>
      </c>
      <c r="AG25" s="20">
        <v>1559496.6420477121</v>
      </c>
      <c r="AH25" s="20">
        <v>22630310.43295633</v>
      </c>
      <c r="AI25" s="20">
        <v>306040213.94806689</v>
      </c>
      <c r="AJ25" s="20">
        <v>3959865328.020751</v>
      </c>
      <c r="AK25" s="20">
        <v>49922718896.946693</v>
      </c>
    </row>
    <row r="26" spans="1:37" x14ac:dyDescent="0.25">
      <c r="A26" s="20" t="s">
        <v>13</v>
      </c>
      <c r="B26" s="20">
        <v>191288.3277048358</v>
      </c>
      <c r="C26" s="20">
        <v>481024.57665183663</v>
      </c>
      <c r="D26" s="20">
        <v>1092250.5951412111</v>
      </c>
      <c r="E26" s="20">
        <v>2311315.5009788922</v>
      </c>
      <c r="F26" s="20">
        <v>4679614.8196717594</v>
      </c>
      <c r="G26" s="20">
        <v>9231597.8615426775</v>
      </c>
      <c r="K26" s="20" t="s">
        <v>13</v>
      </c>
      <c r="L26" s="20">
        <v>191288.3277048358</v>
      </c>
      <c r="M26" s="20">
        <v>481024.57665183663</v>
      </c>
      <c r="N26" s="20">
        <v>1092250.5951412111</v>
      </c>
      <c r="O26" s="20">
        <v>2311315.5009788922</v>
      </c>
      <c r="P26" s="20">
        <v>4679614.8196717594</v>
      </c>
      <c r="Q26" s="20">
        <v>9231597.8615426775</v>
      </c>
      <c r="U26" s="20" t="s">
        <v>13</v>
      </c>
      <c r="V26" s="20">
        <v>191288.3277048358</v>
      </c>
      <c r="W26" s="20">
        <v>481024.57665183663</v>
      </c>
      <c r="X26" s="20">
        <v>1092250.5951412111</v>
      </c>
      <c r="Y26" s="20">
        <v>2311315.5009788922</v>
      </c>
      <c r="Z26" s="20">
        <v>4679614.8196717594</v>
      </c>
      <c r="AA26" s="20">
        <v>9231597.8615426775</v>
      </c>
      <c r="AE26" s="20" t="s">
        <v>13</v>
      </c>
      <c r="AF26" s="20">
        <v>191288.3277048358</v>
      </c>
      <c r="AG26" s="20">
        <v>481024.57665183663</v>
      </c>
      <c r="AH26" s="20">
        <v>1092250.5951412111</v>
      </c>
      <c r="AI26" s="20">
        <v>2311315.5009788922</v>
      </c>
      <c r="AJ26" s="20">
        <v>4679614.8196717594</v>
      </c>
      <c r="AK26" s="20">
        <v>9231597.8615426775</v>
      </c>
    </row>
    <row r="27" spans="1:37" x14ac:dyDescent="0.25">
      <c r="A27" s="20" t="s">
        <v>22</v>
      </c>
      <c r="B27" s="20">
        <v>18427.262540756401</v>
      </c>
      <c r="C27" s="20">
        <v>80814.579265369073</v>
      </c>
      <c r="D27" s="20">
        <v>151289.3237436155</v>
      </c>
      <c r="E27" s="20">
        <v>237401.85696295279</v>
      </c>
      <c r="F27" s="20">
        <v>334059.53954187222</v>
      </c>
      <c r="G27" s="20">
        <v>441136.8373603588</v>
      </c>
      <c r="K27" s="20" t="s">
        <v>22</v>
      </c>
      <c r="L27" s="20">
        <v>18427.262540756401</v>
      </c>
      <c r="M27" s="20">
        <v>80814.579265369073</v>
      </c>
      <c r="N27" s="20">
        <v>151289.3237436155</v>
      </c>
      <c r="O27" s="20">
        <v>237401.85696295279</v>
      </c>
      <c r="P27" s="20">
        <v>334059.53954187222</v>
      </c>
      <c r="Q27" s="20">
        <v>441136.8373603588</v>
      </c>
      <c r="U27" s="20" t="s">
        <v>22</v>
      </c>
      <c r="V27" s="20">
        <v>18427.262540756401</v>
      </c>
      <c r="W27" s="20">
        <v>80814.579265369073</v>
      </c>
      <c r="X27" s="20">
        <v>151289.3237436155</v>
      </c>
      <c r="Y27" s="20">
        <v>237401.85696295279</v>
      </c>
      <c r="Z27" s="20">
        <v>334059.53954187222</v>
      </c>
      <c r="AA27" s="20">
        <v>441136.8373603588</v>
      </c>
      <c r="AE27" s="20" t="s">
        <v>22</v>
      </c>
      <c r="AF27" s="20">
        <v>18427.262540756401</v>
      </c>
      <c r="AG27" s="20">
        <v>80814.579265369073</v>
      </c>
      <c r="AH27" s="20">
        <v>151289.3237436155</v>
      </c>
      <c r="AI27" s="20">
        <v>237401.85696295279</v>
      </c>
      <c r="AJ27" s="20">
        <v>334059.53954187222</v>
      </c>
      <c r="AK27" s="20">
        <v>441136.8373603588</v>
      </c>
    </row>
    <row r="32" spans="1:37" x14ac:dyDescent="0.25">
      <c r="A32" s="20" t="s">
        <v>15</v>
      </c>
      <c r="B32" s="20">
        <v>2000</v>
      </c>
      <c r="C32" s="20">
        <v>2020</v>
      </c>
      <c r="D32" s="20">
        <v>2040</v>
      </c>
      <c r="E32" s="20">
        <v>2060</v>
      </c>
      <c r="F32" s="20">
        <v>2080</v>
      </c>
      <c r="G32" s="20">
        <v>2100</v>
      </c>
      <c r="K32" s="20" t="s">
        <v>15</v>
      </c>
      <c r="L32" s="20">
        <v>2000</v>
      </c>
      <c r="M32" s="20">
        <v>2020</v>
      </c>
      <c r="N32" s="20">
        <v>2040</v>
      </c>
      <c r="O32" s="20">
        <v>2060</v>
      </c>
      <c r="P32" s="20">
        <v>2080</v>
      </c>
      <c r="Q32" s="20">
        <v>2100</v>
      </c>
      <c r="U32" s="20" t="s">
        <v>15</v>
      </c>
      <c r="V32" s="20">
        <v>2000</v>
      </c>
      <c r="W32" s="20">
        <v>2020</v>
      </c>
      <c r="X32" s="20">
        <v>2040</v>
      </c>
      <c r="Y32" s="20">
        <v>2060</v>
      </c>
      <c r="Z32" s="20">
        <v>2080</v>
      </c>
      <c r="AA32" s="20">
        <v>2100</v>
      </c>
      <c r="AE32" s="20" t="s">
        <v>15</v>
      </c>
      <c r="AF32" s="20">
        <v>2000</v>
      </c>
      <c r="AG32" s="20">
        <v>2020</v>
      </c>
      <c r="AH32" s="20">
        <v>2040</v>
      </c>
      <c r="AI32" s="20">
        <v>2060</v>
      </c>
      <c r="AJ32" s="20">
        <v>2080</v>
      </c>
      <c r="AK32" s="20">
        <v>2100</v>
      </c>
    </row>
    <row r="33" spans="1:37" x14ac:dyDescent="0.25">
      <c r="A33" s="20" t="s">
        <v>11</v>
      </c>
      <c r="B33" s="20">
        <v>86067.515616775694</v>
      </c>
      <c r="C33" s="20">
        <v>1542603.3204550419</v>
      </c>
      <c r="D33" s="20">
        <v>22237990.952950481</v>
      </c>
      <c r="E33" s="20">
        <v>298611449.5199607</v>
      </c>
      <c r="F33" s="20">
        <v>3862575625.0923009</v>
      </c>
      <c r="G33" s="20">
        <v>48687715880.46051</v>
      </c>
      <c r="K33" s="20" t="s">
        <v>11</v>
      </c>
      <c r="L33" s="20">
        <v>86067.515616775694</v>
      </c>
      <c r="M33" s="20">
        <v>1542603.3204550419</v>
      </c>
      <c r="N33" s="20">
        <v>22090975.170387879</v>
      </c>
      <c r="O33" s="20">
        <v>294242813.87584013</v>
      </c>
      <c r="P33" s="20">
        <v>3775093640.3392491</v>
      </c>
      <c r="Q33" s="20">
        <v>47177722559.414871</v>
      </c>
      <c r="U33" s="20" t="s">
        <v>11</v>
      </c>
      <c r="V33" s="20">
        <v>86067.515616775694</v>
      </c>
      <c r="W33" s="20">
        <v>1533239.440369217</v>
      </c>
      <c r="X33" s="20">
        <v>22089326.840130251</v>
      </c>
      <c r="Y33" s="20">
        <v>291880922.85886753</v>
      </c>
      <c r="Z33" s="20">
        <v>3718790419.2018719</v>
      </c>
      <c r="AA33" s="20">
        <v>45984031657.044228</v>
      </c>
      <c r="AE33" s="20" t="s">
        <v>11</v>
      </c>
      <c r="AF33" s="20">
        <v>86067.515616775694</v>
      </c>
      <c r="AG33" s="20">
        <v>1542603.3204550419</v>
      </c>
      <c r="AH33" s="20">
        <v>21887647.44990845</v>
      </c>
      <c r="AI33" s="20">
        <v>287539217.55516177</v>
      </c>
      <c r="AJ33" s="20">
        <v>3582213339.032783</v>
      </c>
      <c r="AK33" s="20">
        <v>42961212941.150284</v>
      </c>
    </row>
    <row r="34" spans="1:37" x14ac:dyDescent="0.25">
      <c r="A34" s="20" t="s">
        <v>13</v>
      </c>
      <c r="B34" s="20">
        <v>191288.3277048358</v>
      </c>
      <c r="C34" s="20">
        <v>481347.00221247459</v>
      </c>
      <c r="D34" s="20">
        <v>1092177.8656161481</v>
      </c>
      <c r="E34" s="20">
        <v>2308457.5986547181</v>
      </c>
      <c r="F34" s="20">
        <v>4672414.87920452</v>
      </c>
      <c r="G34" s="20">
        <v>9215794.0305215884</v>
      </c>
      <c r="K34" s="20" t="s">
        <v>13</v>
      </c>
      <c r="L34" s="20">
        <v>191288.3277048358</v>
      </c>
      <c r="M34" s="20">
        <v>481347.00221247459</v>
      </c>
      <c r="N34" s="20">
        <v>1091393.536126086</v>
      </c>
      <c r="O34" s="20">
        <v>2302109.2084222678</v>
      </c>
      <c r="P34" s="20">
        <v>4649792.5319442116</v>
      </c>
      <c r="Q34" s="20">
        <v>9148537.5829078555</v>
      </c>
      <c r="U34" s="20" t="s">
        <v>13</v>
      </c>
      <c r="V34" s="20">
        <v>191288.3277048358</v>
      </c>
      <c r="W34" s="20">
        <v>481236.81897132128</v>
      </c>
      <c r="X34" s="20">
        <v>1091312.1011973559</v>
      </c>
      <c r="Y34" s="20">
        <v>2297537.4609295819</v>
      </c>
      <c r="Z34" s="20">
        <v>4625564.8590701371</v>
      </c>
      <c r="AA34" s="20">
        <v>9062600.5824541505</v>
      </c>
      <c r="AE34" s="20" t="s">
        <v>13</v>
      </c>
      <c r="AF34" s="20">
        <v>191288.3277048358</v>
      </c>
      <c r="AG34" s="20">
        <v>481347.00221247459</v>
      </c>
      <c r="AH34" s="20">
        <v>1090540.0652975889</v>
      </c>
      <c r="AI34" s="20">
        <v>2285657.7562375469</v>
      </c>
      <c r="AJ34" s="20">
        <v>4558144.7231713179</v>
      </c>
      <c r="AK34" s="20">
        <v>8750549.5089219157</v>
      </c>
    </row>
    <row r="35" spans="1:37" x14ac:dyDescent="0.25">
      <c r="A35" s="20" t="s">
        <v>51</v>
      </c>
      <c r="B35" s="20">
        <v>150225.97198840001</v>
      </c>
      <c r="C35" s="20">
        <v>632011.50791377877</v>
      </c>
      <c r="D35" s="20">
        <v>1931360.729835402</v>
      </c>
      <c r="E35" s="20">
        <v>4856363.2810389129</v>
      </c>
      <c r="F35" s="20">
        <v>10854781.94320528</v>
      </c>
      <c r="G35" s="20">
        <v>22617147.861751661</v>
      </c>
      <c r="K35" s="20" t="s">
        <v>51</v>
      </c>
      <c r="L35" s="20">
        <v>150225.97198840001</v>
      </c>
      <c r="M35" s="20">
        <v>632011.50791377877</v>
      </c>
      <c r="N35" s="20">
        <v>1925747.862618549</v>
      </c>
      <c r="O35" s="20">
        <v>4821672.3596853036</v>
      </c>
      <c r="P35" s="20">
        <v>10735663.918044079</v>
      </c>
      <c r="Q35" s="20">
        <v>22268289.648034651</v>
      </c>
      <c r="U35" s="20" t="s">
        <v>51</v>
      </c>
      <c r="V35" s="20">
        <v>150225.97198840001</v>
      </c>
      <c r="W35" s="20">
        <v>630179.54285811016</v>
      </c>
      <c r="X35" s="20">
        <v>1925604.1718830329</v>
      </c>
      <c r="Y35" s="20">
        <v>4798725.7971245442</v>
      </c>
      <c r="Z35" s="20">
        <v>10616763.73743522</v>
      </c>
      <c r="AA35" s="20">
        <v>21838484.733972751</v>
      </c>
      <c r="AE35" s="20" t="s">
        <v>51</v>
      </c>
      <c r="AF35" s="20">
        <v>150225.97198840001</v>
      </c>
      <c r="AG35" s="20">
        <v>632011.50791377877</v>
      </c>
      <c r="AH35" s="20">
        <v>1918712.3884044201</v>
      </c>
      <c r="AI35" s="20">
        <v>4742792.8890342787</v>
      </c>
      <c r="AJ35" s="20">
        <v>10291231.326102311</v>
      </c>
      <c r="AK35" s="20">
        <v>20331672.202469669</v>
      </c>
    </row>
    <row r="36" spans="1:37" x14ac:dyDescent="0.25">
      <c r="A36" s="20" t="s">
        <v>0</v>
      </c>
      <c r="B36" s="20">
        <v>1.8708231251865</v>
      </c>
      <c r="C36" s="20">
        <v>2.073014848553107</v>
      </c>
      <c r="D36" s="20">
        <v>2.0754818735523841</v>
      </c>
      <c r="E36" s="20">
        <v>1.9364111073361709</v>
      </c>
      <c r="F36" s="20">
        <v>1.7309023648912929</v>
      </c>
      <c r="G36" s="20">
        <v>1.5077156497631889</v>
      </c>
      <c r="K36" s="20" t="s">
        <v>0</v>
      </c>
      <c r="L36" s="20">
        <v>1.8708231251865</v>
      </c>
      <c r="M36" s="20">
        <v>2.073014848553107</v>
      </c>
      <c r="N36" s="20">
        <v>2.0730106375621218</v>
      </c>
      <c r="O36" s="20">
        <v>1.9315160676523571</v>
      </c>
      <c r="P36" s="20">
        <v>1.724107126729614</v>
      </c>
      <c r="Q36" s="20">
        <v>1.499714217897399</v>
      </c>
      <c r="U36" s="20" t="s">
        <v>0</v>
      </c>
      <c r="V36" s="20">
        <v>1.8708231251865</v>
      </c>
      <c r="W36" s="20">
        <v>2.0707559197999181</v>
      </c>
      <c r="X36" s="20">
        <v>2.0728559587336899</v>
      </c>
      <c r="Y36" s="20">
        <v>1.929024585514824</v>
      </c>
      <c r="Z36" s="20">
        <v>1.7238185418140439</v>
      </c>
      <c r="AA36" s="20">
        <v>1.4976946245213401</v>
      </c>
      <c r="AE36" s="20" t="s">
        <v>0</v>
      </c>
      <c r="AF36" s="20">
        <v>1.8708231251865</v>
      </c>
      <c r="AG36" s="20">
        <v>2.073014848553107</v>
      </c>
      <c r="AH36" s="20">
        <v>2.066046478391768</v>
      </c>
      <c r="AI36" s="20">
        <v>1.9287789811565581</v>
      </c>
      <c r="AJ36" s="20">
        <v>1.719697654938622</v>
      </c>
      <c r="AK36" s="20">
        <v>1.503885894982059</v>
      </c>
    </row>
    <row r="37" spans="1:37" x14ac:dyDescent="0.25">
      <c r="A37" s="20" t="s">
        <v>1</v>
      </c>
      <c r="B37" s="20">
        <v>2.7998389129982999</v>
      </c>
      <c r="C37" s="20">
        <v>5.7735284522834451</v>
      </c>
      <c r="D37" s="20">
        <v>10.74172970297637</v>
      </c>
      <c r="E37" s="20">
        <v>18.623499013871822</v>
      </c>
      <c r="F37" s="20">
        <v>30.892517471989269</v>
      </c>
      <c r="G37" s="20">
        <v>49.936395034282221</v>
      </c>
      <c r="K37" s="20" t="s">
        <v>1</v>
      </c>
      <c r="L37" s="20">
        <v>2.7998389129982999</v>
      </c>
      <c r="M37" s="20">
        <v>5.7735284522834451</v>
      </c>
      <c r="N37" s="20">
        <v>10.743560438565821</v>
      </c>
      <c r="O37" s="20">
        <v>18.62612300867373</v>
      </c>
      <c r="P37" s="20">
        <v>30.893997481195871</v>
      </c>
      <c r="Q37" s="20">
        <v>49.934004681136969</v>
      </c>
      <c r="U37" s="20" t="s">
        <v>1</v>
      </c>
      <c r="V37" s="20">
        <v>2.7998389129982999</v>
      </c>
      <c r="W37" s="20">
        <v>5.775201906894333</v>
      </c>
      <c r="X37" s="20">
        <v>10.74275880189705</v>
      </c>
      <c r="Y37" s="20">
        <v>18.626472177060911</v>
      </c>
      <c r="Z37" s="20">
        <v>30.890858701000528</v>
      </c>
      <c r="AA37" s="20">
        <v>49.930137248594278</v>
      </c>
      <c r="AE37" s="20" t="s">
        <v>1</v>
      </c>
      <c r="AF37" s="20">
        <v>2.7998389129982999</v>
      </c>
      <c r="AG37" s="20">
        <v>5.7735284522834451</v>
      </c>
      <c r="AH37" s="20">
        <v>10.7487196115845</v>
      </c>
      <c r="AI37" s="20">
        <v>18.625326015773009</v>
      </c>
      <c r="AJ37" s="20">
        <v>30.891733512817058</v>
      </c>
      <c r="AK37" s="20">
        <v>49.920470768104799</v>
      </c>
    </row>
    <row r="38" spans="1:37" x14ac:dyDescent="0.25">
      <c r="A38" s="20" t="s">
        <v>2</v>
      </c>
      <c r="B38" s="20">
        <v>4.6706620381848003</v>
      </c>
      <c r="C38" s="20">
        <v>7.8465433008365526</v>
      </c>
      <c r="D38" s="20">
        <v>12.81721157652875</v>
      </c>
      <c r="E38" s="20">
        <v>20.559910121207992</v>
      </c>
      <c r="F38" s="20">
        <v>32.623419836880572</v>
      </c>
      <c r="G38" s="20">
        <v>51.444110684045413</v>
      </c>
      <c r="K38" s="20" t="s">
        <v>2</v>
      </c>
      <c r="L38" s="20">
        <v>4.6706620381848003</v>
      </c>
      <c r="M38" s="20">
        <v>7.8465433008365526</v>
      </c>
      <c r="N38" s="20">
        <v>12.816571076127939</v>
      </c>
      <c r="O38" s="20">
        <v>20.55763907632609</v>
      </c>
      <c r="P38" s="20">
        <v>32.618104607925481</v>
      </c>
      <c r="Q38" s="20">
        <v>51.433718899034368</v>
      </c>
      <c r="U38" s="20" t="s">
        <v>2</v>
      </c>
      <c r="V38" s="20">
        <v>4.6706620381848003</v>
      </c>
      <c r="W38" s="20">
        <v>7.8459578266942511</v>
      </c>
      <c r="X38" s="20">
        <v>12.815614760630741</v>
      </c>
      <c r="Y38" s="20">
        <v>20.555496762575729</v>
      </c>
      <c r="Z38" s="20">
        <v>32.614677242814579</v>
      </c>
      <c r="AA38" s="20">
        <v>51.427831873115608</v>
      </c>
      <c r="AE38" s="20" t="s">
        <v>2</v>
      </c>
      <c r="AF38" s="20">
        <v>4.6706620381848003</v>
      </c>
      <c r="AG38" s="20">
        <v>7.8465433008365526</v>
      </c>
      <c r="AH38" s="20">
        <v>12.814766089976271</v>
      </c>
      <c r="AI38" s="20">
        <v>20.554104996929571</v>
      </c>
      <c r="AJ38" s="20">
        <v>32.611431167755683</v>
      </c>
      <c r="AK38" s="20">
        <v>51.424356663086861</v>
      </c>
    </row>
    <row r="39" spans="1:37" x14ac:dyDescent="0.25">
      <c r="A39" s="20" t="s">
        <v>3</v>
      </c>
      <c r="B39" s="20">
        <v>1.496581304402675</v>
      </c>
      <c r="C39" s="20">
        <v>2.7850878426235921</v>
      </c>
      <c r="D39" s="20">
        <v>5.1755353009134586</v>
      </c>
      <c r="E39" s="20">
        <v>9.6175336648896241</v>
      </c>
      <c r="F39" s="20">
        <v>17.847637220097869</v>
      </c>
      <c r="G39" s="20">
        <v>33.120565566939327</v>
      </c>
      <c r="K39" s="20" t="s">
        <v>3</v>
      </c>
      <c r="L39" s="20">
        <v>1.496581304402675</v>
      </c>
      <c r="M39" s="20">
        <v>2.7850878426235921</v>
      </c>
      <c r="N39" s="20">
        <v>5.1825881854616709</v>
      </c>
      <c r="O39" s="20">
        <v>9.6432658887030023</v>
      </c>
      <c r="P39" s="20">
        <v>17.91883868596808</v>
      </c>
      <c r="Q39" s="20">
        <v>33.295679993715403</v>
      </c>
      <c r="U39" s="20" t="s">
        <v>3</v>
      </c>
      <c r="V39" s="20">
        <v>1.496581304402675</v>
      </c>
      <c r="W39" s="20">
        <v>2.788934152824901</v>
      </c>
      <c r="X39" s="20">
        <v>5.1825881854616709</v>
      </c>
      <c r="Y39" s="20">
        <v>9.6559019086269551</v>
      </c>
      <c r="Z39" s="20">
        <v>17.920017653652121</v>
      </c>
      <c r="AA39" s="20">
        <v>33.33799589789664</v>
      </c>
      <c r="AE39" s="20" t="s">
        <v>3</v>
      </c>
      <c r="AF39" s="20">
        <v>1.496581304402675</v>
      </c>
      <c r="AG39" s="20">
        <v>2.7850878426235921</v>
      </c>
      <c r="AH39" s="20">
        <v>5.2025546007810108</v>
      </c>
      <c r="AI39" s="20">
        <v>9.6565372174496993</v>
      </c>
      <c r="AJ39" s="20">
        <v>17.96346783639687</v>
      </c>
      <c r="AK39" s="20">
        <v>33.194320749115313</v>
      </c>
    </row>
    <row r="40" spans="1:37" x14ac:dyDescent="0.25">
      <c r="A40" s="20" t="s">
        <v>18</v>
      </c>
      <c r="B40" s="20">
        <v>44822.290798478491</v>
      </c>
      <c r="C40" s="20">
        <v>109552.31636736709</v>
      </c>
      <c r="D40" s="20">
        <v>200276.88190789521</v>
      </c>
      <c r="E40" s="20">
        <v>309974.99472518498</v>
      </c>
      <c r="F40" s="20">
        <v>431925.59446729708</v>
      </c>
      <c r="G40" s="20">
        <v>567175.4183007403</v>
      </c>
      <c r="K40" s="20" t="s">
        <v>18</v>
      </c>
      <c r="L40" s="20">
        <v>44822.290798478491</v>
      </c>
      <c r="M40" s="20">
        <v>109552.31636736709</v>
      </c>
      <c r="N40" s="20">
        <v>200784.4598864149</v>
      </c>
      <c r="O40" s="20">
        <v>311556.08962227718</v>
      </c>
      <c r="P40" s="20">
        <v>435417.28037359758</v>
      </c>
      <c r="Q40" s="20">
        <v>573335.30138663051</v>
      </c>
      <c r="U40" s="20" t="s">
        <v>18</v>
      </c>
      <c r="V40" s="20">
        <v>44822.290798478491</v>
      </c>
      <c r="W40" s="20">
        <v>109782.1312277027</v>
      </c>
      <c r="X40" s="20">
        <v>200784.45988641481</v>
      </c>
      <c r="Y40" s="20">
        <v>312202.57537766919</v>
      </c>
      <c r="Z40" s="20">
        <v>437086.60022649379</v>
      </c>
      <c r="AA40" s="20">
        <v>576148.78168112785</v>
      </c>
      <c r="AE40" s="20" t="s">
        <v>18</v>
      </c>
      <c r="AF40" s="20">
        <v>44822.290798478491</v>
      </c>
      <c r="AG40" s="20">
        <v>109552.31636736709</v>
      </c>
      <c r="AH40" s="20">
        <v>201231.0119517553</v>
      </c>
      <c r="AI40" s="20">
        <v>313203.63459793961</v>
      </c>
      <c r="AJ40" s="20">
        <v>438816.44436655671</v>
      </c>
      <c r="AK40" s="20">
        <v>576568.08385079657</v>
      </c>
    </row>
    <row r="41" spans="1:37" x14ac:dyDescent="0.25">
      <c r="A41" s="20" t="s">
        <v>19</v>
      </c>
      <c r="B41" s="20">
        <v>59488.971502423847</v>
      </c>
      <c r="C41" s="20">
        <v>144133.30866483829</v>
      </c>
      <c r="D41" s="20">
        <v>262318.01688757609</v>
      </c>
      <c r="E41" s="20">
        <v>404153.8476068881</v>
      </c>
      <c r="F41" s="20">
        <v>563156.36375319364</v>
      </c>
      <c r="G41" s="20">
        <v>739498.77078799787</v>
      </c>
      <c r="K41" s="20" t="s">
        <v>19</v>
      </c>
      <c r="L41" s="20">
        <v>59488.971502423847</v>
      </c>
      <c r="M41" s="20">
        <v>144133.30866483829</v>
      </c>
      <c r="N41" s="20">
        <v>261788.25190305689</v>
      </c>
      <c r="O41" s="20">
        <v>402450.17114855291</v>
      </c>
      <c r="P41" s="20">
        <v>559774.87690757553</v>
      </c>
      <c r="Q41" s="20">
        <v>733529.42308684019</v>
      </c>
      <c r="U41" s="20" t="s">
        <v>19</v>
      </c>
      <c r="V41" s="20">
        <v>59488.971502423847</v>
      </c>
      <c r="W41" s="20">
        <v>143790.09039388961</v>
      </c>
      <c r="X41" s="20">
        <v>261788.25190305701</v>
      </c>
      <c r="Y41" s="20">
        <v>401369.36699506309</v>
      </c>
      <c r="Z41" s="20">
        <v>556476.18581308331</v>
      </c>
      <c r="AA41" s="20">
        <v>726212.99143524247</v>
      </c>
      <c r="AE41" s="20" t="s">
        <v>19</v>
      </c>
      <c r="AF41" s="20">
        <v>59488.971502423847</v>
      </c>
      <c r="AG41" s="20">
        <v>144133.30866483829</v>
      </c>
      <c r="AH41" s="20">
        <v>261161.324576796</v>
      </c>
      <c r="AI41" s="20">
        <v>398754.76364075352</v>
      </c>
      <c r="AJ41" s="20">
        <v>547444.55546443036</v>
      </c>
      <c r="AK41" s="20">
        <v>700150.27534908918</v>
      </c>
    </row>
    <row r="42" spans="1:37" x14ac:dyDescent="0.25">
      <c r="A42" s="20" t="s">
        <v>7</v>
      </c>
      <c r="B42" s="20">
        <v>16.550899999999999</v>
      </c>
      <c r="C42" s="20">
        <v>17.06277</v>
      </c>
      <c r="D42" s="20">
        <v>17.28012</v>
      </c>
      <c r="E42" s="20">
        <v>17.430140000000002</v>
      </c>
      <c r="F42" s="20">
        <v>17.446470000000001</v>
      </c>
      <c r="G42" s="20">
        <v>17.441220000000001</v>
      </c>
      <c r="K42" s="20" t="s">
        <v>7</v>
      </c>
      <c r="L42" s="20">
        <v>16.550899999999999</v>
      </c>
      <c r="M42" s="20">
        <v>16.94595</v>
      </c>
      <c r="N42" s="20">
        <v>17.492909999999998</v>
      </c>
      <c r="O42" s="20">
        <v>18.010770000000001</v>
      </c>
      <c r="P42" s="20">
        <v>18.25863</v>
      </c>
      <c r="Q42" s="20">
        <v>18.38879</v>
      </c>
      <c r="U42" s="20" t="s">
        <v>7</v>
      </c>
      <c r="V42" s="20">
        <v>16.550899999999999</v>
      </c>
      <c r="W42" s="20">
        <v>17.264430000000001</v>
      </c>
      <c r="X42" s="20">
        <v>17.478200000000001</v>
      </c>
      <c r="Y42" s="20">
        <v>18.166740000000001</v>
      </c>
      <c r="Z42" s="20">
        <v>18.697600000000001</v>
      </c>
      <c r="AA42" s="20">
        <v>19.139150000000001</v>
      </c>
      <c r="AE42" s="20" t="s">
        <v>7</v>
      </c>
      <c r="AF42" s="20">
        <v>16.550899999999999</v>
      </c>
      <c r="AG42" s="20">
        <v>16.946950000000001</v>
      </c>
      <c r="AH42" s="20">
        <v>17.74896</v>
      </c>
      <c r="AI42" s="20">
        <v>18.64874</v>
      </c>
      <c r="AJ42" s="20">
        <v>19.60134</v>
      </c>
      <c r="AK42" s="20">
        <v>20.590199999999999</v>
      </c>
    </row>
    <row r="43" spans="1:37" x14ac:dyDescent="0.25">
      <c r="A43" s="20" t="s">
        <v>52</v>
      </c>
      <c r="B43" s="20">
        <v>26.961481819999999</v>
      </c>
      <c r="C43" s="20">
        <v>27.411825046000001</v>
      </c>
      <c r="D43" s="20">
        <v>27.603049576</v>
      </c>
      <c r="E43" s="20">
        <v>27.735037171999998</v>
      </c>
      <c r="F43" s="20">
        <v>27.749404305999999</v>
      </c>
      <c r="G43" s="20">
        <v>27.744785356000001</v>
      </c>
      <c r="K43" s="20" t="s">
        <v>52</v>
      </c>
      <c r="L43" s="20">
        <v>26.961481819999999</v>
      </c>
      <c r="M43" s="20">
        <v>27.309046810000002</v>
      </c>
      <c r="N43" s="20">
        <v>27.790262217999999</v>
      </c>
      <c r="O43" s="20">
        <v>28.245875445999999</v>
      </c>
      <c r="P43" s="20">
        <v>28.463942673999998</v>
      </c>
      <c r="Q43" s="20">
        <v>28.578457442000001</v>
      </c>
      <c r="U43" s="20" t="s">
        <v>52</v>
      </c>
      <c r="V43" s="20">
        <v>26.961481819999999</v>
      </c>
      <c r="W43" s="20">
        <v>27.589245514000002</v>
      </c>
      <c r="X43" s="20">
        <v>27.777320360000001</v>
      </c>
      <c r="Y43" s="20">
        <v>28.383097851999999</v>
      </c>
      <c r="Z43" s="20">
        <v>28.850148480000001</v>
      </c>
      <c r="AA43" s="20">
        <v>29.238624170000001</v>
      </c>
      <c r="AE43" s="20" t="s">
        <v>52</v>
      </c>
      <c r="AF43" s="20">
        <v>26.961481819999999</v>
      </c>
      <c r="AG43" s="20">
        <v>27.309926610000002</v>
      </c>
      <c r="AH43" s="20">
        <v>28.015535008000001</v>
      </c>
      <c r="AI43" s="20">
        <v>28.807161451999999</v>
      </c>
      <c r="AJ43" s="20">
        <v>29.645258932000001</v>
      </c>
      <c r="AK43" s="20">
        <v>30.51525796</v>
      </c>
    </row>
    <row r="44" spans="1:37" x14ac:dyDescent="0.25">
      <c r="A44" s="20" t="s">
        <v>4</v>
      </c>
      <c r="B44" s="20">
        <v>0.88692043671715748</v>
      </c>
      <c r="C44" s="20">
        <v>0.90483741803595918</v>
      </c>
      <c r="D44" s="20">
        <v>0.91393118527122841</v>
      </c>
      <c r="E44" s="20">
        <v>0.92311634638663587</v>
      </c>
      <c r="F44" s="20">
        <v>0.92311634638663587</v>
      </c>
      <c r="G44" s="20">
        <v>0.92311634638663587</v>
      </c>
      <c r="K44" s="20" t="s">
        <v>4</v>
      </c>
      <c r="L44" s="20">
        <v>0.88692043671715748</v>
      </c>
      <c r="M44" s="20">
        <v>0.90483741803595918</v>
      </c>
      <c r="N44" s="20">
        <v>0.92311634638663587</v>
      </c>
      <c r="O44" s="20">
        <v>0.94176453358424828</v>
      </c>
      <c r="P44" s="20">
        <v>0.95122942450071424</v>
      </c>
      <c r="Q44" s="20">
        <v>0.96078943915232329</v>
      </c>
      <c r="U44" s="20" t="s">
        <v>4</v>
      </c>
      <c r="V44" s="20">
        <v>0.88692043671715748</v>
      </c>
      <c r="W44" s="20">
        <v>0.91393118527122841</v>
      </c>
      <c r="X44" s="20">
        <v>0.92311634638663587</v>
      </c>
      <c r="Y44" s="20">
        <v>0.95122942450071424</v>
      </c>
      <c r="Z44" s="20">
        <v>0.96078943915232329</v>
      </c>
      <c r="AA44" s="20">
        <v>0.98019867330675492</v>
      </c>
      <c r="AE44" s="20" t="s">
        <v>4</v>
      </c>
      <c r="AF44" s="20">
        <v>0.88692043671715748</v>
      </c>
      <c r="AG44" s="20">
        <v>0.90483741803595918</v>
      </c>
      <c r="AH44" s="20">
        <v>0.94176453358424828</v>
      </c>
      <c r="AI44" s="20">
        <v>0.96078943915232329</v>
      </c>
      <c r="AJ44" s="20">
        <v>0.99004983374916744</v>
      </c>
      <c r="AK44" s="20">
        <v>1</v>
      </c>
    </row>
    <row r="45" spans="1:37" x14ac:dyDescent="0.25">
      <c r="A45" s="20" t="s">
        <v>5</v>
      </c>
      <c r="B45" s="20">
        <v>1</v>
      </c>
      <c r="C45" s="20">
        <v>1</v>
      </c>
      <c r="D45" s="20">
        <v>1</v>
      </c>
      <c r="E45" s="20">
        <v>1</v>
      </c>
      <c r="F45" s="20">
        <v>1</v>
      </c>
      <c r="G45" s="20">
        <v>1</v>
      </c>
      <c r="K45" s="20" t="s">
        <v>5</v>
      </c>
      <c r="L45" s="20">
        <v>1</v>
      </c>
      <c r="M45" s="20">
        <v>1</v>
      </c>
      <c r="N45" s="20">
        <v>1</v>
      </c>
      <c r="O45" s="20">
        <v>1</v>
      </c>
      <c r="P45" s="20">
        <v>1</v>
      </c>
      <c r="Q45" s="20">
        <v>1</v>
      </c>
      <c r="U45" s="20" t="s">
        <v>5</v>
      </c>
      <c r="V45" s="20">
        <v>1</v>
      </c>
      <c r="W45" s="20">
        <v>1</v>
      </c>
      <c r="X45" s="20">
        <v>1</v>
      </c>
      <c r="Y45" s="20">
        <v>1</v>
      </c>
      <c r="Z45" s="20">
        <v>1</v>
      </c>
      <c r="AA45" s="20">
        <v>1</v>
      </c>
      <c r="AE45" s="20" t="s">
        <v>5</v>
      </c>
      <c r="AF45" s="20">
        <v>1</v>
      </c>
      <c r="AG45" s="20">
        <v>1</v>
      </c>
      <c r="AH45" s="20">
        <v>1</v>
      </c>
      <c r="AI45" s="20">
        <v>1</v>
      </c>
      <c r="AJ45" s="20">
        <v>1</v>
      </c>
      <c r="AK45" s="20">
        <v>1</v>
      </c>
    </row>
    <row r="46" spans="1:37" x14ac:dyDescent="0.25">
      <c r="A46" s="20" t="s">
        <v>20</v>
      </c>
      <c r="B46" s="20">
        <v>1</v>
      </c>
      <c r="C46" s="20">
        <v>0.97451937357749729</v>
      </c>
      <c r="D46" s="20">
        <v>0.96966048781639314</v>
      </c>
      <c r="E46" s="20">
        <v>0.96439833420871968</v>
      </c>
      <c r="F46" s="20">
        <v>0.96439833420871968</v>
      </c>
      <c r="G46" s="20">
        <v>0.96439833420871968</v>
      </c>
      <c r="K46" s="20" t="s">
        <v>20</v>
      </c>
      <c r="L46" s="20">
        <v>1</v>
      </c>
      <c r="M46" s="20">
        <v>0.97451937357749729</v>
      </c>
      <c r="N46" s="20">
        <v>0.96439833420871968</v>
      </c>
      <c r="O46" s="20">
        <v>0.95269766517752652</v>
      </c>
      <c r="P46" s="20">
        <v>0.94627095271536965</v>
      </c>
      <c r="Q46" s="20">
        <v>0.93947441413050536</v>
      </c>
      <c r="U46" s="20" t="s">
        <v>20</v>
      </c>
      <c r="V46" s="20">
        <v>1</v>
      </c>
      <c r="W46" s="20">
        <v>0.96966048781639314</v>
      </c>
      <c r="X46" s="20">
        <v>0.96439833420871968</v>
      </c>
      <c r="Y46" s="20">
        <v>0.94627095271536965</v>
      </c>
      <c r="Z46" s="20">
        <v>0.93231395090361513</v>
      </c>
      <c r="AA46" s="20">
        <v>0.91693862656807257</v>
      </c>
      <c r="AE46" s="20" t="s">
        <v>20</v>
      </c>
      <c r="AF46" s="20">
        <v>1</v>
      </c>
      <c r="AG46" s="20">
        <v>0.97451937357749729</v>
      </c>
      <c r="AH46" s="20">
        <v>0.9587427485556127</v>
      </c>
      <c r="AI46" s="20">
        <v>0.93231395090361513</v>
      </c>
      <c r="AJ46" s="20">
        <v>0.90022563327805616</v>
      </c>
      <c r="AK46" s="20">
        <v>0.85313575176011658</v>
      </c>
    </row>
    <row r="47" spans="1:37" x14ac:dyDescent="0.25">
      <c r="A47" s="20" t="s">
        <v>21</v>
      </c>
      <c r="B47" s="20">
        <v>1</v>
      </c>
      <c r="C47" s="20">
        <v>0.99985329417805535</v>
      </c>
      <c r="D47" s="20">
        <v>0.99933476497980267</v>
      </c>
      <c r="E47" s="20">
        <v>0.99844694181596516</v>
      </c>
      <c r="F47" s="20">
        <v>0.99844694181596516</v>
      </c>
      <c r="G47" s="20">
        <v>0.99844694181596516</v>
      </c>
      <c r="K47" s="20" t="s">
        <v>21</v>
      </c>
      <c r="L47" s="20">
        <v>1</v>
      </c>
      <c r="M47" s="20">
        <v>0.99985329417805535</v>
      </c>
      <c r="N47" s="20">
        <v>0.99844694181596516</v>
      </c>
      <c r="O47" s="20">
        <v>0.99556088418081246</v>
      </c>
      <c r="P47" s="20">
        <v>0.99356517912022047</v>
      </c>
      <c r="Q47" s="20">
        <v>0.99120776832621305</v>
      </c>
      <c r="U47" s="20" t="s">
        <v>21</v>
      </c>
      <c r="V47" s="20">
        <v>1</v>
      </c>
      <c r="W47" s="20">
        <v>0.99933476497980267</v>
      </c>
      <c r="X47" s="20">
        <v>0.99844694181596516</v>
      </c>
      <c r="Y47" s="20">
        <v>0.99356517912022047</v>
      </c>
      <c r="Z47" s="20">
        <v>0.98848865179879042</v>
      </c>
      <c r="AA47" s="20">
        <v>0.98197288977586894</v>
      </c>
      <c r="AE47" s="20" t="s">
        <v>21</v>
      </c>
      <c r="AF47" s="20">
        <v>1</v>
      </c>
      <c r="AG47" s="20">
        <v>0.99985329417805535</v>
      </c>
      <c r="AH47" s="20">
        <v>0.99718729527581951</v>
      </c>
      <c r="AI47" s="20">
        <v>0.98848865179879042</v>
      </c>
      <c r="AJ47" s="20">
        <v>0.97405330480158026</v>
      </c>
      <c r="AK47" s="20">
        <v>0.94834437421114004</v>
      </c>
    </row>
    <row r="48" spans="1:37" x14ac:dyDescent="0.25">
      <c r="A48" s="20" t="s">
        <v>10</v>
      </c>
      <c r="B48" s="20">
        <v>0.95773100845373871</v>
      </c>
      <c r="C48" s="20">
        <v>0.14346970095597761</v>
      </c>
      <c r="D48" s="20">
        <v>1.8124828920905899E-2</v>
      </c>
      <c r="E48" s="20">
        <v>1.938537569905349E-3</v>
      </c>
      <c r="F48" s="20">
        <v>1.8666417146220271E-4</v>
      </c>
      <c r="G48" s="20">
        <v>1.6938458859315879E-5</v>
      </c>
      <c r="K48" s="20" t="s">
        <v>10</v>
      </c>
      <c r="L48" s="20">
        <v>0.95773100845373871</v>
      </c>
      <c r="M48" s="20">
        <v>0.14346970095597761</v>
      </c>
      <c r="N48" s="20">
        <v>1.817076414786295E-2</v>
      </c>
      <c r="O48" s="20">
        <v>1.9484255025184821E-3</v>
      </c>
      <c r="P48" s="20">
        <v>1.8817316436527351E-4</v>
      </c>
      <c r="Q48" s="20">
        <v>1.7122421215338189E-5</v>
      </c>
      <c r="U48" s="20" t="s">
        <v>10</v>
      </c>
      <c r="V48" s="20">
        <v>0.95773100845373871</v>
      </c>
      <c r="W48" s="20">
        <v>0.14377066647072781</v>
      </c>
      <c r="X48" s="20">
        <v>1.817076414786294E-2</v>
      </c>
      <c r="Y48" s="20">
        <v>1.9524685283965771E-3</v>
      </c>
      <c r="Z48" s="20">
        <v>1.8889459002570611E-4</v>
      </c>
      <c r="AA48" s="20">
        <v>1.7206444638572249E-5</v>
      </c>
      <c r="AE48" s="20" t="s">
        <v>10</v>
      </c>
      <c r="AF48" s="20">
        <v>0.95773100845373871</v>
      </c>
      <c r="AG48" s="20">
        <v>0.14346970095597761</v>
      </c>
      <c r="AH48" s="20">
        <v>1.8211176599422351E-2</v>
      </c>
      <c r="AI48" s="20">
        <v>1.9587290040517652E-3</v>
      </c>
      <c r="AJ48" s="20">
        <v>1.8964217231140471E-4</v>
      </c>
      <c r="AK48" s="20">
        <v>1.721896692413222E-5</v>
      </c>
    </row>
    <row r="49" spans="1:37" x14ac:dyDescent="0.25">
      <c r="A49" s="20" t="s">
        <v>12</v>
      </c>
      <c r="B49" s="20">
        <v>0.87052902719703784</v>
      </c>
      <c r="C49" s="20">
        <v>1.7285568878290709</v>
      </c>
      <c r="D49" s="20">
        <v>2.578219955565777</v>
      </c>
      <c r="E49" s="20">
        <v>3.2554504325367222</v>
      </c>
      <c r="F49" s="20">
        <v>3.7176276527192331</v>
      </c>
      <c r="G49" s="20">
        <v>4.0008003045366198</v>
      </c>
      <c r="K49" s="20" t="s">
        <v>12</v>
      </c>
      <c r="L49" s="20">
        <v>0.87052902719703784</v>
      </c>
      <c r="M49" s="20">
        <v>1.7285568878290709</v>
      </c>
      <c r="N49" s="20">
        <v>2.5730131052279561</v>
      </c>
      <c r="O49" s="20">
        <v>3.241727355802376</v>
      </c>
      <c r="P49" s="20">
        <v>3.6953050620256009</v>
      </c>
      <c r="Q49" s="20">
        <v>3.9685052297588381</v>
      </c>
      <c r="U49" s="20" t="s">
        <v>12</v>
      </c>
      <c r="V49" s="20">
        <v>0.87052902719703784</v>
      </c>
      <c r="W49" s="20">
        <v>1.7244407517896441</v>
      </c>
      <c r="X49" s="20">
        <v>2.573013105227957</v>
      </c>
      <c r="Y49" s="20">
        <v>3.2330215019058972</v>
      </c>
      <c r="Z49" s="20">
        <v>3.6735290402668599</v>
      </c>
      <c r="AA49" s="20">
        <v>3.9289222268707569</v>
      </c>
      <c r="AE49" s="20" t="s">
        <v>12</v>
      </c>
      <c r="AF49" s="20">
        <v>0.87052902719703784</v>
      </c>
      <c r="AG49" s="20">
        <v>1.7285568878290709</v>
      </c>
      <c r="AH49" s="20">
        <v>2.5668512846925871</v>
      </c>
      <c r="AI49" s="20">
        <v>3.211960928881294</v>
      </c>
      <c r="AJ49" s="20">
        <v>3.6139075196832708</v>
      </c>
      <c r="AK49" s="20">
        <v>3.7879189871447152</v>
      </c>
    </row>
    <row r="50" spans="1:37" x14ac:dyDescent="0.25">
      <c r="A50" s="20" t="s">
        <v>11</v>
      </c>
      <c r="B50" s="20">
        <v>86067.515616775694</v>
      </c>
      <c r="C50" s="20">
        <v>1542603.3204550419</v>
      </c>
      <c r="D50" s="20">
        <v>22237990.952950481</v>
      </c>
      <c r="E50" s="20">
        <v>298611449.5199607</v>
      </c>
      <c r="F50" s="20">
        <v>3862575625.0923009</v>
      </c>
      <c r="G50" s="20">
        <v>48687715880.46051</v>
      </c>
      <c r="K50" s="20" t="s">
        <v>11</v>
      </c>
      <c r="L50" s="20">
        <v>86067.515616775694</v>
      </c>
      <c r="M50" s="20">
        <v>1542603.3204550419</v>
      </c>
      <c r="N50" s="20">
        <v>22090975.170387879</v>
      </c>
      <c r="O50" s="20">
        <v>294242813.87584013</v>
      </c>
      <c r="P50" s="20">
        <v>3775093640.3392491</v>
      </c>
      <c r="Q50" s="20">
        <v>47177722559.414871</v>
      </c>
      <c r="U50" s="20" t="s">
        <v>11</v>
      </c>
      <c r="V50" s="20">
        <v>86067.515616775694</v>
      </c>
      <c r="W50" s="20">
        <v>1533239.440369217</v>
      </c>
      <c r="X50" s="20">
        <v>22089326.840130251</v>
      </c>
      <c r="Y50" s="20">
        <v>291880922.85886753</v>
      </c>
      <c r="Z50" s="20">
        <v>3718790419.2018719</v>
      </c>
      <c r="AA50" s="20">
        <v>45984031657.044228</v>
      </c>
      <c r="AE50" s="20" t="s">
        <v>11</v>
      </c>
      <c r="AF50" s="20">
        <v>86067.515616775694</v>
      </c>
      <c r="AG50" s="20">
        <v>1542603.3204550419</v>
      </c>
      <c r="AH50" s="20">
        <v>21887647.44990845</v>
      </c>
      <c r="AI50" s="20">
        <v>287539217.55516177</v>
      </c>
      <c r="AJ50" s="20">
        <v>3582213339.032783</v>
      </c>
      <c r="AK50" s="20">
        <v>42961212941.150284</v>
      </c>
    </row>
    <row r="51" spans="1:37" x14ac:dyDescent="0.25">
      <c r="A51" s="20" t="s">
        <v>13</v>
      </c>
      <c r="B51" s="20">
        <v>191288.3277048358</v>
      </c>
      <c r="C51" s="20">
        <v>481347.00221247459</v>
      </c>
      <c r="D51" s="20">
        <v>1092177.8656161481</v>
      </c>
      <c r="E51" s="20">
        <v>2308457.5986547181</v>
      </c>
      <c r="F51" s="20">
        <v>4672414.87920452</v>
      </c>
      <c r="G51" s="20">
        <v>9215794.0305215884</v>
      </c>
      <c r="K51" s="20" t="s">
        <v>13</v>
      </c>
      <c r="L51" s="20">
        <v>191288.3277048358</v>
      </c>
      <c r="M51" s="20">
        <v>481347.00221247459</v>
      </c>
      <c r="N51" s="20">
        <v>1091393.536126086</v>
      </c>
      <c r="O51" s="20">
        <v>2302109.2084222678</v>
      </c>
      <c r="P51" s="20">
        <v>4649792.5319442116</v>
      </c>
      <c r="Q51" s="20">
        <v>9148537.5829078555</v>
      </c>
      <c r="U51" s="20" t="s">
        <v>13</v>
      </c>
      <c r="V51" s="20">
        <v>191288.3277048358</v>
      </c>
      <c r="W51" s="20">
        <v>481236.81897132128</v>
      </c>
      <c r="X51" s="20">
        <v>1091312.1011973559</v>
      </c>
      <c r="Y51" s="20">
        <v>2297537.4609295819</v>
      </c>
      <c r="Z51" s="20">
        <v>4625564.8590701371</v>
      </c>
      <c r="AA51" s="20">
        <v>9062600.5824541505</v>
      </c>
      <c r="AE51" s="20" t="s">
        <v>13</v>
      </c>
      <c r="AF51" s="20">
        <v>191288.3277048358</v>
      </c>
      <c r="AG51" s="20">
        <v>481347.00221247459</v>
      </c>
      <c r="AH51" s="20">
        <v>1090540.0652975889</v>
      </c>
      <c r="AI51" s="20">
        <v>2285657.7562375469</v>
      </c>
      <c r="AJ51" s="20">
        <v>4558144.7231713179</v>
      </c>
      <c r="AK51" s="20">
        <v>8750549.5089219157</v>
      </c>
    </row>
    <row r="52" spans="1:37" x14ac:dyDescent="0.25">
      <c r="A52" s="20" t="s">
        <v>22</v>
      </c>
      <c r="B52" s="20">
        <v>18427.262540756401</v>
      </c>
      <c r="C52" s="20">
        <v>80546.488266546294</v>
      </c>
      <c r="D52" s="20">
        <v>150684.93785123789</v>
      </c>
      <c r="E52" s="20">
        <v>236205.4723201085</v>
      </c>
      <c r="F52" s="20">
        <v>332729.7382518439</v>
      </c>
      <c r="G52" s="20">
        <v>439645.03537945339</v>
      </c>
      <c r="K52" s="20" t="s">
        <v>22</v>
      </c>
      <c r="L52" s="20">
        <v>18427.262540756401</v>
      </c>
      <c r="M52" s="20">
        <v>80546.488266546294</v>
      </c>
      <c r="N52" s="20">
        <v>150254.5299503261</v>
      </c>
      <c r="O52" s="20">
        <v>234544.07102797521</v>
      </c>
      <c r="P52" s="20">
        <v>329132.05862475379</v>
      </c>
      <c r="Q52" s="20">
        <v>432951.18697809591</v>
      </c>
      <c r="U52" s="20" t="s">
        <v>22</v>
      </c>
      <c r="V52" s="20">
        <v>18427.262540756401</v>
      </c>
      <c r="W52" s="20">
        <v>80319.007159846617</v>
      </c>
      <c r="X52" s="20">
        <v>150254.5299503261</v>
      </c>
      <c r="Y52" s="20">
        <v>233452.1929852516</v>
      </c>
      <c r="Z52" s="20">
        <v>325521.0425169614</v>
      </c>
      <c r="AA52" s="20">
        <v>424643.30963540048</v>
      </c>
      <c r="AE52" s="20" t="s">
        <v>22</v>
      </c>
      <c r="AF52" s="20">
        <v>18427.262540756401</v>
      </c>
      <c r="AG52" s="20">
        <v>80546.488266546294</v>
      </c>
      <c r="AH52" s="20">
        <v>149726.68052874101</v>
      </c>
      <c r="AI52" s="20">
        <v>230746.74814314561</v>
      </c>
      <c r="AJ52" s="20">
        <v>315571.28766178439</v>
      </c>
      <c r="AK52" s="20">
        <v>395370.47270567092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59999389629810485"/>
  </sheetPr>
  <dimension ref="A1:AK5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20"/>
  </cols>
  <sheetData>
    <row r="1" spans="1:37" x14ac:dyDescent="0.25">
      <c r="A1" s="20" t="s">
        <v>49</v>
      </c>
      <c r="B1" s="20" t="s">
        <v>54</v>
      </c>
    </row>
    <row r="2" spans="1:37" x14ac:dyDescent="0.25">
      <c r="A2" s="20" t="s">
        <v>33</v>
      </c>
      <c r="B2" s="20">
        <v>0.27500000000000002</v>
      </c>
    </row>
    <row r="3" spans="1:37" x14ac:dyDescent="0.25">
      <c r="A3" s="20" t="s">
        <v>14</v>
      </c>
      <c r="B3" s="20">
        <v>0.75</v>
      </c>
    </row>
    <row r="4" spans="1:37" x14ac:dyDescent="0.25">
      <c r="A4" s="20" t="s">
        <v>23</v>
      </c>
      <c r="B4" s="20">
        <v>0.4</v>
      </c>
    </row>
    <row r="5" spans="1:37" x14ac:dyDescent="0.25">
      <c r="A5" s="20" t="s">
        <v>16</v>
      </c>
      <c r="B5" s="20">
        <v>0.1893549842288946</v>
      </c>
    </row>
    <row r="6" spans="1:37" x14ac:dyDescent="0.25">
      <c r="A6" s="20" t="s">
        <v>17</v>
      </c>
      <c r="B6" s="20">
        <v>0.2556026411779832</v>
      </c>
    </row>
    <row r="7" spans="1:37" x14ac:dyDescent="0.25">
      <c r="A7" s="20" t="s">
        <v>15</v>
      </c>
      <c r="B7" s="20">
        <v>2000</v>
      </c>
      <c r="C7" s="20">
        <v>2020</v>
      </c>
      <c r="D7" s="20">
        <v>2040</v>
      </c>
      <c r="E7" s="20">
        <v>2060</v>
      </c>
      <c r="F7" s="20">
        <v>2080</v>
      </c>
      <c r="G7" s="20">
        <v>2100</v>
      </c>
      <c r="K7" s="20" t="s">
        <v>15</v>
      </c>
      <c r="L7" s="20">
        <v>2000</v>
      </c>
      <c r="M7" s="20">
        <v>2020</v>
      </c>
      <c r="N7" s="20">
        <v>2040</v>
      </c>
      <c r="O7" s="20">
        <v>2060</v>
      </c>
      <c r="P7" s="20">
        <v>2080</v>
      </c>
      <c r="Q7" s="20">
        <v>2100</v>
      </c>
      <c r="U7" s="20" t="s">
        <v>15</v>
      </c>
      <c r="V7" s="20">
        <v>2000</v>
      </c>
      <c r="W7" s="20">
        <v>2020</v>
      </c>
      <c r="X7" s="20">
        <v>2040</v>
      </c>
      <c r="Y7" s="20">
        <v>2060</v>
      </c>
      <c r="Z7" s="20">
        <v>2080</v>
      </c>
      <c r="AA7" s="20">
        <v>2100</v>
      </c>
      <c r="AE7" s="20" t="s">
        <v>15</v>
      </c>
      <c r="AF7" s="20">
        <v>2000</v>
      </c>
      <c r="AG7" s="20">
        <v>2020</v>
      </c>
      <c r="AH7" s="20">
        <v>2040</v>
      </c>
      <c r="AI7" s="20">
        <v>2060</v>
      </c>
      <c r="AJ7" s="20">
        <v>2080</v>
      </c>
      <c r="AK7" s="20">
        <v>2100</v>
      </c>
    </row>
    <row r="8" spans="1:37" x14ac:dyDescent="0.25">
      <c r="A8" s="20" t="s">
        <v>11</v>
      </c>
      <c r="B8" s="20">
        <v>10983.690880356169</v>
      </c>
      <c r="C8" s="20">
        <v>191214.8862626066</v>
      </c>
      <c r="D8" s="20">
        <v>2774774.9619026328</v>
      </c>
      <c r="E8" s="20">
        <v>37524572.431925163</v>
      </c>
      <c r="F8" s="20">
        <v>485531791.41091222</v>
      </c>
      <c r="G8" s="20">
        <v>6121184719.7473469</v>
      </c>
      <c r="K8" s="20" t="s">
        <v>11</v>
      </c>
      <c r="L8" s="20">
        <v>10983.690880356169</v>
      </c>
      <c r="M8" s="20">
        <v>191214.8862626066</v>
      </c>
      <c r="N8" s="20">
        <v>2774774.9619026328</v>
      </c>
      <c r="O8" s="20">
        <v>37524572.431925163</v>
      </c>
      <c r="P8" s="20">
        <v>485531791.41091222</v>
      </c>
      <c r="Q8" s="20">
        <v>6121184719.7473469</v>
      </c>
      <c r="U8" s="20" t="s">
        <v>11</v>
      </c>
      <c r="V8" s="20">
        <v>10983.690880356169</v>
      </c>
      <c r="W8" s="20">
        <v>191214.8862626066</v>
      </c>
      <c r="X8" s="20">
        <v>2774774.9619026328</v>
      </c>
      <c r="Y8" s="20">
        <v>37524572.431925163</v>
      </c>
      <c r="Z8" s="20">
        <v>485531791.41091222</v>
      </c>
      <c r="AA8" s="20">
        <v>6121184719.7473469</v>
      </c>
      <c r="AE8" s="20" t="s">
        <v>11</v>
      </c>
      <c r="AF8" s="20">
        <v>10983.690880356169</v>
      </c>
      <c r="AG8" s="20">
        <v>191214.8862626066</v>
      </c>
      <c r="AH8" s="20">
        <v>2774774.9619026328</v>
      </c>
      <c r="AI8" s="20">
        <v>37524572.431925163</v>
      </c>
      <c r="AJ8" s="20">
        <v>485531791.41091222</v>
      </c>
      <c r="AK8" s="20">
        <v>6121184719.7473469</v>
      </c>
    </row>
    <row r="9" spans="1:37" x14ac:dyDescent="0.25">
      <c r="A9" s="20" t="s">
        <v>13</v>
      </c>
      <c r="B9" s="20">
        <v>24411.670831598469</v>
      </c>
      <c r="C9" s="20">
        <v>61386.984600821459</v>
      </c>
      <c r="D9" s="20">
        <v>139389.90587730831</v>
      </c>
      <c r="E9" s="20">
        <v>294963.49241408228</v>
      </c>
      <c r="F9" s="20">
        <v>597199.09712823061</v>
      </c>
      <c r="G9" s="20">
        <v>1178110.1907765339</v>
      </c>
      <c r="K9" s="20" t="s">
        <v>13</v>
      </c>
      <c r="L9" s="20">
        <v>24411.670831598469</v>
      </c>
      <c r="M9" s="20">
        <v>61386.984600821459</v>
      </c>
      <c r="N9" s="20">
        <v>139389.90587730831</v>
      </c>
      <c r="O9" s="20">
        <v>294963.49241408228</v>
      </c>
      <c r="P9" s="20">
        <v>597199.09712823061</v>
      </c>
      <c r="Q9" s="20">
        <v>1178110.1907765339</v>
      </c>
      <c r="U9" s="20" t="s">
        <v>13</v>
      </c>
      <c r="V9" s="20">
        <v>24411.670831598469</v>
      </c>
      <c r="W9" s="20">
        <v>61386.984600821459</v>
      </c>
      <c r="X9" s="20">
        <v>139389.90587730831</v>
      </c>
      <c r="Y9" s="20">
        <v>294963.49241408228</v>
      </c>
      <c r="Z9" s="20">
        <v>597199.09712823061</v>
      </c>
      <c r="AA9" s="20">
        <v>1178110.1907765339</v>
      </c>
      <c r="AE9" s="20" t="s">
        <v>13</v>
      </c>
      <c r="AF9" s="20">
        <v>24411.670831598469</v>
      </c>
      <c r="AG9" s="20">
        <v>61386.984600821459</v>
      </c>
      <c r="AH9" s="20">
        <v>139389.90587730831</v>
      </c>
      <c r="AI9" s="20">
        <v>294963.49241408228</v>
      </c>
      <c r="AJ9" s="20">
        <v>597199.09712823061</v>
      </c>
      <c r="AK9" s="20">
        <v>1178110.1907765339</v>
      </c>
    </row>
    <row r="10" spans="1:37" x14ac:dyDescent="0.25">
      <c r="A10" s="20" t="s">
        <v>51</v>
      </c>
      <c r="B10" s="20">
        <v>19171.410103999999</v>
      </c>
      <c r="C10" s="20">
        <v>79862.65985320817</v>
      </c>
      <c r="D10" s="20">
        <v>245444.7292271484</v>
      </c>
      <c r="E10" s="20">
        <v>619791.55275378539</v>
      </c>
      <c r="F10" s="20">
        <v>1386480.303951829</v>
      </c>
      <c r="G10" s="20">
        <v>2890243.874477176</v>
      </c>
      <c r="K10" s="20" t="s">
        <v>51</v>
      </c>
      <c r="L10" s="20">
        <v>19171.410103999999</v>
      </c>
      <c r="M10" s="20">
        <v>79862.65985320817</v>
      </c>
      <c r="N10" s="20">
        <v>245444.7292271484</v>
      </c>
      <c r="O10" s="20">
        <v>619791.55275378539</v>
      </c>
      <c r="P10" s="20">
        <v>1386480.303951829</v>
      </c>
      <c r="Q10" s="20">
        <v>2890243.874477176</v>
      </c>
      <c r="U10" s="20" t="s">
        <v>51</v>
      </c>
      <c r="V10" s="20">
        <v>19171.410103999999</v>
      </c>
      <c r="W10" s="20">
        <v>79862.65985320817</v>
      </c>
      <c r="X10" s="20">
        <v>245444.7292271484</v>
      </c>
      <c r="Y10" s="20">
        <v>619791.55275378539</v>
      </c>
      <c r="Z10" s="20">
        <v>1386480.303951829</v>
      </c>
      <c r="AA10" s="20">
        <v>2890243.874477176</v>
      </c>
      <c r="AE10" s="20" t="s">
        <v>51</v>
      </c>
      <c r="AF10" s="20">
        <v>19171.410103999999</v>
      </c>
      <c r="AG10" s="20">
        <v>79862.65985320817</v>
      </c>
      <c r="AH10" s="20">
        <v>245444.7292271484</v>
      </c>
      <c r="AI10" s="20">
        <v>619791.55275378539</v>
      </c>
      <c r="AJ10" s="20">
        <v>1386480.303951829</v>
      </c>
      <c r="AK10" s="20">
        <v>2890243.874477176</v>
      </c>
    </row>
    <row r="11" spans="1:37" x14ac:dyDescent="0.25">
      <c r="A11" s="20" t="s">
        <v>0</v>
      </c>
      <c r="B11" s="20">
        <v>0.23874911168999999</v>
      </c>
      <c r="C11" s="20">
        <v>0.26514049931399603</v>
      </c>
      <c r="D11" s="20">
        <v>0.26588057151300443</v>
      </c>
      <c r="E11" s="20">
        <v>0.24847291520447939</v>
      </c>
      <c r="F11" s="20">
        <v>0.2221700132517532</v>
      </c>
      <c r="G11" s="20">
        <v>0.1935564824648765</v>
      </c>
      <c r="K11" s="20" t="s">
        <v>0</v>
      </c>
      <c r="L11" s="20">
        <v>0.23874911168999999</v>
      </c>
      <c r="M11" s="20">
        <v>0.26514049931399603</v>
      </c>
      <c r="N11" s="20">
        <v>0.26588057151300443</v>
      </c>
      <c r="O11" s="20">
        <v>0.24847291520447939</v>
      </c>
      <c r="P11" s="20">
        <v>0.2221700132517532</v>
      </c>
      <c r="Q11" s="20">
        <v>0.1935564824648765</v>
      </c>
      <c r="U11" s="20" t="s">
        <v>0</v>
      </c>
      <c r="V11" s="20">
        <v>0.23874911168999999</v>
      </c>
      <c r="W11" s="20">
        <v>0.26514049931399603</v>
      </c>
      <c r="X11" s="20">
        <v>0.26588057151300443</v>
      </c>
      <c r="Y11" s="20">
        <v>0.24847291520447939</v>
      </c>
      <c r="Z11" s="20">
        <v>0.2221700132517532</v>
      </c>
      <c r="AA11" s="20">
        <v>0.1935564824648765</v>
      </c>
      <c r="AE11" s="20" t="s">
        <v>0</v>
      </c>
      <c r="AF11" s="20">
        <v>0.23874911168999999</v>
      </c>
      <c r="AG11" s="20">
        <v>0.26514049931399603</v>
      </c>
      <c r="AH11" s="20">
        <v>0.26588057151300443</v>
      </c>
      <c r="AI11" s="20">
        <v>0.24847291520447939</v>
      </c>
      <c r="AJ11" s="20">
        <v>0.2221700132517532</v>
      </c>
      <c r="AK11" s="20">
        <v>0.1935564824648765</v>
      </c>
    </row>
    <row r="12" spans="1:37" x14ac:dyDescent="0.25">
      <c r="A12" s="20" t="s">
        <v>1</v>
      </c>
      <c r="B12" s="20">
        <v>0.35730745699799998</v>
      </c>
      <c r="C12" s="20">
        <v>0.73636544419780237</v>
      </c>
      <c r="D12" s="20">
        <v>1.370316692992275</v>
      </c>
      <c r="E12" s="20">
        <v>2.3764594843888571</v>
      </c>
      <c r="F12" s="20">
        <v>3.9432454838370941</v>
      </c>
      <c r="G12" s="20">
        <v>6.3751896562615151</v>
      </c>
      <c r="K12" s="20" t="s">
        <v>1</v>
      </c>
      <c r="L12" s="20">
        <v>0.35730745699799998</v>
      </c>
      <c r="M12" s="20">
        <v>0.73636544419780237</v>
      </c>
      <c r="N12" s="20">
        <v>1.370316692992275</v>
      </c>
      <c r="O12" s="20">
        <v>2.3764594843888571</v>
      </c>
      <c r="P12" s="20">
        <v>3.9432454838370941</v>
      </c>
      <c r="Q12" s="20">
        <v>6.3751896562615151</v>
      </c>
      <c r="U12" s="20" t="s">
        <v>1</v>
      </c>
      <c r="V12" s="20">
        <v>0.35730745699799998</v>
      </c>
      <c r="W12" s="20">
        <v>0.73636544419780237</v>
      </c>
      <c r="X12" s="20">
        <v>1.370316692992275</v>
      </c>
      <c r="Y12" s="20">
        <v>2.3764594843888571</v>
      </c>
      <c r="Z12" s="20">
        <v>3.9432454838370941</v>
      </c>
      <c r="AA12" s="20">
        <v>6.3751896562615151</v>
      </c>
      <c r="AE12" s="20" t="s">
        <v>1</v>
      </c>
      <c r="AF12" s="20">
        <v>0.35730745699799998</v>
      </c>
      <c r="AG12" s="20">
        <v>0.73636544419780237</v>
      </c>
      <c r="AH12" s="20">
        <v>1.370316692992275</v>
      </c>
      <c r="AI12" s="20">
        <v>2.3764594843888571</v>
      </c>
      <c r="AJ12" s="20">
        <v>3.9432454838370941</v>
      </c>
      <c r="AK12" s="20">
        <v>6.3751896562615151</v>
      </c>
    </row>
    <row r="13" spans="1:37" x14ac:dyDescent="0.25">
      <c r="A13" s="20" t="s">
        <v>2</v>
      </c>
      <c r="B13" s="20">
        <v>0.59605656868800005</v>
      </c>
      <c r="C13" s="20">
        <v>1.0015059435117979</v>
      </c>
      <c r="D13" s="20">
        <v>1.6361972645052789</v>
      </c>
      <c r="E13" s="20">
        <v>2.624932399593336</v>
      </c>
      <c r="F13" s="20">
        <v>4.1654154970888468</v>
      </c>
      <c r="G13" s="20">
        <v>6.5687461387263912</v>
      </c>
      <c r="K13" s="20" t="s">
        <v>2</v>
      </c>
      <c r="L13" s="20">
        <v>0.59605656868800005</v>
      </c>
      <c r="M13" s="20">
        <v>1.0015059435117979</v>
      </c>
      <c r="N13" s="20">
        <v>1.6361972645052789</v>
      </c>
      <c r="O13" s="20">
        <v>2.624932399593336</v>
      </c>
      <c r="P13" s="20">
        <v>4.1654154970888468</v>
      </c>
      <c r="Q13" s="20">
        <v>6.5687461387263912</v>
      </c>
      <c r="U13" s="20" t="s">
        <v>2</v>
      </c>
      <c r="V13" s="20">
        <v>0.59605656868800005</v>
      </c>
      <c r="W13" s="20">
        <v>1.0015059435117979</v>
      </c>
      <c r="X13" s="20">
        <v>1.6361972645052789</v>
      </c>
      <c r="Y13" s="20">
        <v>2.624932399593336</v>
      </c>
      <c r="Z13" s="20">
        <v>4.1654154970888468</v>
      </c>
      <c r="AA13" s="20">
        <v>6.5687461387263912</v>
      </c>
      <c r="AE13" s="20" t="s">
        <v>2</v>
      </c>
      <c r="AF13" s="20">
        <v>0.59605656868800005</v>
      </c>
      <c r="AG13" s="20">
        <v>1.0015059435117979</v>
      </c>
      <c r="AH13" s="20">
        <v>1.6361972645052789</v>
      </c>
      <c r="AI13" s="20">
        <v>2.624932399593336</v>
      </c>
      <c r="AJ13" s="20">
        <v>4.1654154970888468</v>
      </c>
      <c r="AK13" s="20">
        <v>6.5687461387263912</v>
      </c>
    </row>
    <row r="14" spans="1:37" x14ac:dyDescent="0.25">
      <c r="A14" s="20" t="s">
        <v>3</v>
      </c>
      <c r="B14" s="20">
        <v>1.496581304402675</v>
      </c>
      <c r="C14" s="20">
        <v>2.777265057971217</v>
      </c>
      <c r="D14" s="20">
        <v>5.1538805005361263</v>
      </c>
      <c r="E14" s="20">
        <v>9.5642596797045769</v>
      </c>
      <c r="F14" s="20">
        <v>17.748774580882721</v>
      </c>
      <c r="G14" s="20">
        <v>32.937102261188187</v>
      </c>
      <c r="K14" s="20" t="s">
        <v>3</v>
      </c>
      <c r="L14" s="20">
        <v>1.496581304402675</v>
      </c>
      <c r="M14" s="20">
        <v>2.777265057971217</v>
      </c>
      <c r="N14" s="20">
        <v>5.1538805005361263</v>
      </c>
      <c r="O14" s="20">
        <v>9.5642596797045769</v>
      </c>
      <c r="P14" s="20">
        <v>17.748774580882721</v>
      </c>
      <c r="Q14" s="20">
        <v>32.937102261188187</v>
      </c>
      <c r="U14" s="20" t="s">
        <v>3</v>
      </c>
      <c r="V14" s="20">
        <v>1.496581304402675</v>
      </c>
      <c r="W14" s="20">
        <v>2.777265057971217</v>
      </c>
      <c r="X14" s="20">
        <v>5.1538805005361263</v>
      </c>
      <c r="Y14" s="20">
        <v>9.5642596797045769</v>
      </c>
      <c r="Z14" s="20">
        <v>17.748774580882721</v>
      </c>
      <c r="AA14" s="20">
        <v>32.937102261188187</v>
      </c>
      <c r="AE14" s="20" t="s">
        <v>3</v>
      </c>
      <c r="AF14" s="20">
        <v>1.496581304402675</v>
      </c>
      <c r="AG14" s="20">
        <v>2.777265057971217</v>
      </c>
      <c r="AH14" s="20">
        <v>5.1538805005361263</v>
      </c>
      <c r="AI14" s="20">
        <v>9.5642596797045769</v>
      </c>
      <c r="AJ14" s="20">
        <v>17.748774580882721</v>
      </c>
      <c r="AK14" s="20">
        <v>32.937102261188187</v>
      </c>
    </row>
    <row r="15" spans="1:37" x14ac:dyDescent="0.25">
      <c r="A15" s="20" t="s">
        <v>18</v>
      </c>
      <c r="B15" s="20">
        <v>45393.77360074802</v>
      </c>
      <c r="C15" s="20">
        <v>109613.8268010399</v>
      </c>
      <c r="D15" s="20">
        <v>200497.62255490059</v>
      </c>
      <c r="E15" s="20">
        <v>309898.18916546792</v>
      </c>
      <c r="F15" s="20">
        <v>432120.26022089558</v>
      </c>
      <c r="G15" s="20">
        <v>567655.96896973415</v>
      </c>
      <c r="K15" s="20" t="s">
        <v>18</v>
      </c>
      <c r="L15" s="20">
        <v>45393.77360074802</v>
      </c>
      <c r="M15" s="20">
        <v>109613.8268010399</v>
      </c>
      <c r="N15" s="20">
        <v>200497.62255490059</v>
      </c>
      <c r="O15" s="20">
        <v>309898.18916546792</v>
      </c>
      <c r="P15" s="20">
        <v>432120.26022089558</v>
      </c>
      <c r="Q15" s="20">
        <v>567655.96896973415</v>
      </c>
      <c r="U15" s="20" t="s">
        <v>18</v>
      </c>
      <c r="V15" s="20">
        <v>45393.77360074802</v>
      </c>
      <c r="W15" s="20">
        <v>109613.8268010399</v>
      </c>
      <c r="X15" s="20">
        <v>200497.62255490059</v>
      </c>
      <c r="Y15" s="20">
        <v>309898.18916546792</v>
      </c>
      <c r="Z15" s="20">
        <v>432120.26022089558</v>
      </c>
      <c r="AA15" s="20">
        <v>567655.96896973415</v>
      </c>
      <c r="AE15" s="20" t="s">
        <v>18</v>
      </c>
      <c r="AF15" s="20">
        <v>45393.77360074802</v>
      </c>
      <c r="AG15" s="20">
        <v>109613.8268010399</v>
      </c>
      <c r="AH15" s="20">
        <v>200497.62255490059</v>
      </c>
      <c r="AI15" s="20">
        <v>309898.18916546792</v>
      </c>
      <c r="AJ15" s="20">
        <v>432120.26022089558</v>
      </c>
      <c r="AK15" s="20">
        <v>567655.96896973415</v>
      </c>
    </row>
    <row r="16" spans="1:37" x14ac:dyDescent="0.25">
      <c r="A16" s="20" t="s">
        <v>19</v>
      </c>
      <c r="B16" s="20">
        <v>59185.639391343168</v>
      </c>
      <c r="C16" s="20">
        <v>142917.4953025846</v>
      </c>
      <c r="D16" s="20">
        <v>261414.26557144479</v>
      </c>
      <c r="E16" s="20">
        <v>404053.70642451697</v>
      </c>
      <c r="F16" s="20">
        <v>563410.17426905083</v>
      </c>
      <c r="G16" s="20">
        <v>740125.32584936998</v>
      </c>
      <c r="K16" s="20" t="s">
        <v>19</v>
      </c>
      <c r="L16" s="20">
        <v>59185.639391343168</v>
      </c>
      <c r="M16" s="20">
        <v>142917.4953025846</v>
      </c>
      <c r="N16" s="20">
        <v>261414.26557144479</v>
      </c>
      <c r="O16" s="20">
        <v>404053.70642451697</v>
      </c>
      <c r="P16" s="20">
        <v>563410.17426905083</v>
      </c>
      <c r="Q16" s="20">
        <v>740125.32584936998</v>
      </c>
      <c r="U16" s="20" t="s">
        <v>19</v>
      </c>
      <c r="V16" s="20">
        <v>59185.639391343168</v>
      </c>
      <c r="W16" s="20">
        <v>142917.4953025846</v>
      </c>
      <c r="X16" s="20">
        <v>261414.26557144479</v>
      </c>
      <c r="Y16" s="20">
        <v>404053.70642451697</v>
      </c>
      <c r="Z16" s="20">
        <v>563410.17426905083</v>
      </c>
      <c r="AA16" s="20">
        <v>740125.32584936998</v>
      </c>
      <c r="AE16" s="20" t="s">
        <v>19</v>
      </c>
      <c r="AF16" s="20">
        <v>59185.639391343168</v>
      </c>
      <c r="AG16" s="20">
        <v>142917.4953025846</v>
      </c>
      <c r="AH16" s="20">
        <v>261414.26557144479</v>
      </c>
      <c r="AI16" s="20">
        <v>404053.70642451697</v>
      </c>
      <c r="AJ16" s="20">
        <v>563410.17426905083</v>
      </c>
      <c r="AK16" s="20">
        <v>740125.32584936998</v>
      </c>
    </row>
    <row r="17" spans="1:37" x14ac:dyDescent="0.25">
      <c r="A17" s="20" t="s">
        <v>7</v>
      </c>
      <c r="B17" s="20">
        <v>17.447839999999999</v>
      </c>
      <c r="C17" s="20">
        <v>17.447839999999999</v>
      </c>
      <c r="D17" s="20">
        <v>17.447839999999999</v>
      </c>
      <c r="E17" s="20">
        <v>17.447839999999999</v>
      </c>
      <c r="F17" s="20">
        <v>17.447839999999999</v>
      </c>
      <c r="G17" s="20">
        <v>17.447839999999999</v>
      </c>
      <c r="K17" s="20" t="s">
        <v>7</v>
      </c>
      <c r="L17" s="20">
        <v>17.447839999999999</v>
      </c>
      <c r="M17" s="20">
        <v>17.447839999999999</v>
      </c>
      <c r="N17" s="20">
        <v>17.447839999999999</v>
      </c>
      <c r="O17" s="20">
        <v>17.447839999999999</v>
      </c>
      <c r="P17" s="20">
        <v>17.447839999999999</v>
      </c>
      <c r="Q17" s="20">
        <v>17.447839999999999</v>
      </c>
      <c r="U17" s="20" t="s">
        <v>7</v>
      </c>
      <c r="V17" s="20">
        <v>17.447839999999999</v>
      </c>
      <c r="W17" s="20">
        <v>17.447839999999999</v>
      </c>
      <c r="X17" s="20">
        <v>17.447839999999999</v>
      </c>
      <c r="Y17" s="20">
        <v>17.447839999999999</v>
      </c>
      <c r="Z17" s="20">
        <v>17.447839999999999</v>
      </c>
      <c r="AA17" s="20">
        <v>17.447839999999999</v>
      </c>
      <c r="AE17" s="20" t="s">
        <v>7</v>
      </c>
      <c r="AF17" s="20">
        <v>17.447839999999999</v>
      </c>
      <c r="AG17" s="20">
        <v>17.447839999999999</v>
      </c>
      <c r="AH17" s="20">
        <v>17.447839999999999</v>
      </c>
      <c r="AI17" s="20">
        <v>17.447839999999999</v>
      </c>
      <c r="AJ17" s="20">
        <v>17.447839999999999</v>
      </c>
      <c r="AK17" s="20">
        <v>17.447839999999999</v>
      </c>
    </row>
    <row r="18" spans="1:37" x14ac:dyDescent="0.25">
      <c r="A18" s="20" t="s">
        <v>52</v>
      </c>
      <c r="B18" s="20">
        <v>27.750609632</v>
      </c>
      <c r="C18" s="20">
        <v>27.750609632</v>
      </c>
      <c r="D18" s="20">
        <v>27.750609632</v>
      </c>
      <c r="E18" s="20">
        <v>27.750609632</v>
      </c>
      <c r="F18" s="20">
        <v>27.750609632</v>
      </c>
      <c r="G18" s="20">
        <v>27.750609632</v>
      </c>
      <c r="K18" s="20" t="s">
        <v>52</v>
      </c>
      <c r="L18" s="20">
        <v>27.750609632</v>
      </c>
      <c r="M18" s="20">
        <v>27.750609632</v>
      </c>
      <c r="N18" s="20">
        <v>27.750609632</v>
      </c>
      <c r="O18" s="20">
        <v>27.750609632</v>
      </c>
      <c r="P18" s="20">
        <v>27.750609632</v>
      </c>
      <c r="Q18" s="20">
        <v>27.750609632</v>
      </c>
      <c r="U18" s="20" t="s">
        <v>52</v>
      </c>
      <c r="V18" s="20">
        <v>27.750609632</v>
      </c>
      <c r="W18" s="20">
        <v>27.750609632</v>
      </c>
      <c r="X18" s="20">
        <v>27.750609632</v>
      </c>
      <c r="Y18" s="20">
        <v>27.750609632</v>
      </c>
      <c r="Z18" s="20">
        <v>27.750609632</v>
      </c>
      <c r="AA18" s="20">
        <v>27.750609632</v>
      </c>
      <c r="AE18" s="20" t="s">
        <v>52</v>
      </c>
      <c r="AF18" s="20">
        <v>27.750609632</v>
      </c>
      <c r="AG18" s="20">
        <v>27.750609632</v>
      </c>
      <c r="AH18" s="20">
        <v>27.750609632</v>
      </c>
      <c r="AI18" s="20">
        <v>27.750609632</v>
      </c>
      <c r="AJ18" s="20">
        <v>27.750609632</v>
      </c>
      <c r="AK18" s="20">
        <v>27.750609632</v>
      </c>
    </row>
    <row r="19" spans="1:37" x14ac:dyDescent="0.25">
      <c r="A19" s="20" t="s">
        <v>4</v>
      </c>
      <c r="B19" s="20">
        <v>0.92311634638663587</v>
      </c>
      <c r="C19" s="20">
        <v>0.92311634638663587</v>
      </c>
      <c r="D19" s="20">
        <v>0.92311634638663587</v>
      </c>
      <c r="E19" s="20">
        <v>0.92311634638663587</v>
      </c>
      <c r="F19" s="20">
        <v>0.92311634638663587</v>
      </c>
      <c r="G19" s="20">
        <v>0.92311634638663587</v>
      </c>
      <c r="K19" s="20" t="s">
        <v>4</v>
      </c>
      <c r="L19" s="20">
        <v>0.92311634638663587</v>
      </c>
      <c r="M19" s="20">
        <v>0.92311634638663587</v>
      </c>
      <c r="N19" s="20">
        <v>0.92311634638663587</v>
      </c>
      <c r="O19" s="20">
        <v>0.92311634638663587</v>
      </c>
      <c r="P19" s="20">
        <v>0.92311634638663587</v>
      </c>
      <c r="Q19" s="20">
        <v>0.92311634638663587</v>
      </c>
      <c r="U19" s="20" t="s">
        <v>4</v>
      </c>
      <c r="V19" s="20">
        <v>0.92311634638663587</v>
      </c>
      <c r="W19" s="20">
        <v>0.92311634638663587</v>
      </c>
      <c r="X19" s="20">
        <v>0.92311634638663587</v>
      </c>
      <c r="Y19" s="20">
        <v>0.92311634638663587</v>
      </c>
      <c r="Z19" s="20">
        <v>0.92311634638663587</v>
      </c>
      <c r="AA19" s="20">
        <v>0.92311634638663587</v>
      </c>
      <c r="AE19" s="20" t="s">
        <v>4</v>
      </c>
      <c r="AF19" s="20">
        <v>0.92311634638663587</v>
      </c>
      <c r="AG19" s="20">
        <v>0.92311634638663587</v>
      </c>
      <c r="AH19" s="20">
        <v>0.92311634638663587</v>
      </c>
      <c r="AI19" s="20">
        <v>0.92311634638663587</v>
      </c>
      <c r="AJ19" s="20">
        <v>0.92311634638663587</v>
      </c>
      <c r="AK19" s="20">
        <v>0.92311634638663587</v>
      </c>
    </row>
    <row r="20" spans="1:37" x14ac:dyDescent="0.25">
      <c r="A20" s="20" t="s">
        <v>5</v>
      </c>
      <c r="B20" s="20">
        <v>1</v>
      </c>
      <c r="C20" s="20">
        <v>1</v>
      </c>
      <c r="D20" s="20">
        <v>1</v>
      </c>
      <c r="E20" s="20">
        <v>1</v>
      </c>
      <c r="F20" s="20">
        <v>1</v>
      </c>
      <c r="G20" s="20">
        <v>1</v>
      </c>
      <c r="K20" s="20" t="s">
        <v>5</v>
      </c>
      <c r="L20" s="20">
        <v>1</v>
      </c>
      <c r="M20" s="20">
        <v>1</v>
      </c>
      <c r="N20" s="20">
        <v>1</v>
      </c>
      <c r="O20" s="20">
        <v>1</v>
      </c>
      <c r="P20" s="20">
        <v>1</v>
      </c>
      <c r="Q20" s="20">
        <v>1</v>
      </c>
      <c r="U20" s="20" t="s">
        <v>5</v>
      </c>
      <c r="V20" s="20">
        <v>1</v>
      </c>
      <c r="W20" s="20">
        <v>1</v>
      </c>
      <c r="X20" s="20">
        <v>1</v>
      </c>
      <c r="Y20" s="20">
        <v>1</v>
      </c>
      <c r="Z20" s="20">
        <v>1</v>
      </c>
      <c r="AA20" s="20">
        <v>1</v>
      </c>
      <c r="AE20" s="20" t="s">
        <v>5</v>
      </c>
      <c r="AF20" s="20">
        <v>1</v>
      </c>
      <c r="AG20" s="20">
        <v>1</v>
      </c>
      <c r="AH20" s="20">
        <v>1</v>
      </c>
      <c r="AI20" s="20">
        <v>1</v>
      </c>
      <c r="AJ20" s="20">
        <v>1</v>
      </c>
      <c r="AK20" s="20">
        <v>1</v>
      </c>
    </row>
    <row r="21" spans="1:37" x14ac:dyDescent="0.25">
      <c r="A21" s="20" t="s">
        <v>20</v>
      </c>
      <c r="B21" s="20">
        <v>1</v>
      </c>
      <c r="C21" s="20">
        <v>0.96439833420871968</v>
      </c>
      <c r="D21" s="20">
        <v>0.96439833420871968</v>
      </c>
      <c r="E21" s="20">
        <v>0.96439833420871968</v>
      </c>
      <c r="F21" s="20">
        <v>0.96439833420871968</v>
      </c>
      <c r="G21" s="20">
        <v>0.96439833420871968</v>
      </c>
      <c r="K21" s="20" t="s">
        <v>20</v>
      </c>
      <c r="L21" s="20">
        <v>1</v>
      </c>
      <c r="M21" s="20">
        <v>0.96439833420871968</v>
      </c>
      <c r="N21" s="20">
        <v>0.96439833420871968</v>
      </c>
      <c r="O21" s="20">
        <v>0.96439833420871968</v>
      </c>
      <c r="P21" s="20">
        <v>0.96439833420871968</v>
      </c>
      <c r="Q21" s="20">
        <v>0.96439833420871968</v>
      </c>
      <c r="U21" s="20" t="s">
        <v>20</v>
      </c>
      <c r="V21" s="20">
        <v>1</v>
      </c>
      <c r="W21" s="20">
        <v>0.96439833420871968</v>
      </c>
      <c r="X21" s="20">
        <v>0.96439833420871968</v>
      </c>
      <c r="Y21" s="20">
        <v>0.96439833420871968</v>
      </c>
      <c r="Z21" s="20">
        <v>0.96439833420871968</v>
      </c>
      <c r="AA21" s="20">
        <v>0.96439833420871968</v>
      </c>
      <c r="AE21" s="20" t="s">
        <v>20</v>
      </c>
      <c r="AF21" s="20">
        <v>1</v>
      </c>
      <c r="AG21" s="20">
        <v>0.96439833420871968</v>
      </c>
      <c r="AH21" s="20">
        <v>0.96439833420871968</v>
      </c>
      <c r="AI21" s="20">
        <v>0.96439833420871968</v>
      </c>
      <c r="AJ21" s="20">
        <v>0.96439833420871968</v>
      </c>
      <c r="AK21" s="20">
        <v>0.96439833420871968</v>
      </c>
    </row>
    <row r="22" spans="1:37" x14ac:dyDescent="0.25">
      <c r="A22" s="20" t="s">
        <v>21</v>
      </c>
      <c r="B22" s="20">
        <v>1</v>
      </c>
      <c r="C22" s="20">
        <v>0.99844694181596516</v>
      </c>
      <c r="D22" s="20">
        <v>0.99844694181596516</v>
      </c>
      <c r="E22" s="20">
        <v>0.99844694181596516</v>
      </c>
      <c r="F22" s="20">
        <v>0.99844694181596516</v>
      </c>
      <c r="G22" s="20">
        <v>0.99844694181596516</v>
      </c>
      <c r="K22" s="20" t="s">
        <v>21</v>
      </c>
      <c r="L22" s="20">
        <v>1</v>
      </c>
      <c r="M22" s="20">
        <v>0.99844694181596516</v>
      </c>
      <c r="N22" s="20">
        <v>0.99844694181596516</v>
      </c>
      <c r="O22" s="20">
        <v>0.99844694181596516</v>
      </c>
      <c r="P22" s="20">
        <v>0.99844694181596516</v>
      </c>
      <c r="Q22" s="20">
        <v>0.99844694181596516</v>
      </c>
      <c r="U22" s="20" t="s">
        <v>21</v>
      </c>
      <c r="V22" s="20">
        <v>1</v>
      </c>
      <c r="W22" s="20">
        <v>0.99844694181596516</v>
      </c>
      <c r="X22" s="20">
        <v>0.99844694181596516</v>
      </c>
      <c r="Y22" s="20">
        <v>0.99844694181596516</v>
      </c>
      <c r="Z22" s="20">
        <v>0.99844694181596516</v>
      </c>
      <c r="AA22" s="20">
        <v>0.99844694181596516</v>
      </c>
      <c r="AE22" s="20" t="s">
        <v>21</v>
      </c>
      <c r="AF22" s="20">
        <v>1</v>
      </c>
      <c r="AG22" s="20">
        <v>0.99844694181596516</v>
      </c>
      <c r="AH22" s="20">
        <v>0.99844694181596516</v>
      </c>
      <c r="AI22" s="20">
        <v>0.99844694181596516</v>
      </c>
      <c r="AJ22" s="20">
        <v>0.99844694181596516</v>
      </c>
      <c r="AK22" s="20">
        <v>0.99844694181596516</v>
      </c>
    </row>
    <row r="23" spans="1:37" x14ac:dyDescent="0.25">
      <c r="A23" s="20" t="s">
        <v>10</v>
      </c>
      <c r="B23" s="20">
        <v>0.95158196281263585</v>
      </c>
      <c r="C23" s="20">
        <v>0.14658048752778469</v>
      </c>
      <c r="D23" s="20">
        <v>1.8527828215639929E-2</v>
      </c>
      <c r="E23" s="20">
        <v>1.978968097091853E-3</v>
      </c>
      <c r="F23" s="20">
        <v>1.906904087813284E-4</v>
      </c>
      <c r="G23" s="20">
        <v>1.7310670743054958E-5</v>
      </c>
      <c r="K23" s="20" t="s">
        <v>10</v>
      </c>
      <c r="L23" s="20">
        <v>0.95158196281263585</v>
      </c>
      <c r="M23" s="20">
        <v>0.14658048752778469</v>
      </c>
      <c r="N23" s="20">
        <v>1.8527828215639929E-2</v>
      </c>
      <c r="O23" s="20">
        <v>1.978968097091853E-3</v>
      </c>
      <c r="P23" s="20">
        <v>1.906904087813284E-4</v>
      </c>
      <c r="Q23" s="20">
        <v>1.7310670743054958E-5</v>
      </c>
      <c r="U23" s="20" t="s">
        <v>10</v>
      </c>
      <c r="V23" s="20">
        <v>0.95158196281263585</v>
      </c>
      <c r="W23" s="20">
        <v>0.14658048752778469</v>
      </c>
      <c r="X23" s="20">
        <v>1.8527828215639929E-2</v>
      </c>
      <c r="Y23" s="20">
        <v>1.978968097091853E-3</v>
      </c>
      <c r="Z23" s="20">
        <v>1.906904087813284E-4</v>
      </c>
      <c r="AA23" s="20">
        <v>1.7310670743054958E-5</v>
      </c>
      <c r="AE23" s="20" t="s">
        <v>10</v>
      </c>
      <c r="AF23" s="20">
        <v>0.95158196281263585</v>
      </c>
      <c r="AG23" s="20">
        <v>0.14658048752778469</v>
      </c>
      <c r="AH23" s="20">
        <v>1.8527828215639929E-2</v>
      </c>
      <c r="AI23" s="20">
        <v>1.978968097091853E-3</v>
      </c>
      <c r="AJ23" s="20">
        <v>1.906904087813284E-4</v>
      </c>
      <c r="AK23" s="20">
        <v>1.7310670743054958E-5</v>
      </c>
    </row>
    <row r="24" spans="1:37" x14ac:dyDescent="0.25">
      <c r="A24" s="20" t="s">
        <v>12</v>
      </c>
      <c r="B24" s="20">
        <v>0.8649398558400595</v>
      </c>
      <c r="C24" s="20">
        <v>1.711699353226277</v>
      </c>
      <c r="D24" s="20">
        <v>2.5659246459032752</v>
      </c>
      <c r="E24" s="20">
        <v>3.250320850590608</v>
      </c>
      <c r="F24" s="20">
        <v>3.714363034828247</v>
      </c>
      <c r="G24" s="20">
        <v>3.9988715383086548</v>
      </c>
      <c r="K24" s="20" t="s">
        <v>12</v>
      </c>
      <c r="L24" s="20">
        <v>0.8649398558400595</v>
      </c>
      <c r="M24" s="20">
        <v>1.711699353226277</v>
      </c>
      <c r="N24" s="20">
        <v>2.5659246459032752</v>
      </c>
      <c r="O24" s="20">
        <v>3.250320850590608</v>
      </c>
      <c r="P24" s="20">
        <v>3.714363034828247</v>
      </c>
      <c r="Q24" s="20">
        <v>3.9988715383086548</v>
      </c>
      <c r="U24" s="20" t="s">
        <v>12</v>
      </c>
      <c r="V24" s="20">
        <v>0.8649398558400595</v>
      </c>
      <c r="W24" s="20">
        <v>1.711699353226277</v>
      </c>
      <c r="X24" s="20">
        <v>2.5659246459032752</v>
      </c>
      <c r="Y24" s="20">
        <v>3.250320850590608</v>
      </c>
      <c r="Z24" s="20">
        <v>3.714363034828247</v>
      </c>
      <c r="AA24" s="20">
        <v>3.9988715383086548</v>
      </c>
      <c r="AE24" s="20" t="s">
        <v>12</v>
      </c>
      <c r="AF24" s="20">
        <v>0.8649398558400595</v>
      </c>
      <c r="AG24" s="20">
        <v>1.711699353226277</v>
      </c>
      <c r="AH24" s="20">
        <v>2.5659246459032752</v>
      </c>
      <c r="AI24" s="20">
        <v>3.250320850590608</v>
      </c>
      <c r="AJ24" s="20">
        <v>3.714363034828247</v>
      </c>
      <c r="AK24" s="20">
        <v>3.9988715383086548</v>
      </c>
    </row>
    <row r="25" spans="1:37" x14ac:dyDescent="0.25">
      <c r="A25" s="20" t="s">
        <v>11</v>
      </c>
      <c r="B25" s="20">
        <v>10983.690880356169</v>
      </c>
      <c r="C25" s="20">
        <v>191214.8862626066</v>
      </c>
      <c r="D25" s="20">
        <v>2774774.9619026328</v>
      </c>
      <c r="E25" s="20">
        <v>37524572.431925163</v>
      </c>
      <c r="F25" s="20">
        <v>485531791.41091222</v>
      </c>
      <c r="G25" s="20">
        <v>6121184719.7473469</v>
      </c>
      <c r="K25" s="20" t="s">
        <v>11</v>
      </c>
      <c r="L25" s="20">
        <v>10983.690880356169</v>
      </c>
      <c r="M25" s="20">
        <v>191214.8862626066</v>
      </c>
      <c r="N25" s="20">
        <v>2774774.9619026328</v>
      </c>
      <c r="O25" s="20">
        <v>37524572.431925163</v>
      </c>
      <c r="P25" s="20">
        <v>485531791.41091222</v>
      </c>
      <c r="Q25" s="20">
        <v>6121184719.7473469</v>
      </c>
      <c r="U25" s="20" t="s">
        <v>11</v>
      </c>
      <c r="V25" s="20">
        <v>10983.690880356169</v>
      </c>
      <c r="W25" s="20">
        <v>191214.8862626066</v>
      </c>
      <c r="X25" s="20">
        <v>2774774.9619026328</v>
      </c>
      <c r="Y25" s="20">
        <v>37524572.431925163</v>
      </c>
      <c r="Z25" s="20">
        <v>485531791.41091222</v>
      </c>
      <c r="AA25" s="20">
        <v>6121184719.7473469</v>
      </c>
      <c r="AE25" s="20" t="s">
        <v>11</v>
      </c>
      <c r="AF25" s="20">
        <v>10983.690880356169</v>
      </c>
      <c r="AG25" s="20">
        <v>191214.8862626066</v>
      </c>
      <c r="AH25" s="20">
        <v>2774774.9619026328</v>
      </c>
      <c r="AI25" s="20">
        <v>37524572.431925163</v>
      </c>
      <c r="AJ25" s="20">
        <v>485531791.41091222</v>
      </c>
      <c r="AK25" s="20">
        <v>6121184719.7473469</v>
      </c>
    </row>
    <row r="26" spans="1:37" x14ac:dyDescent="0.25">
      <c r="A26" s="20" t="s">
        <v>13</v>
      </c>
      <c r="B26" s="20">
        <v>24411.670831598469</v>
      </c>
      <c r="C26" s="20">
        <v>61386.984600821459</v>
      </c>
      <c r="D26" s="20">
        <v>139389.90587730831</v>
      </c>
      <c r="E26" s="20">
        <v>294963.49241408228</v>
      </c>
      <c r="F26" s="20">
        <v>597199.09712823061</v>
      </c>
      <c r="G26" s="20">
        <v>1178110.1907765339</v>
      </c>
      <c r="K26" s="20" t="s">
        <v>13</v>
      </c>
      <c r="L26" s="20">
        <v>24411.670831598469</v>
      </c>
      <c r="M26" s="20">
        <v>61386.984600821459</v>
      </c>
      <c r="N26" s="20">
        <v>139389.90587730831</v>
      </c>
      <c r="O26" s="20">
        <v>294963.49241408228</v>
      </c>
      <c r="P26" s="20">
        <v>597199.09712823061</v>
      </c>
      <c r="Q26" s="20">
        <v>1178110.1907765339</v>
      </c>
      <c r="U26" s="20" t="s">
        <v>13</v>
      </c>
      <c r="V26" s="20">
        <v>24411.670831598469</v>
      </c>
      <c r="W26" s="20">
        <v>61386.984600821459</v>
      </c>
      <c r="X26" s="20">
        <v>139389.90587730831</v>
      </c>
      <c r="Y26" s="20">
        <v>294963.49241408228</v>
      </c>
      <c r="Z26" s="20">
        <v>597199.09712823061</v>
      </c>
      <c r="AA26" s="20">
        <v>1178110.1907765339</v>
      </c>
      <c r="AE26" s="20" t="s">
        <v>13</v>
      </c>
      <c r="AF26" s="20">
        <v>24411.670831598469</v>
      </c>
      <c r="AG26" s="20">
        <v>61386.984600821459</v>
      </c>
      <c r="AH26" s="20">
        <v>139389.90587730831</v>
      </c>
      <c r="AI26" s="20">
        <v>294963.49241408228</v>
      </c>
      <c r="AJ26" s="20">
        <v>597199.09712823061</v>
      </c>
      <c r="AK26" s="20">
        <v>1178110.1907765339</v>
      </c>
    </row>
    <row r="27" spans="1:37" x14ac:dyDescent="0.25">
      <c r="A27" s="20" t="s">
        <v>22</v>
      </c>
      <c r="B27" s="20">
        <v>18427.26254075639</v>
      </c>
      <c r="C27" s="20">
        <v>79742.572044224056</v>
      </c>
      <c r="D27" s="20">
        <v>150009.25288880811</v>
      </c>
      <c r="E27" s="20">
        <v>236117.14833106019</v>
      </c>
      <c r="F27" s="20">
        <v>332855.22294734372</v>
      </c>
      <c r="G27" s="20">
        <v>439999.32611759641</v>
      </c>
      <c r="K27" s="20" t="s">
        <v>22</v>
      </c>
      <c r="L27" s="20">
        <v>18427.26254075639</v>
      </c>
      <c r="M27" s="20">
        <v>79742.572044224056</v>
      </c>
      <c r="N27" s="20">
        <v>150009.25288880811</v>
      </c>
      <c r="O27" s="20">
        <v>236117.14833106019</v>
      </c>
      <c r="P27" s="20">
        <v>332855.22294734372</v>
      </c>
      <c r="Q27" s="20">
        <v>439999.32611759641</v>
      </c>
      <c r="U27" s="20" t="s">
        <v>22</v>
      </c>
      <c r="V27" s="20">
        <v>18427.26254075639</v>
      </c>
      <c r="W27" s="20">
        <v>79742.572044224056</v>
      </c>
      <c r="X27" s="20">
        <v>150009.25288880811</v>
      </c>
      <c r="Y27" s="20">
        <v>236117.14833106019</v>
      </c>
      <c r="Z27" s="20">
        <v>332855.22294734372</v>
      </c>
      <c r="AA27" s="20">
        <v>439999.32611759641</v>
      </c>
      <c r="AE27" s="20" t="s">
        <v>22</v>
      </c>
      <c r="AF27" s="20">
        <v>18427.26254075639</v>
      </c>
      <c r="AG27" s="20">
        <v>79742.572044224056</v>
      </c>
      <c r="AH27" s="20">
        <v>150009.25288880811</v>
      </c>
      <c r="AI27" s="20">
        <v>236117.14833106019</v>
      </c>
      <c r="AJ27" s="20">
        <v>332855.22294734372</v>
      </c>
      <c r="AK27" s="20">
        <v>439999.32611759641</v>
      </c>
    </row>
    <row r="32" spans="1:37" x14ac:dyDescent="0.25">
      <c r="A32" s="20" t="s">
        <v>15</v>
      </c>
      <c r="B32" s="20">
        <v>2000</v>
      </c>
      <c r="C32" s="20">
        <v>2020</v>
      </c>
      <c r="D32" s="20">
        <v>2040</v>
      </c>
      <c r="E32" s="20">
        <v>2060</v>
      </c>
      <c r="F32" s="20">
        <v>2080</v>
      </c>
      <c r="G32" s="20">
        <v>2100</v>
      </c>
      <c r="K32" s="20" t="s">
        <v>15</v>
      </c>
      <c r="L32" s="20">
        <v>2000</v>
      </c>
      <c r="M32" s="20">
        <v>2020</v>
      </c>
      <c r="N32" s="20">
        <v>2040</v>
      </c>
      <c r="O32" s="20">
        <v>2060</v>
      </c>
      <c r="P32" s="20">
        <v>2080</v>
      </c>
      <c r="Q32" s="20">
        <v>2100</v>
      </c>
      <c r="U32" s="20" t="s">
        <v>15</v>
      </c>
      <c r="V32" s="20">
        <v>2000</v>
      </c>
      <c r="W32" s="20">
        <v>2020</v>
      </c>
      <c r="X32" s="20">
        <v>2040</v>
      </c>
      <c r="Y32" s="20">
        <v>2060</v>
      </c>
      <c r="Z32" s="20">
        <v>2080</v>
      </c>
      <c r="AA32" s="20">
        <v>2100</v>
      </c>
      <c r="AE32" s="20" t="s">
        <v>15</v>
      </c>
      <c r="AF32" s="20">
        <v>2000</v>
      </c>
      <c r="AG32" s="20">
        <v>2020</v>
      </c>
      <c r="AH32" s="20">
        <v>2040</v>
      </c>
      <c r="AI32" s="20">
        <v>2060</v>
      </c>
      <c r="AJ32" s="20">
        <v>2080</v>
      </c>
      <c r="AK32" s="20">
        <v>2100</v>
      </c>
    </row>
    <row r="33" spans="1:37" x14ac:dyDescent="0.25">
      <c r="A33" s="20" t="s">
        <v>11</v>
      </c>
      <c r="B33" s="20">
        <v>10983.690880356169</v>
      </c>
      <c r="C33" s="20">
        <v>187031.67589567549</v>
      </c>
      <c r="D33" s="20">
        <v>2672407.8541710018</v>
      </c>
      <c r="E33" s="20">
        <v>35793992.836597532</v>
      </c>
      <c r="F33" s="20">
        <v>463005969.89176083</v>
      </c>
      <c r="G33" s="20">
        <v>5836229804.4790697</v>
      </c>
      <c r="K33" s="20" t="s">
        <v>11</v>
      </c>
      <c r="L33" s="20">
        <v>10983.690880356169</v>
      </c>
      <c r="M33" s="20">
        <v>187031.67589567549</v>
      </c>
      <c r="N33" s="20">
        <v>2628344.616606493</v>
      </c>
      <c r="O33" s="20">
        <v>34505725.331760287</v>
      </c>
      <c r="P33" s="20">
        <v>442335272.63420558</v>
      </c>
      <c r="Q33" s="20">
        <v>5523623483.3256865</v>
      </c>
      <c r="U33" s="20" t="s">
        <v>11</v>
      </c>
      <c r="V33" s="20">
        <v>10983.690880356169</v>
      </c>
      <c r="W33" s="20">
        <v>184263.47777253031</v>
      </c>
      <c r="X33" s="20">
        <v>2622592.691471511</v>
      </c>
      <c r="Y33" s="20">
        <v>34191007.583687231</v>
      </c>
      <c r="Z33" s="20">
        <v>423795535.09819478</v>
      </c>
      <c r="AA33" s="20">
        <v>5222933972.1232901</v>
      </c>
      <c r="AE33" s="20" t="s">
        <v>11</v>
      </c>
      <c r="AF33" s="20">
        <v>10983.690880356169</v>
      </c>
      <c r="AG33" s="20">
        <v>187031.67589567549</v>
      </c>
      <c r="AH33" s="20">
        <v>2602077.5614986331</v>
      </c>
      <c r="AI33" s="20">
        <v>33457687.42476527</v>
      </c>
      <c r="AJ33" s="20">
        <v>405268040.10942042</v>
      </c>
      <c r="AK33" s="20">
        <v>4724957472.6154099</v>
      </c>
    </row>
    <row r="34" spans="1:37" x14ac:dyDescent="0.25">
      <c r="A34" s="20" t="s">
        <v>13</v>
      </c>
      <c r="B34" s="20">
        <v>24411.670831598469</v>
      </c>
      <c r="C34" s="20">
        <v>61137.997658049819</v>
      </c>
      <c r="D34" s="20">
        <v>138040.00492827501</v>
      </c>
      <c r="E34" s="20">
        <v>291116.14384885709</v>
      </c>
      <c r="F34" s="20">
        <v>589239.28015403019</v>
      </c>
      <c r="G34" s="20">
        <v>1162214.9031709291</v>
      </c>
      <c r="K34" s="20" t="s">
        <v>13</v>
      </c>
      <c r="L34" s="20">
        <v>24411.670831598469</v>
      </c>
      <c r="M34" s="20">
        <v>61137.997658049819</v>
      </c>
      <c r="N34" s="20">
        <v>137130.02778758921</v>
      </c>
      <c r="O34" s="20">
        <v>286436.04836357362</v>
      </c>
      <c r="P34" s="20">
        <v>576862.21886890265</v>
      </c>
      <c r="Q34" s="20">
        <v>1131750.6563906011</v>
      </c>
      <c r="U34" s="20" t="s">
        <v>13</v>
      </c>
      <c r="V34" s="20">
        <v>24411.670831598469</v>
      </c>
      <c r="W34" s="20">
        <v>60826.458872673553</v>
      </c>
      <c r="X34" s="20">
        <v>137172.4322986402</v>
      </c>
      <c r="Y34" s="20">
        <v>284959.71435018431</v>
      </c>
      <c r="Z34" s="20">
        <v>563286.90716186597</v>
      </c>
      <c r="AA34" s="20">
        <v>1095616.7751499701</v>
      </c>
      <c r="AE34" s="20" t="s">
        <v>13</v>
      </c>
      <c r="AF34" s="20">
        <v>24411.670831598469</v>
      </c>
      <c r="AG34" s="20">
        <v>61137.997658049819</v>
      </c>
      <c r="AH34" s="20">
        <v>136622.4856083155</v>
      </c>
      <c r="AI34" s="20">
        <v>281832.48371123307</v>
      </c>
      <c r="AJ34" s="20">
        <v>546720.87163541117</v>
      </c>
      <c r="AK34" s="20">
        <v>1020207.182922447</v>
      </c>
    </row>
    <row r="35" spans="1:37" x14ac:dyDescent="0.25">
      <c r="A35" s="20" t="s">
        <v>51</v>
      </c>
      <c r="B35" s="20">
        <v>19171.410103999999</v>
      </c>
      <c r="C35" s="20">
        <v>78616.4906811783</v>
      </c>
      <c r="D35" s="20">
        <v>239078.54524749279</v>
      </c>
      <c r="E35" s="20">
        <v>600980.78220593464</v>
      </c>
      <c r="F35" s="20">
        <v>1346718.2887278609</v>
      </c>
      <c r="G35" s="20">
        <v>2810099.9065324119</v>
      </c>
      <c r="K35" s="20" t="s">
        <v>51</v>
      </c>
      <c r="L35" s="20">
        <v>19171.410103999999</v>
      </c>
      <c r="M35" s="20">
        <v>78616.4906811783</v>
      </c>
      <c r="N35" s="20">
        <v>235332.17381546611</v>
      </c>
      <c r="O35" s="20">
        <v>580057.45872456557</v>
      </c>
      <c r="P35" s="20">
        <v>1288118.1394631809</v>
      </c>
      <c r="Q35" s="20">
        <v>2661176.720064973</v>
      </c>
      <c r="U35" s="20" t="s">
        <v>51</v>
      </c>
      <c r="V35" s="20">
        <v>19171.410103999999</v>
      </c>
      <c r="W35" s="20">
        <v>77492.852765133386</v>
      </c>
      <c r="X35" s="20">
        <v>235336.39861896291</v>
      </c>
      <c r="Y35" s="20">
        <v>573797.47526897478</v>
      </c>
      <c r="Z35" s="20">
        <v>1226297.6782203419</v>
      </c>
      <c r="AA35" s="20">
        <v>2491246.0845407578</v>
      </c>
      <c r="AE35" s="20" t="s">
        <v>51</v>
      </c>
      <c r="AF35" s="20">
        <v>19171.410103999999</v>
      </c>
      <c r="AG35" s="20">
        <v>78616.4906811783</v>
      </c>
      <c r="AH35" s="20">
        <v>233217.26748149309</v>
      </c>
      <c r="AI35" s="20">
        <v>560348.64038018079</v>
      </c>
      <c r="AJ35" s="20">
        <v>1153605.2547410131</v>
      </c>
      <c r="AK35" s="20">
        <v>2156479.1644450082</v>
      </c>
    </row>
    <row r="36" spans="1:37" x14ac:dyDescent="0.25">
      <c r="A36" s="20" t="s">
        <v>0</v>
      </c>
      <c r="B36" s="20">
        <v>0.23874911168999999</v>
      </c>
      <c r="C36" s="20">
        <v>0.26430810337868738</v>
      </c>
      <c r="D36" s="20">
        <v>0.26488407236932349</v>
      </c>
      <c r="E36" s="20">
        <v>0.24716237661469431</v>
      </c>
      <c r="F36" s="20">
        <v>0.22093436488692819</v>
      </c>
      <c r="G36" s="20">
        <v>0.19244805777208601</v>
      </c>
      <c r="K36" s="20" t="s">
        <v>0</v>
      </c>
      <c r="L36" s="20">
        <v>0.23874911168999999</v>
      </c>
      <c r="M36" s="20">
        <v>0.26430810337868738</v>
      </c>
      <c r="N36" s="20">
        <v>0.26488497675161782</v>
      </c>
      <c r="O36" s="20">
        <v>0.24719666867443571</v>
      </c>
      <c r="P36" s="20">
        <v>0.22124951408332691</v>
      </c>
      <c r="Q36" s="20">
        <v>0.1929858860619843</v>
      </c>
      <c r="U36" s="20" t="s">
        <v>0</v>
      </c>
      <c r="V36" s="20">
        <v>0.23874911168999999</v>
      </c>
      <c r="W36" s="20">
        <v>0.26429436439050619</v>
      </c>
      <c r="X36" s="20">
        <v>0.26430529684738058</v>
      </c>
      <c r="Y36" s="20">
        <v>0.24747890534728209</v>
      </c>
      <c r="Z36" s="20">
        <v>0.22187340044525761</v>
      </c>
      <c r="AA36" s="20">
        <v>0.19383386468255931</v>
      </c>
      <c r="AE36" s="20" t="s">
        <v>0</v>
      </c>
      <c r="AF36" s="20">
        <v>0.23874911168999999</v>
      </c>
      <c r="AG36" s="20">
        <v>0.26430810337868738</v>
      </c>
      <c r="AH36" s="20">
        <v>0.26460210712599019</v>
      </c>
      <c r="AI36" s="20">
        <v>0.2475408805316153</v>
      </c>
      <c r="AJ36" s="20">
        <v>0.2236569086468024</v>
      </c>
      <c r="AK36" s="20">
        <v>0.1976227381194387</v>
      </c>
    </row>
    <row r="37" spans="1:37" x14ac:dyDescent="0.25">
      <c r="A37" s="20" t="s">
        <v>1</v>
      </c>
      <c r="B37" s="20">
        <v>0.35730745699799998</v>
      </c>
      <c r="C37" s="20">
        <v>0.73698209791654368</v>
      </c>
      <c r="D37" s="20">
        <v>1.3707172960241409</v>
      </c>
      <c r="E37" s="20">
        <v>2.3764978195532711</v>
      </c>
      <c r="F37" s="20">
        <v>3.9421699660245721</v>
      </c>
      <c r="G37" s="20">
        <v>6.3723939858904144</v>
      </c>
      <c r="K37" s="20" t="s">
        <v>1</v>
      </c>
      <c r="L37" s="20">
        <v>0.35730745699799998</v>
      </c>
      <c r="M37" s="20">
        <v>0.73698209791654368</v>
      </c>
      <c r="N37" s="20">
        <v>1.370716626041647</v>
      </c>
      <c r="O37" s="20">
        <v>2.3764727822043539</v>
      </c>
      <c r="P37" s="20">
        <v>3.941950980858667</v>
      </c>
      <c r="Q37" s="20">
        <v>6.3721460430097698</v>
      </c>
      <c r="U37" s="20" t="s">
        <v>1</v>
      </c>
      <c r="V37" s="20">
        <v>0.35730745699799998</v>
      </c>
      <c r="W37" s="20">
        <v>0.73699227600343076</v>
      </c>
      <c r="X37" s="20">
        <v>1.371140490670383</v>
      </c>
      <c r="Y37" s="20">
        <v>2.3760198564035768</v>
      </c>
      <c r="Z37" s="20">
        <v>3.9412216783657952</v>
      </c>
      <c r="AA37" s="20">
        <v>6.3713528765942433</v>
      </c>
      <c r="AE37" s="20" t="s">
        <v>1</v>
      </c>
      <c r="AF37" s="20">
        <v>0.35730745699799998</v>
      </c>
      <c r="AG37" s="20">
        <v>0.73698209791654368</v>
      </c>
      <c r="AH37" s="20">
        <v>1.3709261808930859</v>
      </c>
      <c r="AI37" s="20">
        <v>2.3761030515160191</v>
      </c>
      <c r="AJ37" s="20">
        <v>3.9401276049736849</v>
      </c>
      <c r="AK37" s="20">
        <v>6.3696249283067141</v>
      </c>
    </row>
    <row r="38" spans="1:37" x14ac:dyDescent="0.25">
      <c r="A38" s="20" t="s">
        <v>2</v>
      </c>
      <c r="B38" s="20">
        <v>0.59605656868800005</v>
      </c>
      <c r="C38" s="20">
        <v>1.0012902012952309</v>
      </c>
      <c r="D38" s="20">
        <v>1.635601368393464</v>
      </c>
      <c r="E38" s="20">
        <v>2.6236601961679651</v>
      </c>
      <c r="F38" s="20">
        <v>4.1631043309115006</v>
      </c>
      <c r="G38" s="20">
        <v>6.5648420436624999</v>
      </c>
      <c r="K38" s="20" t="s">
        <v>2</v>
      </c>
      <c r="L38" s="20">
        <v>0.59605656868800005</v>
      </c>
      <c r="M38" s="20">
        <v>1.0012902012952309</v>
      </c>
      <c r="N38" s="20">
        <v>1.6356016027932649</v>
      </c>
      <c r="O38" s="20">
        <v>2.623669450878789</v>
      </c>
      <c r="P38" s="20">
        <v>4.1632004949419938</v>
      </c>
      <c r="Q38" s="20">
        <v>6.5651319290717538</v>
      </c>
      <c r="U38" s="20" t="s">
        <v>2</v>
      </c>
      <c r="V38" s="20">
        <v>0.59605656868800005</v>
      </c>
      <c r="W38" s="20">
        <v>1.0012866403939371</v>
      </c>
      <c r="X38" s="20">
        <v>1.635445787517763</v>
      </c>
      <c r="Y38" s="20">
        <v>2.6234987617508589</v>
      </c>
      <c r="Z38" s="20">
        <v>4.1630950788110521</v>
      </c>
      <c r="AA38" s="20">
        <v>6.5651867412768024</v>
      </c>
      <c r="AE38" s="20" t="s">
        <v>2</v>
      </c>
      <c r="AF38" s="20">
        <v>0.59605656868800005</v>
      </c>
      <c r="AG38" s="20">
        <v>1.0012902012952309</v>
      </c>
      <c r="AH38" s="20">
        <v>1.635528288019076</v>
      </c>
      <c r="AI38" s="20">
        <v>2.6236439320476341</v>
      </c>
      <c r="AJ38" s="20">
        <v>4.1637845136204872</v>
      </c>
      <c r="AK38" s="20">
        <v>6.5672476664261534</v>
      </c>
    </row>
    <row r="39" spans="1:37" x14ac:dyDescent="0.25">
      <c r="A39" s="20" t="s">
        <v>3</v>
      </c>
      <c r="B39" s="20">
        <v>1.496581304402675</v>
      </c>
      <c r="C39" s="20">
        <v>2.7883446950570132</v>
      </c>
      <c r="D39" s="20">
        <v>5.1747818725505406</v>
      </c>
      <c r="E39" s="20">
        <v>9.6151277233348278</v>
      </c>
      <c r="F39" s="20">
        <v>17.843172419293531</v>
      </c>
      <c r="G39" s="20">
        <v>33.112280059678064</v>
      </c>
      <c r="K39" s="20" t="s">
        <v>3</v>
      </c>
      <c r="L39" s="20">
        <v>1.496581304402675</v>
      </c>
      <c r="M39" s="20">
        <v>2.7883446950570132</v>
      </c>
      <c r="N39" s="20">
        <v>5.174761675242026</v>
      </c>
      <c r="O39" s="20">
        <v>9.6136925911984257</v>
      </c>
      <c r="P39" s="20">
        <v>17.816766726882172</v>
      </c>
      <c r="Q39" s="20">
        <v>33.018715373636851</v>
      </c>
      <c r="U39" s="20" t="s">
        <v>3</v>
      </c>
      <c r="V39" s="20">
        <v>1.496581304402675</v>
      </c>
      <c r="W39" s="20">
        <v>2.788528153837186</v>
      </c>
      <c r="X39" s="20">
        <v>5.1877147640447347</v>
      </c>
      <c r="Y39" s="20">
        <v>9.600898521307732</v>
      </c>
      <c r="Z39" s="20">
        <v>17.763380695732408</v>
      </c>
      <c r="AA39" s="20">
        <v>32.870174089695688</v>
      </c>
      <c r="AE39" s="20" t="s">
        <v>3</v>
      </c>
      <c r="AF39" s="20">
        <v>1.496581304402675</v>
      </c>
      <c r="AG39" s="20">
        <v>2.7883446950570132</v>
      </c>
      <c r="AH39" s="20">
        <v>5.1810856526562734</v>
      </c>
      <c r="AI39" s="20">
        <v>9.5988308937624112</v>
      </c>
      <c r="AJ39" s="20">
        <v>17.616838347685071</v>
      </c>
      <c r="AK39" s="20">
        <v>32.231235074058418</v>
      </c>
    </row>
    <row r="40" spans="1:37" x14ac:dyDescent="0.25">
      <c r="A40" s="20" t="s">
        <v>18</v>
      </c>
      <c r="B40" s="20">
        <v>45393.77360074802</v>
      </c>
      <c r="C40" s="20">
        <v>109970.4914349871</v>
      </c>
      <c r="D40" s="20">
        <v>202061.67786586171</v>
      </c>
      <c r="E40" s="20">
        <v>313473.67840863147</v>
      </c>
      <c r="F40" s="20">
        <v>437912.28820736823</v>
      </c>
      <c r="G40" s="20">
        <v>575867.31073854619</v>
      </c>
      <c r="K40" s="20" t="s">
        <v>18</v>
      </c>
      <c r="L40" s="20">
        <v>45393.77360074802</v>
      </c>
      <c r="M40" s="20">
        <v>109970.4914349871</v>
      </c>
      <c r="N40" s="20">
        <v>202230.46096491319</v>
      </c>
      <c r="O40" s="20">
        <v>313899.54474447208</v>
      </c>
      <c r="P40" s="20">
        <v>439054.67876109842</v>
      </c>
      <c r="Q40" s="20">
        <v>577809.50581014808</v>
      </c>
      <c r="U40" s="20" t="s">
        <v>18</v>
      </c>
      <c r="V40" s="20">
        <v>45393.77360074802</v>
      </c>
      <c r="W40" s="20">
        <v>110021.48111141731</v>
      </c>
      <c r="X40" s="20">
        <v>202234.81071981101</v>
      </c>
      <c r="Y40" s="20">
        <v>313757.78652920359</v>
      </c>
      <c r="Z40" s="20">
        <v>437527.32738715142</v>
      </c>
      <c r="AA40" s="20">
        <v>574582.28377392644</v>
      </c>
      <c r="AE40" s="20" t="s">
        <v>18</v>
      </c>
      <c r="AF40" s="20">
        <v>45393.77360074802</v>
      </c>
      <c r="AG40" s="20">
        <v>109970.4914349871</v>
      </c>
      <c r="AH40" s="20">
        <v>202219.95451455389</v>
      </c>
      <c r="AI40" s="20">
        <v>313182.16308629827</v>
      </c>
      <c r="AJ40" s="20">
        <v>433843.97600425268</v>
      </c>
      <c r="AK40" s="20">
        <v>560444.79680418654</v>
      </c>
    </row>
    <row r="41" spans="1:37" x14ac:dyDescent="0.25">
      <c r="A41" s="20" t="s">
        <v>19</v>
      </c>
      <c r="B41" s="20">
        <v>59185.639391343168</v>
      </c>
      <c r="C41" s="20">
        <v>141378.67531042109</v>
      </c>
      <c r="D41" s="20">
        <v>257254.53889348279</v>
      </c>
      <c r="E41" s="20">
        <v>397119.49376054388</v>
      </c>
      <c r="F41" s="20">
        <v>554762.70635309326</v>
      </c>
      <c r="G41" s="20">
        <v>729528.98653145926</v>
      </c>
      <c r="K41" s="20" t="s">
        <v>19</v>
      </c>
      <c r="L41" s="20">
        <v>59185.639391343168</v>
      </c>
      <c r="M41" s="20">
        <v>141378.67531042109</v>
      </c>
      <c r="N41" s="20">
        <v>254903.58165495409</v>
      </c>
      <c r="O41" s="20">
        <v>389552.15903988219</v>
      </c>
      <c r="P41" s="20">
        <v>541976.09691066353</v>
      </c>
      <c r="Q41" s="20">
        <v>709419.73004940769</v>
      </c>
      <c r="U41" s="20" t="s">
        <v>19</v>
      </c>
      <c r="V41" s="20">
        <v>59185.639391343168</v>
      </c>
      <c r="W41" s="20">
        <v>140073.69279831921</v>
      </c>
      <c r="X41" s="20">
        <v>254909.06435077291</v>
      </c>
      <c r="Y41" s="20">
        <v>387307.61507487617</v>
      </c>
      <c r="Z41" s="20">
        <v>528336.58022670832</v>
      </c>
      <c r="AA41" s="20">
        <v>685954.31640199444</v>
      </c>
      <c r="AE41" s="20" t="s">
        <v>19</v>
      </c>
      <c r="AF41" s="20">
        <v>59185.639391343168</v>
      </c>
      <c r="AG41" s="20">
        <v>141378.67531042109</v>
      </c>
      <c r="AH41" s="20">
        <v>253589.9892878056</v>
      </c>
      <c r="AI41" s="20">
        <v>382420.74486852193</v>
      </c>
      <c r="AJ41" s="20">
        <v>511907.38706311252</v>
      </c>
      <c r="AK41" s="20">
        <v>637388.77615645214</v>
      </c>
    </row>
    <row r="42" spans="1:37" x14ac:dyDescent="0.25">
      <c r="A42" s="20" t="s">
        <v>7</v>
      </c>
      <c r="B42" s="20">
        <v>17.447839999999999</v>
      </c>
      <c r="C42" s="20">
        <v>18.29449</v>
      </c>
      <c r="D42" s="20">
        <v>18.535789999999999</v>
      </c>
      <c r="E42" s="20">
        <v>18.776509999999998</v>
      </c>
      <c r="F42" s="20">
        <v>18.875209999999999</v>
      </c>
      <c r="G42" s="20">
        <v>18.801290000000002</v>
      </c>
      <c r="K42" s="20" t="s">
        <v>7</v>
      </c>
      <c r="L42" s="20">
        <v>17.447839999999999</v>
      </c>
      <c r="M42" s="20">
        <v>18.266200000000001</v>
      </c>
      <c r="N42" s="20">
        <v>19.079370000000001</v>
      </c>
      <c r="O42" s="20">
        <v>19.696829999999999</v>
      </c>
      <c r="P42" s="20">
        <v>20.011869999999998</v>
      </c>
      <c r="Q42" s="20">
        <v>20.236989999999999</v>
      </c>
      <c r="U42" s="20" t="s">
        <v>7</v>
      </c>
      <c r="V42" s="20">
        <v>17.447839999999999</v>
      </c>
      <c r="W42" s="20">
        <v>18.638359999999999</v>
      </c>
      <c r="X42" s="20">
        <v>19.118860000000002</v>
      </c>
      <c r="Y42" s="20">
        <v>19.971399999999999</v>
      </c>
      <c r="Z42" s="20">
        <v>20.8019</v>
      </c>
      <c r="AA42" s="20">
        <v>21.297689999999999</v>
      </c>
      <c r="AE42" s="20" t="s">
        <v>7</v>
      </c>
      <c r="AF42" s="20">
        <v>17.447839999999999</v>
      </c>
      <c r="AG42" s="20">
        <v>18.11337</v>
      </c>
      <c r="AH42" s="20">
        <v>19.21679</v>
      </c>
      <c r="AI42" s="20">
        <v>20.49081</v>
      </c>
      <c r="AJ42" s="20">
        <v>21.925709999999999</v>
      </c>
      <c r="AK42" s="20">
        <v>23.287559999999999</v>
      </c>
    </row>
    <row r="43" spans="1:37" x14ac:dyDescent="0.25">
      <c r="A43" s="20" t="s">
        <v>52</v>
      </c>
      <c r="B43" s="20">
        <v>27.750609632</v>
      </c>
      <c r="C43" s="20">
        <v>28.495492301999999</v>
      </c>
      <c r="D43" s="20">
        <v>28.707788042000001</v>
      </c>
      <c r="E43" s="20">
        <v>28.919573498000009</v>
      </c>
      <c r="F43" s="20">
        <v>29.006409758</v>
      </c>
      <c r="G43" s="20">
        <v>28.941374941999999</v>
      </c>
      <c r="K43" s="20" t="s">
        <v>52</v>
      </c>
      <c r="L43" s="20">
        <v>27.750609632</v>
      </c>
      <c r="M43" s="20">
        <v>28.470602759999998</v>
      </c>
      <c r="N43" s="20">
        <v>29.186029726000001</v>
      </c>
      <c r="O43" s="20">
        <v>29.729271034</v>
      </c>
      <c r="P43" s="20">
        <v>30.006443225999998</v>
      </c>
      <c r="Q43" s="20">
        <v>30.204503802000001</v>
      </c>
      <c r="U43" s="20" t="s">
        <v>52</v>
      </c>
      <c r="V43" s="20">
        <v>27.750609632</v>
      </c>
      <c r="W43" s="20">
        <v>28.798029128</v>
      </c>
      <c r="X43" s="20">
        <v>29.220773028</v>
      </c>
      <c r="Y43" s="20">
        <v>29.970837719999999</v>
      </c>
      <c r="Z43" s="20">
        <v>30.701511620000002</v>
      </c>
      <c r="AA43" s="20">
        <v>31.137707662</v>
      </c>
      <c r="AE43" s="20" t="s">
        <v>52</v>
      </c>
      <c r="AF43" s="20">
        <v>27.750609632</v>
      </c>
      <c r="AG43" s="20">
        <v>28.336142926000001</v>
      </c>
      <c r="AH43" s="20">
        <v>29.306931842000001</v>
      </c>
      <c r="AI43" s="20">
        <v>30.427814638000001</v>
      </c>
      <c r="AJ43" s="20">
        <v>31.690239657999999</v>
      </c>
      <c r="AK43" s="20">
        <v>32.888395287999998</v>
      </c>
    </row>
    <row r="44" spans="1:37" x14ac:dyDescent="0.25">
      <c r="A44" s="20" t="s">
        <v>4</v>
      </c>
      <c r="B44" s="20">
        <v>0.92311634638663587</v>
      </c>
      <c r="C44" s="20">
        <v>0.95122942450071424</v>
      </c>
      <c r="D44" s="20">
        <v>0.96078943915232329</v>
      </c>
      <c r="E44" s="20">
        <v>0.97044553354850793</v>
      </c>
      <c r="F44" s="20">
        <v>0.97044553354850793</v>
      </c>
      <c r="G44" s="20">
        <v>0.97044553354850793</v>
      </c>
      <c r="K44" s="20" t="s">
        <v>4</v>
      </c>
      <c r="L44" s="20">
        <v>0.92311634638663587</v>
      </c>
      <c r="M44" s="20">
        <v>0.95122942450071424</v>
      </c>
      <c r="N44" s="20">
        <v>0.97044553354850793</v>
      </c>
      <c r="O44" s="20">
        <v>0.99004983374916744</v>
      </c>
      <c r="P44" s="20">
        <v>0.99004983374916744</v>
      </c>
      <c r="Q44" s="20">
        <v>0.99004983374916744</v>
      </c>
      <c r="U44" s="20" t="s">
        <v>4</v>
      </c>
      <c r="V44" s="20">
        <v>0.92311634638663587</v>
      </c>
      <c r="W44" s="20">
        <v>0.96078943915232329</v>
      </c>
      <c r="X44" s="20">
        <v>0.98019867330675492</v>
      </c>
      <c r="Y44" s="20">
        <v>0.99004983374916744</v>
      </c>
      <c r="Z44" s="20">
        <v>1</v>
      </c>
      <c r="AA44" s="20">
        <v>1</v>
      </c>
      <c r="AE44" s="20" t="s">
        <v>4</v>
      </c>
      <c r="AF44" s="20">
        <v>0.92311634638663587</v>
      </c>
      <c r="AG44" s="20">
        <v>0.95122942450071424</v>
      </c>
      <c r="AH44" s="20">
        <v>0.98019867330675492</v>
      </c>
      <c r="AI44" s="20">
        <v>1</v>
      </c>
      <c r="AJ44" s="20">
        <v>0.99004983374916744</v>
      </c>
      <c r="AK44" s="20">
        <v>0.97044553354850793</v>
      </c>
    </row>
    <row r="45" spans="1:37" x14ac:dyDescent="0.25">
      <c r="A45" s="20" t="s">
        <v>5</v>
      </c>
      <c r="B45" s="20">
        <v>1</v>
      </c>
      <c r="C45" s="20">
        <v>1</v>
      </c>
      <c r="D45" s="20">
        <v>1</v>
      </c>
      <c r="E45" s="20">
        <v>1</v>
      </c>
      <c r="F45" s="20">
        <v>1</v>
      </c>
      <c r="G45" s="20">
        <v>1</v>
      </c>
      <c r="K45" s="20" t="s">
        <v>5</v>
      </c>
      <c r="L45" s="20">
        <v>1</v>
      </c>
      <c r="M45" s="20">
        <v>1</v>
      </c>
      <c r="N45" s="20">
        <v>1</v>
      </c>
      <c r="O45" s="20">
        <v>1</v>
      </c>
      <c r="P45" s="20">
        <v>1</v>
      </c>
      <c r="Q45" s="20">
        <v>1</v>
      </c>
      <c r="U45" s="20" t="s">
        <v>5</v>
      </c>
      <c r="V45" s="20">
        <v>1</v>
      </c>
      <c r="W45" s="20">
        <v>1</v>
      </c>
      <c r="X45" s="20">
        <v>1</v>
      </c>
      <c r="Y45" s="20">
        <v>1</v>
      </c>
      <c r="Z45" s="20">
        <v>1</v>
      </c>
      <c r="AA45" s="20">
        <v>1</v>
      </c>
      <c r="AE45" s="20" t="s">
        <v>5</v>
      </c>
      <c r="AF45" s="20">
        <v>1</v>
      </c>
      <c r="AG45" s="20">
        <v>1</v>
      </c>
      <c r="AH45" s="20">
        <v>1</v>
      </c>
      <c r="AI45" s="20">
        <v>1</v>
      </c>
      <c r="AJ45" s="20">
        <v>1</v>
      </c>
      <c r="AK45" s="20">
        <v>1</v>
      </c>
    </row>
    <row r="46" spans="1:37" x14ac:dyDescent="0.25">
      <c r="A46" s="20" t="s">
        <v>20</v>
      </c>
      <c r="B46" s="20">
        <v>1</v>
      </c>
      <c r="C46" s="20">
        <v>0.94627095271536965</v>
      </c>
      <c r="D46" s="20">
        <v>0.93231395090361513</v>
      </c>
      <c r="E46" s="20">
        <v>0.92479939883583451</v>
      </c>
      <c r="F46" s="20">
        <v>0.92479939883583451</v>
      </c>
      <c r="G46" s="20">
        <v>0.92479939883583451</v>
      </c>
      <c r="K46" s="20" t="s">
        <v>20</v>
      </c>
      <c r="L46" s="20">
        <v>1</v>
      </c>
      <c r="M46" s="20">
        <v>0.94627095271536965</v>
      </c>
      <c r="N46" s="20">
        <v>0.91693862656807257</v>
      </c>
      <c r="O46" s="20">
        <v>0.89139111669784621</v>
      </c>
      <c r="P46" s="20">
        <v>0.88225365744265238</v>
      </c>
      <c r="Q46" s="20">
        <v>0.87282505847383773</v>
      </c>
      <c r="U46" s="20" t="s">
        <v>20</v>
      </c>
      <c r="V46" s="20">
        <v>1</v>
      </c>
      <c r="W46" s="20">
        <v>0.93231395090361513</v>
      </c>
      <c r="X46" s="20">
        <v>0.91693862656807257</v>
      </c>
      <c r="Y46" s="20">
        <v>0.88225365744265238</v>
      </c>
      <c r="Z46" s="20">
        <v>0.84289864993793617</v>
      </c>
      <c r="AA46" s="20">
        <v>0.82170053132997734</v>
      </c>
      <c r="AE46" s="20" t="s">
        <v>20</v>
      </c>
      <c r="AF46" s="20">
        <v>1</v>
      </c>
      <c r="AG46" s="20">
        <v>0.94627095271536965</v>
      </c>
      <c r="AH46" s="20">
        <v>0.9087454042219193</v>
      </c>
      <c r="AI46" s="20">
        <v>0.86311515559253815</v>
      </c>
      <c r="AJ46" s="20">
        <v>0.79962112494024751</v>
      </c>
      <c r="AK46" s="20">
        <v>0.72910433227696836</v>
      </c>
    </row>
    <row r="47" spans="1:37" x14ac:dyDescent="0.25">
      <c r="A47" s="20" t="s">
        <v>21</v>
      </c>
      <c r="B47" s="20">
        <v>1</v>
      </c>
      <c r="C47" s="20">
        <v>0.99356517912022047</v>
      </c>
      <c r="D47" s="20">
        <v>0.98848865179879042</v>
      </c>
      <c r="E47" s="20">
        <v>0.98540782953795247</v>
      </c>
      <c r="F47" s="20">
        <v>0.98540782953795247</v>
      </c>
      <c r="G47" s="20">
        <v>0.98540782953795247</v>
      </c>
      <c r="K47" s="20" t="s">
        <v>21</v>
      </c>
      <c r="L47" s="20">
        <v>1</v>
      </c>
      <c r="M47" s="20">
        <v>0.99356517912022047</v>
      </c>
      <c r="N47" s="20">
        <v>0.98197288977586894</v>
      </c>
      <c r="O47" s="20">
        <v>0.96957624782154495</v>
      </c>
      <c r="P47" s="20">
        <v>0.96476277921532627</v>
      </c>
      <c r="Q47" s="20">
        <v>0.95961542839364711</v>
      </c>
      <c r="U47" s="20" t="s">
        <v>21</v>
      </c>
      <c r="V47" s="20">
        <v>1</v>
      </c>
      <c r="W47" s="20">
        <v>0.98848865179879042</v>
      </c>
      <c r="X47" s="20">
        <v>0.98197288977586894</v>
      </c>
      <c r="Y47" s="20">
        <v>0.96476277921532627</v>
      </c>
      <c r="Z47" s="20">
        <v>0.94223331790392795</v>
      </c>
      <c r="AA47" s="20">
        <v>0.929093029196988</v>
      </c>
      <c r="AE47" s="20" t="s">
        <v>21</v>
      </c>
      <c r="AF47" s="20">
        <v>1</v>
      </c>
      <c r="AG47" s="20">
        <v>0.99356517912022047</v>
      </c>
      <c r="AH47" s="20">
        <v>0.97818889133398601</v>
      </c>
      <c r="AI47" s="20">
        <v>0.95414178358867729</v>
      </c>
      <c r="AJ47" s="20">
        <v>0.91477656450376754</v>
      </c>
      <c r="AK47" s="20">
        <v>0.86537970249071072</v>
      </c>
    </row>
    <row r="48" spans="1:37" x14ac:dyDescent="0.25">
      <c r="A48" s="20" t="s">
        <v>10</v>
      </c>
      <c r="B48" s="20">
        <v>0.95158196281263585</v>
      </c>
      <c r="C48" s="20">
        <v>0.14705743534954799</v>
      </c>
      <c r="D48" s="20">
        <v>1.86723613415293E-2</v>
      </c>
      <c r="E48" s="20">
        <v>2.0018006898306819E-3</v>
      </c>
      <c r="F48" s="20">
        <v>1.932463736042894E-4</v>
      </c>
      <c r="G48" s="20">
        <v>1.7561075638781829E-5</v>
      </c>
      <c r="K48" s="20" t="s">
        <v>10</v>
      </c>
      <c r="L48" s="20">
        <v>0.95158196281263585</v>
      </c>
      <c r="M48" s="20">
        <v>0.14705743534954799</v>
      </c>
      <c r="N48" s="20">
        <v>1.8687958455475499E-2</v>
      </c>
      <c r="O48" s="20">
        <v>2.0045202148931671E-3</v>
      </c>
      <c r="P48" s="20">
        <v>1.9375049928811489E-4</v>
      </c>
      <c r="Q48" s="20">
        <v>1.7620302884228231E-5</v>
      </c>
      <c r="U48" s="20" t="s">
        <v>10</v>
      </c>
      <c r="V48" s="20">
        <v>0.95158196281263585</v>
      </c>
      <c r="W48" s="20">
        <v>0.14712562101415019</v>
      </c>
      <c r="X48" s="20">
        <v>1.868836041291768E-2</v>
      </c>
      <c r="Y48" s="20">
        <v>2.003614966023296E-3</v>
      </c>
      <c r="Z48" s="20">
        <v>1.9307649419124259E-4</v>
      </c>
      <c r="AA48" s="20">
        <v>1.7521888737037709E-5</v>
      </c>
      <c r="AE48" s="20" t="s">
        <v>10</v>
      </c>
      <c r="AF48" s="20">
        <v>0.95158196281263585</v>
      </c>
      <c r="AG48" s="20">
        <v>0.14705743534954799</v>
      </c>
      <c r="AH48" s="20">
        <v>1.868698756262932E-2</v>
      </c>
      <c r="AI48" s="20">
        <v>1.9999391122452691E-3</v>
      </c>
      <c r="AJ48" s="20">
        <v>1.9145106755530749E-4</v>
      </c>
      <c r="AK48" s="20">
        <v>1.7090766022849448E-5</v>
      </c>
    </row>
    <row r="49" spans="1:37" x14ac:dyDescent="0.25">
      <c r="A49" s="20" t="s">
        <v>12</v>
      </c>
      <c r="B49" s="20">
        <v>0.8649398558400595</v>
      </c>
      <c r="C49" s="20">
        <v>1.6932691590800579</v>
      </c>
      <c r="D49" s="20">
        <v>2.5250946430728178</v>
      </c>
      <c r="E49" s="20">
        <v>3.1945401074721151</v>
      </c>
      <c r="F49" s="20">
        <v>3.6573533522935522</v>
      </c>
      <c r="G49" s="20">
        <v>3.9416198834486802</v>
      </c>
      <c r="K49" s="20" t="s">
        <v>12</v>
      </c>
      <c r="L49" s="20">
        <v>0.8649398558400595</v>
      </c>
      <c r="M49" s="20">
        <v>1.6932691590800579</v>
      </c>
      <c r="N49" s="20">
        <v>2.5020187060859098</v>
      </c>
      <c r="O49" s="20">
        <v>3.1336663537238372</v>
      </c>
      <c r="P49" s="20">
        <v>3.57305578078561</v>
      </c>
      <c r="Q49" s="20">
        <v>3.832970266155364</v>
      </c>
      <c r="U49" s="20" t="s">
        <v>12</v>
      </c>
      <c r="V49" s="20">
        <v>0.8649398558400595</v>
      </c>
      <c r="W49" s="20">
        <v>1.677639598002129</v>
      </c>
      <c r="X49" s="20">
        <v>2.5020725217577389</v>
      </c>
      <c r="Y49" s="20">
        <v>3.1156106152575722</v>
      </c>
      <c r="Z49" s="20">
        <v>3.4831352949698662</v>
      </c>
      <c r="AA49" s="20">
        <v>3.70618744777039</v>
      </c>
      <c r="AE49" s="20" t="s">
        <v>12</v>
      </c>
      <c r="AF49" s="20">
        <v>0.8649398558400595</v>
      </c>
      <c r="AG49" s="20">
        <v>1.6932691590800579</v>
      </c>
      <c r="AH49" s="20">
        <v>2.4891250752728831</v>
      </c>
      <c r="AI49" s="20">
        <v>3.076299266609392</v>
      </c>
      <c r="AJ49" s="20">
        <v>3.3748234636152339</v>
      </c>
      <c r="AK49" s="20">
        <v>3.4437895134643188</v>
      </c>
    </row>
    <row r="50" spans="1:37" x14ac:dyDescent="0.25">
      <c r="A50" s="20" t="s">
        <v>11</v>
      </c>
      <c r="B50" s="20">
        <v>10983.690880356169</v>
      </c>
      <c r="C50" s="20">
        <v>187031.67589567549</v>
      </c>
      <c r="D50" s="20">
        <v>2672407.8541710018</v>
      </c>
      <c r="E50" s="20">
        <v>35793992.836597532</v>
      </c>
      <c r="F50" s="20">
        <v>463005969.89176083</v>
      </c>
      <c r="G50" s="20">
        <v>5836229804.4790697</v>
      </c>
      <c r="K50" s="20" t="s">
        <v>11</v>
      </c>
      <c r="L50" s="20">
        <v>10983.690880356169</v>
      </c>
      <c r="M50" s="20">
        <v>187031.67589567549</v>
      </c>
      <c r="N50" s="20">
        <v>2628344.616606493</v>
      </c>
      <c r="O50" s="20">
        <v>34505725.331760287</v>
      </c>
      <c r="P50" s="20">
        <v>442335272.63420558</v>
      </c>
      <c r="Q50" s="20">
        <v>5523623483.3256865</v>
      </c>
      <c r="U50" s="20" t="s">
        <v>11</v>
      </c>
      <c r="V50" s="20">
        <v>10983.690880356169</v>
      </c>
      <c r="W50" s="20">
        <v>184263.47777253031</v>
      </c>
      <c r="X50" s="20">
        <v>2622592.691471511</v>
      </c>
      <c r="Y50" s="20">
        <v>34191007.583687231</v>
      </c>
      <c r="Z50" s="20">
        <v>423795535.09819478</v>
      </c>
      <c r="AA50" s="20">
        <v>5222933972.1232901</v>
      </c>
      <c r="AE50" s="20" t="s">
        <v>11</v>
      </c>
      <c r="AF50" s="20">
        <v>10983.690880356169</v>
      </c>
      <c r="AG50" s="20">
        <v>187031.67589567549</v>
      </c>
      <c r="AH50" s="20">
        <v>2602077.5614986331</v>
      </c>
      <c r="AI50" s="20">
        <v>33457687.42476527</v>
      </c>
      <c r="AJ50" s="20">
        <v>405268040.10942042</v>
      </c>
      <c r="AK50" s="20">
        <v>4724957472.6154099</v>
      </c>
    </row>
    <row r="51" spans="1:37" x14ac:dyDescent="0.25">
      <c r="A51" s="20" t="s">
        <v>13</v>
      </c>
      <c r="B51" s="20">
        <v>24411.670831598469</v>
      </c>
      <c r="C51" s="20">
        <v>61137.997658049819</v>
      </c>
      <c r="D51" s="20">
        <v>138040.00492827501</v>
      </c>
      <c r="E51" s="20">
        <v>291116.14384885709</v>
      </c>
      <c r="F51" s="20">
        <v>589239.28015403019</v>
      </c>
      <c r="G51" s="20">
        <v>1162214.9031709291</v>
      </c>
      <c r="K51" s="20" t="s">
        <v>13</v>
      </c>
      <c r="L51" s="20">
        <v>24411.670831598469</v>
      </c>
      <c r="M51" s="20">
        <v>61137.997658049819</v>
      </c>
      <c r="N51" s="20">
        <v>137130.02778758921</v>
      </c>
      <c r="O51" s="20">
        <v>286436.04836357362</v>
      </c>
      <c r="P51" s="20">
        <v>576862.21886890265</v>
      </c>
      <c r="Q51" s="20">
        <v>1131750.6563906011</v>
      </c>
      <c r="U51" s="20" t="s">
        <v>13</v>
      </c>
      <c r="V51" s="20">
        <v>24411.670831598469</v>
      </c>
      <c r="W51" s="20">
        <v>60826.458872673553</v>
      </c>
      <c r="X51" s="20">
        <v>137172.4322986402</v>
      </c>
      <c r="Y51" s="20">
        <v>284959.71435018431</v>
      </c>
      <c r="Z51" s="20">
        <v>563286.90716186597</v>
      </c>
      <c r="AA51" s="20">
        <v>1095616.7751499701</v>
      </c>
      <c r="AE51" s="20" t="s">
        <v>13</v>
      </c>
      <c r="AF51" s="20">
        <v>24411.670831598469</v>
      </c>
      <c r="AG51" s="20">
        <v>61137.997658049819</v>
      </c>
      <c r="AH51" s="20">
        <v>136622.4856083155</v>
      </c>
      <c r="AI51" s="20">
        <v>281832.48371123307</v>
      </c>
      <c r="AJ51" s="20">
        <v>546720.87163541117</v>
      </c>
      <c r="AK51" s="20">
        <v>1020207.182922447</v>
      </c>
    </row>
    <row r="52" spans="1:37" x14ac:dyDescent="0.25">
      <c r="A52" s="20" t="s">
        <v>22</v>
      </c>
      <c r="B52" s="20">
        <v>18427.26254075639</v>
      </c>
      <c r="C52" s="20">
        <v>78515.190280982453</v>
      </c>
      <c r="D52" s="20">
        <v>146171.64662947349</v>
      </c>
      <c r="E52" s="20">
        <v>229061.9734536157</v>
      </c>
      <c r="F52" s="20">
        <v>323488.95960361388</v>
      </c>
      <c r="G52" s="20">
        <v>428052.93529418542</v>
      </c>
      <c r="K52" s="20" t="s">
        <v>22</v>
      </c>
      <c r="L52" s="20">
        <v>18427.26254075639</v>
      </c>
      <c r="M52" s="20">
        <v>78515.190280982453</v>
      </c>
      <c r="N52" s="20">
        <v>143881.10980911739</v>
      </c>
      <c r="O52" s="20">
        <v>221086.33331469301</v>
      </c>
      <c r="P52" s="20">
        <v>309405.74229565868</v>
      </c>
      <c r="Q52" s="20">
        <v>405350.07503516198</v>
      </c>
      <c r="U52" s="20" t="s">
        <v>22</v>
      </c>
      <c r="V52" s="20">
        <v>18427.26254075639</v>
      </c>
      <c r="W52" s="20">
        <v>77393.275450719404</v>
      </c>
      <c r="X52" s="20">
        <v>143897.40119490621</v>
      </c>
      <c r="Y52" s="20">
        <v>218714.59732881151</v>
      </c>
      <c r="Z52" s="20">
        <v>294563.93740845408</v>
      </c>
      <c r="AA52" s="20">
        <v>379463.09567673597</v>
      </c>
      <c r="AE52" s="20" t="s">
        <v>22</v>
      </c>
      <c r="AF52" s="20">
        <v>18427.26254075639</v>
      </c>
      <c r="AG52" s="20">
        <v>78515.190280982453</v>
      </c>
      <c r="AH52" s="20">
        <v>142594.45659846201</v>
      </c>
      <c r="AI52" s="20">
        <v>213576.4817533202</v>
      </c>
      <c r="AJ52" s="20">
        <v>277056.90603520971</v>
      </c>
      <c r="AK52" s="20">
        <v>328368.78917626513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-0.249977111117893"/>
  </sheetPr>
  <dimension ref="A1:AK5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20"/>
  </cols>
  <sheetData>
    <row r="1" spans="1:37" x14ac:dyDescent="0.25">
      <c r="A1" s="20" t="s">
        <v>49</v>
      </c>
      <c r="B1" s="20" t="s">
        <v>55</v>
      </c>
    </row>
    <row r="2" spans="1:37" x14ac:dyDescent="0.25">
      <c r="A2" s="20" t="s">
        <v>33</v>
      </c>
      <c r="B2" s="20">
        <v>0.27500000000000002</v>
      </c>
    </row>
    <row r="3" spans="1:37" x14ac:dyDescent="0.25">
      <c r="A3" s="20" t="s">
        <v>14</v>
      </c>
      <c r="B3" s="20">
        <v>0.75</v>
      </c>
    </row>
    <row r="4" spans="1:37" x14ac:dyDescent="0.25">
      <c r="A4" s="20" t="s">
        <v>23</v>
      </c>
      <c r="B4" s="20">
        <v>0.4</v>
      </c>
    </row>
    <row r="5" spans="1:37" x14ac:dyDescent="0.25">
      <c r="A5" s="20" t="s">
        <v>16</v>
      </c>
      <c r="B5" s="20">
        <v>0.1893549842288946</v>
      </c>
    </row>
    <row r="6" spans="1:37" x14ac:dyDescent="0.25">
      <c r="A6" s="20" t="s">
        <v>17</v>
      </c>
      <c r="B6" s="20">
        <v>0.2556026411779832</v>
      </c>
    </row>
    <row r="7" spans="1:37" x14ac:dyDescent="0.25">
      <c r="A7" s="20" t="s">
        <v>15</v>
      </c>
      <c r="B7" s="20">
        <v>2000</v>
      </c>
      <c r="C7" s="20">
        <v>2020</v>
      </c>
      <c r="D7" s="20">
        <v>2040</v>
      </c>
      <c r="E7" s="20">
        <v>2060</v>
      </c>
      <c r="F7" s="20">
        <v>2080</v>
      </c>
      <c r="G7" s="20">
        <v>2100</v>
      </c>
      <c r="K7" s="20" t="s">
        <v>15</v>
      </c>
      <c r="L7" s="20">
        <v>2000</v>
      </c>
      <c r="M7" s="20">
        <v>2020</v>
      </c>
      <c r="N7" s="20">
        <v>2040</v>
      </c>
      <c r="O7" s="20">
        <v>2060</v>
      </c>
      <c r="P7" s="20">
        <v>2080</v>
      </c>
      <c r="Q7" s="20">
        <v>2100</v>
      </c>
      <c r="U7" s="20" t="s">
        <v>15</v>
      </c>
      <c r="V7" s="20">
        <v>2000</v>
      </c>
      <c r="W7" s="20">
        <v>2020</v>
      </c>
      <c r="X7" s="20">
        <v>2040</v>
      </c>
      <c r="Y7" s="20">
        <v>2060</v>
      </c>
      <c r="Z7" s="20">
        <v>2080</v>
      </c>
      <c r="AA7" s="20">
        <v>2100</v>
      </c>
      <c r="AE7" s="20" t="s">
        <v>15</v>
      </c>
      <c r="AF7" s="20">
        <v>2000</v>
      </c>
      <c r="AG7" s="20">
        <v>2020</v>
      </c>
      <c r="AH7" s="20">
        <v>2040</v>
      </c>
      <c r="AI7" s="20">
        <v>2060</v>
      </c>
      <c r="AJ7" s="20">
        <v>2080</v>
      </c>
      <c r="AK7" s="20">
        <v>2100</v>
      </c>
    </row>
    <row r="8" spans="1:37" x14ac:dyDescent="0.25">
      <c r="A8" s="20" t="s">
        <v>11</v>
      </c>
      <c r="B8" s="20">
        <v>34882.007858792203</v>
      </c>
      <c r="C8" s="20">
        <v>684684.05028793472</v>
      </c>
      <c r="D8" s="20">
        <v>9935649.8685142957</v>
      </c>
      <c r="E8" s="20">
        <v>134364414.50865129</v>
      </c>
      <c r="F8" s="20">
        <v>1738545988.6748879</v>
      </c>
      <c r="G8" s="20">
        <v>21918155162.466648</v>
      </c>
      <c r="K8" s="20" t="s">
        <v>11</v>
      </c>
      <c r="L8" s="20">
        <v>34882.007858792203</v>
      </c>
      <c r="M8" s="20">
        <v>684684.05028793472</v>
      </c>
      <c r="N8" s="20">
        <v>9935649.8685142957</v>
      </c>
      <c r="O8" s="20">
        <v>134364414.50865129</v>
      </c>
      <c r="P8" s="20">
        <v>1738545988.6748879</v>
      </c>
      <c r="Q8" s="20">
        <v>21918155162.466648</v>
      </c>
      <c r="U8" s="20" t="s">
        <v>11</v>
      </c>
      <c r="V8" s="20">
        <v>34882.007858792203</v>
      </c>
      <c r="W8" s="20">
        <v>684684.05028793472</v>
      </c>
      <c r="X8" s="20">
        <v>9935649.8685142957</v>
      </c>
      <c r="Y8" s="20">
        <v>134364414.50865129</v>
      </c>
      <c r="Z8" s="20">
        <v>1738545988.6748879</v>
      </c>
      <c r="AA8" s="20">
        <v>21918155162.466648</v>
      </c>
      <c r="AE8" s="20" t="s">
        <v>11</v>
      </c>
      <c r="AF8" s="20">
        <v>34882.007858792203</v>
      </c>
      <c r="AG8" s="20">
        <v>684684.05028793472</v>
      </c>
      <c r="AH8" s="20">
        <v>9935649.8685142957</v>
      </c>
      <c r="AI8" s="20">
        <v>134364414.50865129</v>
      </c>
      <c r="AJ8" s="20">
        <v>1738545988.6748879</v>
      </c>
      <c r="AK8" s="20">
        <v>21918155162.466648</v>
      </c>
    </row>
    <row r="9" spans="1:37" x14ac:dyDescent="0.25">
      <c r="A9" s="20" t="s">
        <v>13</v>
      </c>
      <c r="B9" s="20">
        <v>77526.589474307286</v>
      </c>
      <c r="C9" s="20">
        <v>194952.79889049209</v>
      </c>
      <c r="D9" s="20">
        <v>442674.49304717709</v>
      </c>
      <c r="E9" s="20">
        <v>936745.12261138635</v>
      </c>
      <c r="F9" s="20">
        <v>1896585.0210284709</v>
      </c>
      <c r="G9" s="20">
        <v>3741442.597104263</v>
      </c>
      <c r="K9" s="20" t="s">
        <v>13</v>
      </c>
      <c r="L9" s="20">
        <v>77526.589474307286</v>
      </c>
      <c r="M9" s="20">
        <v>194952.79889049209</v>
      </c>
      <c r="N9" s="20">
        <v>442674.49304717709</v>
      </c>
      <c r="O9" s="20">
        <v>936745.12261138635</v>
      </c>
      <c r="P9" s="20">
        <v>1896585.0210284709</v>
      </c>
      <c r="Q9" s="20">
        <v>3741442.597104263</v>
      </c>
      <c r="U9" s="20" t="s">
        <v>13</v>
      </c>
      <c r="V9" s="20">
        <v>77526.589474307286</v>
      </c>
      <c r="W9" s="20">
        <v>194952.79889049209</v>
      </c>
      <c r="X9" s="20">
        <v>442674.49304717709</v>
      </c>
      <c r="Y9" s="20">
        <v>936745.12261138635</v>
      </c>
      <c r="Z9" s="20">
        <v>1896585.0210284709</v>
      </c>
      <c r="AA9" s="20">
        <v>3741442.597104263</v>
      </c>
      <c r="AE9" s="20" t="s">
        <v>13</v>
      </c>
      <c r="AF9" s="20">
        <v>77526.589474307286</v>
      </c>
      <c r="AG9" s="20">
        <v>194952.79889049209</v>
      </c>
      <c r="AH9" s="20">
        <v>442674.49304717709</v>
      </c>
      <c r="AI9" s="20">
        <v>936745.12261138635</v>
      </c>
      <c r="AJ9" s="20">
        <v>1896585.0210284709</v>
      </c>
      <c r="AK9" s="20">
        <v>3741442.597104263</v>
      </c>
    </row>
    <row r="10" spans="1:37" x14ac:dyDescent="0.25">
      <c r="A10" s="20" t="s">
        <v>51</v>
      </c>
      <c r="B10" s="20">
        <v>60884.568329200003</v>
      </c>
      <c r="C10" s="20">
        <v>260188.3395499535</v>
      </c>
      <c r="D10" s="20">
        <v>788922.14308293711</v>
      </c>
      <c r="E10" s="20">
        <v>1975270.3466164069</v>
      </c>
      <c r="F10" s="20">
        <v>4396543.2867518058</v>
      </c>
      <c r="G10" s="20">
        <v>9138906.4554719739</v>
      </c>
      <c r="K10" s="20" t="s">
        <v>51</v>
      </c>
      <c r="L10" s="20">
        <v>60884.568329200003</v>
      </c>
      <c r="M10" s="20">
        <v>260188.3395499535</v>
      </c>
      <c r="N10" s="20">
        <v>788922.14308293711</v>
      </c>
      <c r="O10" s="20">
        <v>1975270.3466164069</v>
      </c>
      <c r="P10" s="20">
        <v>4396543.2867518058</v>
      </c>
      <c r="Q10" s="20">
        <v>9138906.4554719739</v>
      </c>
      <c r="U10" s="20" t="s">
        <v>51</v>
      </c>
      <c r="V10" s="20">
        <v>60884.568329200003</v>
      </c>
      <c r="W10" s="20">
        <v>260188.3395499535</v>
      </c>
      <c r="X10" s="20">
        <v>788922.14308293711</v>
      </c>
      <c r="Y10" s="20">
        <v>1975270.3466164069</v>
      </c>
      <c r="Z10" s="20">
        <v>4396543.2867518058</v>
      </c>
      <c r="AA10" s="20">
        <v>9138906.4554719739</v>
      </c>
      <c r="AE10" s="20" t="s">
        <v>51</v>
      </c>
      <c r="AF10" s="20">
        <v>60884.568329200003</v>
      </c>
      <c r="AG10" s="20">
        <v>260188.3395499535</v>
      </c>
      <c r="AH10" s="20">
        <v>788922.14308293711</v>
      </c>
      <c r="AI10" s="20">
        <v>1975270.3466164069</v>
      </c>
      <c r="AJ10" s="20">
        <v>4396543.2867518058</v>
      </c>
      <c r="AK10" s="20">
        <v>9138906.4554719739</v>
      </c>
    </row>
    <row r="11" spans="1:37" x14ac:dyDescent="0.25">
      <c r="A11" s="20" t="s">
        <v>0</v>
      </c>
      <c r="B11" s="20">
        <v>0.75821948022449992</v>
      </c>
      <c r="C11" s="20">
        <v>0.84203325471364565</v>
      </c>
      <c r="D11" s="20">
        <v>0.84438357616233595</v>
      </c>
      <c r="E11" s="20">
        <v>0.78910033751592634</v>
      </c>
      <c r="F11" s="20">
        <v>0.70556757584061891</v>
      </c>
      <c r="G11" s="20">
        <v>0.61469671861714426</v>
      </c>
      <c r="K11" s="20" t="s">
        <v>0</v>
      </c>
      <c r="L11" s="20">
        <v>0.75821948022449992</v>
      </c>
      <c r="M11" s="20">
        <v>0.84203325471364565</v>
      </c>
      <c r="N11" s="20">
        <v>0.84438357616233595</v>
      </c>
      <c r="O11" s="20">
        <v>0.78910033751592634</v>
      </c>
      <c r="P11" s="20">
        <v>0.70556757584061891</v>
      </c>
      <c r="Q11" s="20">
        <v>0.61469671861714426</v>
      </c>
      <c r="U11" s="20" t="s">
        <v>0</v>
      </c>
      <c r="V11" s="20">
        <v>0.75821948022449992</v>
      </c>
      <c r="W11" s="20">
        <v>0.84203325471364565</v>
      </c>
      <c r="X11" s="20">
        <v>0.84438357616233595</v>
      </c>
      <c r="Y11" s="20">
        <v>0.78910033751592634</v>
      </c>
      <c r="Z11" s="20">
        <v>0.70556757584061891</v>
      </c>
      <c r="AA11" s="20">
        <v>0.61469671861714426</v>
      </c>
      <c r="AE11" s="20" t="s">
        <v>0</v>
      </c>
      <c r="AF11" s="20">
        <v>0.75821948022449992</v>
      </c>
      <c r="AG11" s="20">
        <v>0.84203325471364565</v>
      </c>
      <c r="AH11" s="20">
        <v>0.84438357616233595</v>
      </c>
      <c r="AI11" s="20">
        <v>0.78910033751592634</v>
      </c>
      <c r="AJ11" s="20">
        <v>0.70556757584061891</v>
      </c>
      <c r="AK11" s="20">
        <v>0.61469671861714426</v>
      </c>
    </row>
    <row r="12" spans="1:37" x14ac:dyDescent="0.25">
      <c r="A12" s="20" t="s">
        <v>1</v>
      </c>
      <c r="B12" s="20">
        <v>1.1347370987379</v>
      </c>
      <c r="C12" s="20">
        <v>2.3385495359659849</v>
      </c>
      <c r="D12" s="20">
        <v>4.3518520481560241</v>
      </c>
      <c r="E12" s="20">
        <v>7.547160541344847</v>
      </c>
      <c r="F12" s="20">
        <v>12.522959855175021</v>
      </c>
      <c r="G12" s="20">
        <v>20.246328680709709</v>
      </c>
      <c r="K12" s="20" t="s">
        <v>1</v>
      </c>
      <c r="L12" s="20">
        <v>1.1347370987379</v>
      </c>
      <c r="M12" s="20">
        <v>2.3385495359659849</v>
      </c>
      <c r="N12" s="20">
        <v>4.3518520481560241</v>
      </c>
      <c r="O12" s="20">
        <v>7.547160541344847</v>
      </c>
      <c r="P12" s="20">
        <v>12.522959855175021</v>
      </c>
      <c r="Q12" s="20">
        <v>20.246328680709709</v>
      </c>
      <c r="U12" s="20" t="s">
        <v>1</v>
      </c>
      <c r="V12" s="20">
        <v>1.1347370987379</v>
      </c>
      <c r="W12" s="20">
        <v>2.3385495359659849</v>
      </c>
      <c r="X12" s="20">
        <v>4.3518520481560241</v>
      </c>
      <c r="Y12" s="20">
        <v>7.547160541344847</v>
      </c>
      <c r="Z12" s="20">
        <v>12.522959855175021</v>
      </c>
      <c r="AA12" s="20">
        <v>20.246328680709709</v>
      </c>
      <c r="AE12" s="20" t="s">
        <v>1</v>
      </c>
      <c r="AF12" s="20">
        <v>1.1347370987379</v>
      </c>
      <c r="AG12" s="20">
        <v>2.3385495359659849</v>
      </c>
      <c r="AH12" s="20">
        <v>4.3518520481560241</v>
      </c>
      <c r="AI12" s="20">
        <v>7.547160541344847</v>
      </c>
      <c r="AJ12" s="20">
        <v>12.522959855175021</v>
      </c>
      <c r="AK12" s="20">
        <v>20.246328680709709</v>
      </c>
    </row>
    <row r="13" spans="1:37" x14ac:dyDescent="0.25">
      <c r="A13" s="20" t="s">
        <v>2</v>
      </c>
      <c r="B13" s="20">
        <v>1.8929565789624001</v>
      </c>
      <c r="C13" s="20">
        <v>3.1805827906796309</v>
      </c>
      <c r="D13" s="20">
        <v>5.1962356243183603</v>
      </c>
      <c r="E13" s="20">
        <v>8.3362608788607737</v>
      </c>
      <c r="F13" s="20">
        <v>13.228527431015641</v>
      </c>
      <c r="G13" s="20">
        <v>20.861025399326849</v>
      </c>
      <c r="K13" s="20" t="s">
        <v>2</v>
      </c>
      <c r="L13" s="20">
        <v>1.8929565789624001</v>
      </c>
      <c r="M13" s="20">
        <v>3.1805827906796309</v>
      </c>
      <c r="N13" s="20">
        <v>5.1962356243183603</v>
      </c>
      <c r="O13" s="20">
        <v>8.3362608788607737</v>
      </c>
      <c r="P13" s="20">
        <v>13.228527431015641</v>
      </c>
      <c r="Q13" s="20">
        <v>20.861025399326849</v>
      </c>
      <c r="U13" s="20" t="s">
        <v>2</v>
      </c>
      <c r="V13" s="20">
        <v>1.8929565789624001</v>
      </c>
      <c r="W13" s="20">
        <v>3.1805827906796309</v>
      </c>
      <c r="X13" s="20">
        <v>5.1962356243183603</v>
      </c>
      <c r="Y13" s="20">
        <v>8.3362608788607737</v>
      </c>
      <c r="Z13" s="20">
        <v>13.228527431015641</v>
      </c>
      <c r="AA13" s="20">
        <v>20.861025399326849</v>
      </c>
      <c r="AE13" s="20" t="s">
        <v>2</v>
      </c>
      <c r="AF13" s="20">
        <v>1.8929565789624001</v>
      </c>
      <c r="AG13" s="20">
        <v>3.1805827906796309</v>
      </c>
      <c r="AH13" s="20">
        <v>5.1962356243183603</v>
      </c>
      <c r="AI13" s="20">
        <v>8.3362608788607737</v>
      </c>
      <c r="AJ13" s="20">
        <v>13.228527431015641</v>
      </c>
      <c r="AK13" s="20">
        <v>20.861025399326849</v>
      </c>
    </row>
    <row r="14" spans="1:37" x14ac:dyDescent="0.25">
      <c r="A14" s="20" t="s">
        <v>3</v>
      </c>
      <c r="B14" s="20">
        <v>1.496581304402675</v>
      </c>
      <c r="C14" s="20">
        <v>2.777265057971217</v>
      </c>
      <c r="D14" s="20">
        <v>5.1538805005361263</v>
      </c>
      <c r="E14" s="20">
        <v>9.5642596797045769</v>
      </c>
      <c r="F14" s="20">
        <v>17.748774580882721</v>
      </c>
      <c r="G14" s="20">
        <v>32.937102261188201</v>
      </c>
      <c r="K14" s="20" t="s">
        <v>3</v>
      </c>
      <c r="L14" s="20">
        <v>1.496581304402675</v>
      </c>
      <c r="M14" s="20">
        <v>2.777265057971217</v>
      </c>
      <c r="N14" s="20">
        <v>5.1538805005361263</v>
      </c>
      <c r="O14" s="20">
        <v>9.5642596797045769</v>
      </c>
      <c r="P14" s="20">
        <v>17.748774580882721</v>
      </c>
      <c r="Q14" s="20">
        <v>32.937102261188201</v>
      </c>
      <c r="U14" s="20" t="s">
        <v>3</v>
      </c>
      <c r="V14" s="20">
        <v>1.496581304402675</v>
      </c>
      <c r="W14" s="20">
        <v>2.777265057971217</v>
      </c>
      <c r="X14" s="20">
        <v>5.1538805005361263</v>
      </c>
      <c r="Y14" s="20">
        <v>9.5642596797045769</v>
      </c>
      <c r="Z14" s="20">
        <v>17.748774580882721</v>
      </c>
      <c r="AA14" s="20">
        <v>32.937102261188201</v>
      </c>
      <c r="AE14" s="20" t="s">
        <v>3</v>
      </c>
      <c r="AF14" s="20">
        <v>1.496581304402675</v>
      </c>
      <c r="AG14" s="20">
        <v>2.777265057971217</v>
      </c>
      <c r="AH14" s="20">
        <v>5.1538805005361263</v>
      </c>
      <c r="AI14" s="20">
        <v>9.5642596797045769</v>
      </c>
      <c r="AJ14" s="20">
        <v>17.748774580882721</v>
      </c>
      <c r="AK14" s="20">
        <v>32.937102261188201</v>
      </c>
    </row>
    <row r="15" spans="1:37" x14ac:dyDescent="0.25">
      <c r="A15" s="20" t="s">
        <v>18</v>
      </c>
      <c r="B15" s="20">
        <v>44364.207815122681</v>
      </c>
      <c r="C15" s="20">
        <v>108634.0552435243</v>
      </c>
      <c r="D15" s="20">
        <v>196040.7048850698</v>
      </c>
      <c r="E15" s="20">
        <v>300439.14844479109</v>
      </c>
      <c r="F15" s="20">
        <v>416829.90615871153</v>
      </c>
      <c r="G15" s="20">
        <v>546011.19105995714</v>
      </c>
      <c r="K15" s="20" t="s">
        <v>18</v>
      </c>
      <c r="L15" s="20">
        <v>44364.207815122681</v>
      </c>
      <c r="M15" s="20">
        <v>108634.0552435243</v>
      </c>
      <c r="N15" s="20">
        <v>196040.7048850698</v>
      </c>
      <c r="O15" s="20">
        <v>300439.14844479109</v>
      </c>
      <c r="P15" s="20">
        <v>416829.90615871153</v>
      </c>
      <c r="Q15" s="20">
        <v>546011.19105995714</v>
      </c>
      <c r="U15" s="20" t="s">
        <v>18</v>
      </c>
      <c r="V15" s="20">
        <v>44364.207815122681</v>
      </c>
      <c r="W15" s="20">
        <v>108634.0552435243</v>
      </c>
      <c r="X15" s="20">
        <v>196040.7048850698</v>
      </c>
      <c r="Y15" s="20">
        <v>300439.14844479109</v>
      </c>
      <c r="Z15" s="20">
        <v>416829.90615871153</v>
      </c>
      <c r="AA15" s="20">
        <v>546011.19105995714</v>
      </c>
      <c r="AE15" s="20" t="s">
        <v>18</v>
      </c>
      <c r="AF15" s="20">
        <v>44364.207815122681</v>
      </c>
      <c r="AG15" s="20">
        <v>108634.0552435243</v>
      </c>
      <c r="AH15" s="20">
        <v>196040.7048850698</v>
      </c>
      <c r="AI15" s="20">
        <v>300439.14844479109</v>
      </c>
      <c r="AJ15" s="20">
        <v>416829.90615871153</v>
      </c>
      <c r="AK15" s="20">
        <v>546011.19105995714</v>
      </c>
    </row>
    <row r="16" spans="1:37" x14ac:dyDescent="0.25">
      <c r="A16" s="20" t="s">
        <v>19</v>
      </c>
      <c r="B16" s="20">
        <v>60345.050465605484</v>
      </c>
      <c r="C16" s="20">
        <v>147766.1355584767</v>
      </c>
      <c r="D16" s="20">
        <v>266658.34491853189</v>
      </c>
      <c r="E16" s="20">
        <v>408663.11983518308</v>
      </c>
      <c r="F16" s="20">
        <v>566980.07158254273</v>
      </c>
      <c r="G16" s="20">
        <v>742694.94491158111</v>
      </c>
      <c r="K16" s="20" t="s">
        <v>19</v>
      </c>
      <c r="L16" s="20">
        <v>60345.050465605484</v>
      </c>
      <c r="M16" s="20">
        <v>147766.1355584767</v>
      </c>
      <c r="N16" s="20">
        <v>266658.34491853189</v>
      </c>
      <c r="O16" s="20">
        <v>408663.11983518308</v>
      </c>
      <c r="P16" s="20">
        <v>566980.07158254273</v>
      </c>
      <c r="Q16" s="20">
        <v>742694.94491158111</v>
      </c>
      <c r="U16" s="20" t="s">
        <v>19</v>
      </c>
      <c r="V16" s="20">
        <v>60345.050465605484</v>
      </c>
      <c r="W16" s="20">
        <v>147766.1355584767</v>
      </c>
      <c r="X16" s="20">
        <v>266658.34491853189</v>
      </c>
      <c r="Y16" s="20">
        <v>408663.11983518308</v>
      </c>
      <c r="Z16" s="20">
        <v>566980.07158254273</v>
      </c>
      <c r="AA16" s="20">
        <v>742694.94491158111</v>
      </c>
      <c r="AE16" s="20" t="s">
        <v>19</v>
      </c>
      <c r="AF16" s="20">
        <v>60345.050465605484</v>
      </c>
      <c r="AG16" s="20">
        <v>147766.1355584767</v>
      </c>
      <c r="AH16" s="20">
        <v>266658.34491853189</v>
      </c>
      <c r="AI16" s="20">
        <v>408663.11983518308</v>
      </c>
      <c r="AJ16" s="20">
        <v>566980.07158254273</v>
      </c>
      <c r="AK16" s="20">
        <v>742694.94491158111</v>
      </c>
    </row>
    <row r="17" spans="1:37" x14ac:dyDescent="0.25">
      <c r="A17" s="20" t="s">
        <v>7</v>
      </c>
      <c r="B17" s="20">
        <v>15.19354</v>
      </c>
      <c r="C17" s="20">
        <v>15.19354</v>
      </c>
      <c r="D17" s="20">
        <v>15.19354</v>
      </c>
      <c r="E17" s="20">
        <v>15.19354</v>
      </c>
      <c r="F17" s="20">
        <v>15.19354</v>
      </c>
      <c r="G17" s="20">
        <v>15.19354</v>
      </c>
      <c r="K17" s="20" t="s">
        <v>7</v>
      </c>
      <c r="L17" s="20">
        <v>15.19354</v>
      </c>
      <c r="M17" s="20">
        <v>15.19354</v>
      </c>
      <c r="N17" s="20">
        <v>15.19354</v>
      </c>
      <c r="O17" s="20">
        <v>15.19354</v>
      </c>
      <c r="P17" s="20">
        <v>15.19354</v>
      </c>
      <c r="Q17" s="20">
        <v>15.19354</v>
      </c>
      <c r="U17" s="20" t="s">
        <v>7</v>
      </c>
      <c r="V17" s="20">
        <v>15.19354</v>
      </c>
      <c r="W17" s="20">
        <v>15.19354</v>
      </c>
      <c r="X17" s="20">
        <v>15.19354</v>
      </c>
      <c r="Y17" s="20">
        <v>15.19354</v>
      </c>
      <c r="Z17" s="20">
        <v>15.19354</v>
      </c>
      <c r="AA17" s="20">
        <v>15.19354</v>
      </c>
      <c r="AE17" s="20" t="s">
        <v>7</v>
      </c>
      <c r="AF17" s="20">
        <v>15.19354</v>
      </c>
      <c r="AG17" s="20">
        <v>15.19354</v>
      </c>
      <c r="AH17" s="20">
        <v>15.19354</v>
      </c>
      <c r="AI17" s="20">
        <v>15.19354</v>
      </c>
      <c r="AJ17" s="20">
        <v>15.19354</v>
      </c>
      <c r="AK17" s="20">
        <v>15.19354</v>
      </c>
    </row>
    <row r="18" spans="1:37" x14ac:dyDescent="0.25">
      <c r="A18" s="20" t="s">
        <v>52</v>
      </c>
      <c r="B18" s="20">
        <v>25.767276492000001</v>
      </c>
      <c r="C18" s="20">
        <v>25.767276492000001</v>
      </c>
      <c r="D18" s="20">
        <v>25.767276492000001</v>
      </c>
      <c r="E18" s="20">
        <v>25.767276492000001</v>
      </c>
      <c r="F18" s="20">
        <v>25.767276492000001</v>
      </c>
      <c r="G18" s="20">
        <v>25.767276492000001</v>
      </c>
      <c r="K18" s="20" t="s">
        <v>52</v>
      </c>
      <c r="L18" s="20">
        <v>25.767276492000001</v>
      </c>
      <c r="M18" s="20">
        <v>25.767276492000001</v>
      </c>
      <c r="N18" s="20">
        <v>25.767276492000001</v>
      </c>
      <c r="O18" s="20">
        <v>25.767276492000001</v>
      </c>
      <c r="P18" s="20">
        <v>25.767276492000001</v>
      </c>
      <c r="Q18" s="20">
        <v>25.767276492000001</v>
      </c>
      <c r="U18" s="20" t="s">
        <v>52</v>
      </c>
      <c r="V18" s="20">
        <v>25.767276492000001</v>
      </c>
      <c r="W18" s="20">
        <v>25.767276492000001</v>
      </c>
      <c r="X18" s="20">
        <v>25.767276492000001</v>
      </c>
      <c r="Y18" s="20">
        <v>25.767276492000001</v>
      </c>
      <c r="Z18" s="20">
        <v>25.767276492000001</v>
      </c>
      <c r="AA18" s="20">
        <v>25.767276492000001</v>
      </c>
      <c r="AE18" s="20" t="s">
        <v>52</v>
      </c>
      <c r="AF18" s="20">
        <v>25.767276492000001</v>
      </c>
      <c r="AG18" s="20">
        <v>25.767276492000001</v>
      </c>
      <c r="AH18" s="20">
        <v>25.767276492000001</v>
      </c>
      <c r="AI18" s="20">
        <v>25.767276492000001</v>
      </c>
      <c r="AJ18" s="20">
        <v>25.767276492000001</v>
      </c>
      <c r="AK18" s="20">
        <v>25.767276492000001</v>
      </c>
    </row>
    <row r="19" spans="1:37" x14ac:dyDescent="0.25">
      <c r="A19" s="20" t="s">
        <v>4</v>
      </c>
      <c r="B19" s="20">
        <v>0.81873075307798171</v>
      </c>
      <c r="C19" s="20">
        <v>0.81873075307798171</v>
      </c>
      <c r="D19" s="20">
        <v>0.81873075307798171</v>
      </c>
      <c r="E19" s="20">
        <v>0.81873075307798171</v>
      </c>
      <c r="F19" s="20">
        <v>0.81873075307798171</v>
      </c>
      <c r="G19" s="20">
        <v>0.81873075307798171</v>
      </c>
      <c r="K19" s="20" t="s">
        <v>4</v>
      </c>
      <c r="L19" s="20">
        <v>0.81873075307798171</v>
      </c>
      <c r="M19" s="20">
        <v>0.81873075307798171</v>
      </c>
      <c r="N19" s="20">
        <v>0.81873075307798171</v>
      </c>
      <c r="O19" s="20">
        <v>0.81873075307798171</v>
      </c>
      <c r="P19" s="20">
        <v>0.81873075307798171</v>
      </c>
      <c r="Q19" s="20">
        <v>0.81873075307798171</v>
      </c>
      <c r="U19" s="20" t="s">
        <v>4</v>
      </c>
      <c r="V19" s="20">
        <v>0.81873075307798171</v>
      </c>
      <c r="W19" s="20">
        <v>0.81873075307798171</v>
      </c>
      <c r="X19" s="20">
        <v>0.81873075307798171</v>
      </c>
      <c r="Y19" s="20">
        <v>0.81873075307798171</v>
      </c>
      <c r="Z19" s="20">
        <v>0.81873075307798171</v>
      </c>
      <c r="AA19" s="20">
        <v>0.81873075307798171</v>
      </c>
      <c r="AE19" s="20" t="s">
        <v>4</v>
      </c>
      <c r="AF19" s="20">
        <v>0.81873075307798171</v>
      </c>
      <c r="AG19" s="20">
        <v>0.81873075307798171</v>
      </c>
      <c r="AH19" s="20">
        <v>0.81873075307798171</v>
      </c>
      <c r="AI19" s="20">
        <v>0.81873075307798171</v>
      </c>
      <c r="AJ19" s="20">
        <v>0.81873075307798171</v>
      </c>
      <c r="AK19" s="20">
        <v>0.81873075307798171</v>
      </c>
    </row>
    <row r="20" spans="1:37" x14ac:dyDescent="0.25">
      <c r="A20" s="20" t="s">
        <v>5</v>
      </c>
      <c r="B20" s="20">
        <v>1</v>
      </c>
      <c r="C20" s="20">
        <v>1</v>
      </c>
      <c r="D20" s="20">
        <v>1</v>
      </c>
      <c r="E20" s="20">
        <v>1</v>
      </c>
      <c r="F20" s="20">
        <v>1</v>
      </c>
      <c r="G20" s="20">
        <v>1</v>
      </c>
      <c r="K20" s="20" t="s">
        <v>5</v>
      </c>
      <c r="L20" s="20">
        <v>1</v>
      </c>
      <c r="M20" s="20">
        <v>1</v>
      </c>
      <c r="N20" s="20">
        <v>1</v>
      </c>
      <c r="O20" s="20">
        <v>1</v>
      </c>
      <c r="P20" s="20">
        <v>1</v>
      </c>
      <c r="Q20" s="20">
        <v>1</v>
      </c>
      <c r="U20" s="20" t="s">
        <v>5</v>
      </c>
      <c r="V20" s="20">
        <v>1</v>
      </c>
      <c r="W20" s="20">
        <v>1</v>
      </c>
      <c r="X20" s="20">
        <v>1</v>
      </c>
      <c r="Y20" s="20">
        <v>1</v>
      </c>
      <c r="Z20" s="20">
        <v>1</v>
      </c>
      <c r="AA20" s="20">
        <v>1</v>
      </c>
      <c r="AE20" s="20" t="s">
        <v>5</v>
      </c>
      <c r="AF20" s="20">
        <v>1</v>
      </c>
      <c r="AG20" s="20">
        <v>1</v>
      </c>
      <c r="AH20" s="20">
        <v>1</v>
      </c>
      <c r="AI20" s="20">
        <v>1</v>
      </c>
      <c r="AJ20" s="20">
        <v>1</v>
      </c>
      <c r="AK20" s="20">
        <v>1</v>
      </c>
    </row>
    <row r="21" spans="1:37" x14ac:dyDescent="0.25">
      <c r="A21" s="20" t="s">
        <v>20</v>
      </c>
      <c r="B21" s="20">
        <v>1</v>
      </c>
      <c r="C21" s="20">
        <v>0.99826693183986537</v>
      </c>
      <c r="D21" s="20">
        <v>0.99826693183986537</v>
      </c>
      <c r="E21" s="20">
        <v>0.99826693183986537</v>
      </c>
      <c r="F21" s="20">
        <v>0.99826693183986537</v>
      </c>
      <c r="G21" s="20">
        <v>0.99826693183986537</v>
      </c>
      <c r="K21" s="20" t="s">
        <v>20</v>
      </c>
      <c r="L21" s="20">
        <v>1</v>
      </c>
      <c r="M21" s="20">
        <v>0.99826693183986537</v>
      </c>
      <c r="N21" s="20">
        <v>0.99826693183986537</v>
      </c>
      <c r="O21" s="20">
        <v>0.99826693183986537</v>
      </c>
      <c r="P21" s="20">
        <v>0.99826693183986537</v>
      </c>
      <c r="Q21" s="20">
        <v>0.99826693183986537</v>
      </c>
      <c r="U21" s="20" t="s">
        <v>20</v>
      </c>
      <c r="V21" s="20">
        <v>1</v>
      </c>
      <c r="W21" s="20">
        <v>0.99826693183986537</v>
      </c>
      <c r="X21" s="20">
        <v>0.99826693183986537</v>
      </c>
      <c r="Y21" s="20">
        <v>0.99826693183986537</v>
      </c>
      <c r="Z21" s="20">
        <v>0.99826693183986537</v>
      </c>
      <c r="AA21" s="20">
        <v>0.99826693183986537</v>
      </c>
      <c r="AE21" s="20" t="s">
        <v>20</v>
      </c>
      <c r="AF21" s="20">
        <v>1</v>
      </c>
      <c r="AG21" s="20">
        <v>0.99826693183986537</v>
      </c>
      <c r="AH21" s="20">
        <v>0.99826693183986537</v>
      </c>
      <c r="AI21" s="20">
        <v>0.99826693183986537</v>
      </c>
      <c r="AJ21" s="20">
        <v>0.99826693183986537</v>
      </c>
      <c r="AK21" s="20">
        <v>0.99826693183986537</v>
      </c>
    </row>
    <row r="22" spans="1:37" x14ac:dyDescent="0.25">
      <c r="A22" s="20" t="s">
        <v>21</v>
      </c>
      <c r="B22" s="20">
        <v>1</v>
      </c>
      <c r="C22" s="20">
        <v>0.99066394502072841</v>
      </c>
      <c r="D22" s="20">
        <v>0.99066394502072841</v>
      </c>
      <c r="E22" s="20">
        <v>0.99066394502072841</v>
      </c>
      <c r="F22" s="20">
        <v>0.99066394502072841</v>
      </c>
      <c r="G22" s="20">
        <v>0.99066394502072841</v>
      </c>
      <c r="K22" s="20" t="s">
        <v>21</v>
      </c>
      <c r="L22" s="20">
        <v>1</v>
      </c>
      <c r="M22" s="20">
        <v>0.99066394502072841</v>
      </c>
      <c r="N22" s="20">
        <v>0.99066394502072841</v>
      </c>
      <c r="O22" s="20">
        <v>0.99066394502072841</v>
      </c>
      <c r="P22" s="20">
        <v>0.99066394502072841</v>
      </c>
      <c r="Q22" s="20">
        <v>0.99066394502072841</v>
      </c>
      <c r="U22" s="20" t="s">
        <v>21</v>
      </c>
      <c r="V22" s="20">
        <v>1</v>
      </c>
      <c r="W22" s="20">
        <v>0.99066394502072841</v>
      </c>
      <c r="X22" s="20">
        <v>0.99066394502072841</v>
      </c>
      <c r="Y22" s="20">
        <v>0.99066394502072841</v>
      </c>
      <c r="Z22" s="20">
        <v>0.99066394502072841</v>
      </c>
      <c r="AA22" s="20">
        <v>0.99066394502072841</v>
      </c>
      <c r="AE22" s="20" t="s">
        <v>21</v>
      </c>
      <c r="AF22" s="20">
        <v>1</v>
      </c>
      <c r="AG22" s="20">
        <v>0.99066394502072841</v>
      </c>
      <c r="AH22" s="20">
        <v>0.99066394502072841</v>
      </c>
      <c r="AI22" s="20">
        <v>0.99066394502072841</v>
      </c>
      <c r="AJ22" s="20">
        <v>0.99066394502072841</v>
      </c>
      <c r="AK22" s="20">
        <v>0.99066394502072841</v>
      </c>
    </row>
    <row r="23" spans="1:37" x14ac:dyDescent="0.25">
      <c r="A23" s="20" t="s">
        <v>10</v>
      </c>
      <c r="B23" s="20">
        <v>0.96265989373406879</v>
      </c>
      <c r="C23" s="20">
        <v>0.13336802176571749</v>
      </c>
      <c r="D23" s="20">
        <v>1.6631692211741909E-2</v>
      </c>
      <c r="E23" s="20">
        <v>1.761372342084041E-3</v>
      </c>
      <c r="F23" s="20">
        <v>1.688721322903418E-4</v>
      </c>
      <c r="G23" s="20">
        <v>1.5286396737836759E-5</v>
      </c>
      <c r="K23" s="20" t="s">
        <v>10</v>
      </c>
      <c r="L23" s="20">
        <v>0.96265989373406879</v>
      </c>
      <c r="M23" s="20">
        <v>0.13336802176571749</v>
      </c>
      <c r="N23" s="20">
        <v>1.6631692211741909E-2</v>
      </c>
      <c r="O23" s="20">
        <v>1.761372342084041E-3</v>
      </c>
      <c r="P23" s="20">
        <v>1.688721322903418E-4</v>
      </c>
      <c r="Q23" s="20">
        <v>1.5286396737836759E-5</v>
      </c>
      <c r="U23" s="20" t="s">
        <v>10</v>
      </c>
      <c r="V23" s="20">
        <v>0.96265989373406879</v>
      </c>
      <c r="W23" s="20">
        <v>0.13336802176571749</v>
      </c>
      <c r="X23" s="20">
        <v>1.6631692211741909E-2</v>
      </c>
      <c r="Y23" s="20">
        <v>1.761372342084041E-3</v>
      </c>
      <c r="Z23" s="20">
        <v>1.688721322903418E-4</v>
      </c>
      <c r="AA23" s="20">
        <v>1.5286396737836759E-5</v>
      </c>
      <c r="AE23" s="20" t="s">
        <v>10</v>
      </c>
      <c r="AF23" s="20">
        <v>0.96265989373406879</v>
      </c>
      <c r="AG23" s="20">
        <v>0.13336802176571749</v>
      </c>
      <c r="AH23" s="20">
        <v>1.6631692211741909E-2</v>
      </c>
      <c r="AI23" s="20">
        <v>1.761372342084041E-3</v>
      </c>
      <c r="AJ23" s="20">
        <v>1.688721322903418E-4</v>
      </c>
      <c r="AK23" s="20">
        <v>1.5286396737836759E-5</v>
      </c>
    </row>
    <row r="24" spans="1:37" x14ac:dyDescent="0.25">
      <c r="A24" s="20" t="s">
        <v>12</v>
      </c>
      <c r="B24" s="20">
        <v>0.87500913452401918</v>
      </c>
      <c r="C24" s="20">
        <v>1.7559751755813879</v>
      </c>
      <c r="D24" s="20">
        <v>2.5969952775487322</v>
      </c>
      <c r="E24" s="20">
        <v>3.2617746355241981</v>
      </c>
      <c r="F24" s="20">
        <v>3.7087607981737829</v>
      </c>
      <c r="G24" s="20">
        <v>3.981475261727744</v>
      </c>
      <c r="K24" s="20" t="s">
        <v>12</v>
      </c>
      <c r="L24" s="20">
        <v>0.87500913452401918</v>
      </c>
      <c r="M24" s="20">
        <v>1.7559751755813879</v>
      </c>
      <c r="N24" s="20">
        <v>2.5969952775487322</v>
      </c>
      <c r="O24" s="20">
        <v>3.2617746355241981</v>
      </c>
      <c r="P24" s="20">
        <v>3.7087607981737829</v>
      </c>
      <c r="Q24" s="20">
        <v>3.981475261727744</v>
      </c>
      <c r="U24" s="20" t="s">
        <v>12</v>
      </c>
      <c r="V24" s="20">
        <v>0.87500913452401918</v>
      </c>
      <c r="W24" s="20">
        <v>1.7559751755813879</v>
      </c>
      <c r="X24" s="20">
        <v>2.5969952775487322</v>
      </c>
      <c r="Y24" s="20">
        <v>3.2617746355241981</v>
      </c>
      <c r="Z24" s="20">
        <v>3.7087607981737829</v>
      </c>
      <c r="AA24" s="20">
        <v>3.981475261727744</v>
      </c>
      <c r="AE24" s="20" t="s">
        <v>12</v>
      </c>
      <c r="AF24" s="20">
        <v>0.87500913452401918</v>
      </c>
      <c r="AG24" s="20">
        <v>1.7559751755813879</v>
      </c>
      <c r="AH24" s="20">
        <v>2.5969952775487322</v>
      </c>
      <c r="AI24" s="20">
        <v>3.2617746355241981</v>
      </c>
      <c r="AJ24" s="20">
        <v>3.7087607981737829</v>
      </c>
      <c r="AK24" s="20">
        <v>3.981475261727744</v>
      </c>
    </row>
    <row r="25" spans="1:37" x14ac:dyDescent="0.25">
      <c r="A25" s="20" t="s">
        <v>11</v>
      </c>
      <c r="B25" s="20">
        <v>34882.007858792203</v>
      </c>
      <c r="C25" s="20">
        <v>684684.05028793472</v>
      </c>
      <c r="D25" s="20">
        <v>9935649.8685142957</v>
      </c>
      <c r="E25" s="20">
        <v>134364414.50865129</v>
      </c>
      <c r="F25" s="20">
        <v>1738545988.6748879</v>
      </c>
      <c r="G25" s="20">
        <v>21918155162.466648</v>
      </c>
      <c r="K25" s="20" t="s">
        <v>11</v>
      </c>
      <c r="L25" s="20">
        <v>34882.007858792203</v>
      </c>
      <c r="M25" s="20">
        <v>684684.05028793472</v>
      </c>
      <c r="N25" s="20">
        <v>9935649.8685142957</v>
      </c>
      <c r="O25" s="20">
        <v>134364414.50865129</v>
      </c>
      <c r="P25" s="20">
        <v>1738545988.6748879</v>
      </c>
      <c r="Q25" s="20">
        <v>21918155162.466648</v>
      </c>
      <c r="U25" s="20" t="s">
        <v>11</v>
      </c>
      <c r="V25" s="20">
        <v>34882.007858792203</v>
      </c>
      <c r="W25" s="20">
        <v>684684.05028793472</v>
      </c>
      <c r="X25" s="20">
        <v>9935649.8685142957</v>
      </c>
      <c r="Y25" s="20">
        <v>134364414.50865129</v>
      </c>
      <c r="Z25" s="20">
        <v>1738545988.6748879</v>
      </c>
      <c r="AA25" s="20">
        <v>21918155162.466648</v>
      </c>
      <c r="AE25" s="20" t="s">
        <v>11</v>
      </c>
      <c r="AF25" s="20">
        <v>34882.007858792203</v>
      </c>
      <c r="AG25" s="20">
        <v>684684.05028793472</v>
      </c>
      <c r="AH25" s="20">
        <v>9935649.8685142957</v>
      </c>
      <c r="AI25" s="20">
        <v>134364414.50865129</v>
      </c>
      <c r="AJ25" s="20">
        <v>1738545988.6748879</v>
      </c>
      <c r="AK25" s="20">
        <v>21918155162.466648</v>
      </c>
    </row>
    <row r="26" spans="1:37" x14ac:dyDescent="0.25">
      <c r="A26" s="20" t="s">
        <v>13</v>
      </c>
      <c r="B26" s="20">
        <v>77526.589474307286</v>
      </c>
      <c r="C26" s="20">
        <v>194952.79889049209</v>
      </c>
      <c r="D26" s="20">
        <v>442674.49304717709</v>
      </c>
      <c r="E26" s="20">
        <v>936745.12261138635</v>
      </c>
      <c r="F26" s="20">
        <v>1896585.0210284709</v>
      </c>
      <c r="G26" s="20">
        <v>3741442.597104263</v>
      </c>
      <c r="K26" s="20" t="s">
        <v>13</v>
      </c>
      <c r="L26" s="20">
        <v>77526.589474307286</v>
      </c>
      <c r="M26" s="20">
        <v>194952.79889049209</v>
      </c>
      <c r="N26" s="20">
        <v>442674.49304717709</v>
      </c>
      <c r="O26" s="20">
        <v>936745.12261138635</v>
      </c>
      <c r="P26" s="20">
        <v>1896585.0210284709</v>
      </c>
      <c r="Q26" s="20">
        <v>3741442.597104263</v>
      </c>
      <c r="U26" s="20" t="s">
        <v>13</v>
      </c>
      <c r="V26" s="20">
        <v>77526.589474307286</v>
      </c>
      <c r="W26" s="20">
        <v>194952.79889049209</v>
      </c>
      <c r="X26" s="20">
        <v>442674.49304717709</v>
      </c>
      <c r="Y26" s="20">
        <v>936745.12261138635</v>
      </c>
      <c r="Z26" s="20">
        <v>1896585.0210284709</v>
      </c>
      <c r="AA26" s="20">
        <v>3741442.597104263</v>
      </c>
      <c r="AE26" s="20" t="s">
        <v>13</v>
      </c>
      <c r="AF26" s="20">
        <v>77526.589474307286</v>
      </c>
      <c r="AG26" s="20">
        <v>194952.79889049209</v>
      </c>
      <c r="AH26" s="20">
        <v>442674.49304717709</v>
      </c>
      <c r="AI26" s="20">
        <v>936745.12261138635</v>
      </c>
      <c r="AJ26" s="20">
        <v>1896585.0210284709</v>
      </c>
      <c r="AK26" s="20">
        <v>3741442.597104263</v>
      </c>
    </row>
    <row r="27" spans="1:37" x14ac:dyDescent="0.25">
      <c r="A27" s="20" t="s">
        <v>22</v>
      </c>
      <c r="B27" s="20">
        <v>18427.26254075639</v>
      </c>
      <c r="C27" s="20">
        <v>81805.240320235811</v>
      </c>
      <c r="D27" s="20">
        <v>151825.70616905531</v>
      </c>
      <c r="E27" s="20">
        <v>236949.20004547</v>
      </c>
      <c r="F27" s="20">
        <v>332353.18970149761</v>
      </c>
      <c r="G27" s="20">
        <v>438085.19861956878</v>
      </c>
      <c r="K27" s="20" t="s">
        <v>22</v>
      </c>
      <c r="L27" s="20">
        <v>18427.26254075639</v>
      </c>
      <c r="M27" s="20">
        <v>81805.240320235811</v>
      </c>
      <c r="N27" s="20">
        <v>151825.70616905531</v>
      </c>
      <c r="O27" s="20">
        <v>236949.20004547</v>
      </c>
      <c r="P27" s="20">
        <v>332353.18970149761</v>
      </c>
      <c r="Q27" s="20">
        <v>438085.19861956878</v>
      </c>
      <c r="U27" s="20" t="s">
        <v>22</v>
      </c>
      <c r="V27" s="20">
        <v>18427.26254075639</v>
      </c>
      <c r="W27" s="20">
        <v>81805.240320235811</v>
      </c>
      <c r="X27" s="20">
        <v>151825.70616905531</v>
      </c>
      <c r="Y27" s="20">
        <v>236949.20004547</v>
      </c>
      <c r="Z27" s="20">
        <v>332353.18970149761</v>
      </c>
      <c r="AA27" s="20">
        <v>438085.19861956878</v>
      </c>
      <c r="AE27" s="20" t="s">
        <v>22</v>
      </c>
      <c r="AF27" s="20">
        <v>18427.26254075639</v>
      </c>
      <c r="AG27" s="20">
        <v>81805.240320235811</v>
      </c>
      <c r="AH27" s="20">
        <v>151825.70616905531</v>
      </c>
      <c r="AI27" s="20">
        <v>236949.20004547</v>
      </c>
      <c r="AJ27" s="20">
        <v>332353.18970149761</v>
      </c>
      <c r="AK27" s="20">
        <v>438085.19861956878</v>
      </c>
    </row>
    <row r="32" spans="1:37" x14ac:dyDescent="0.25">
      <c r="A32" s="20" t="s">
        <v>15</v>
      </c>
      <c r="B32" s="20">
        <v>2000</v>
      </c>
      <c r="C32" s="20">
        <v>2020</v>
      </c>
      <c r="D32" s="20">
        <v>2040</v>
      </c>
      <c r="E32" s="20">
        <v>2060</v>
      </c>
      <c r="F32" s="20">
        <v>2080</v>
      </c>
      <c r="G32" s="20">
        <v>2100</v>
      </c>
      <c r="K32" s="20" t="s">
        <v>15</v>
      </c>
      <c r="L32" s="20">
        <v>2000</v>
      </c>
      <c r="M32" s="20">
        <v>2020</v>
      </c>
      <c r="N32" s="20">
        <v>2040</v>
      </c>
      <c r="O32" s="20">
        <v>2060</v>
      </c>
      <c r="P32" s="20">
        <v>2080</v>
      </c>
      <c r="Q32" s="20">
        <v>2100</v>
      </c>
      <c r="U32" s="20" t="s">
        <v>15</v>
      </c>
      <c r="V32" s="20">
        <v>2000</v>
      </c>
      <c r="W32" s="20">
        <v>2020</v>
      </c>
      <c r="X32" s="20">
        <v>2040</v>
      </c>
      <c r="Y32" s="20">
        <v>2060</v>
      </c>
      <c r="Z32" s="20">
        <v>2080</v>
      </c>
      <c r="AA32" s="20">
        <v>2100</v>
      </c>
      <c r="AE32" s="20" t="s">
        <v>15</v>
      </c>
      <c r="AF32" s="20">
        <v>2000</v>
      </c>
      <c r="AG32" s="20">
        <v>2020</v>
      </c>
      <c r="AH32" s="20">
        <v>2040</v>
      </c>
      <c r="AI32" s="20">
        <v>2060</v>
      </c>
      <c r="AJ32" s="20">
        <v>2080</v>
      </c>
      <c r="AK32" s="20">
        <v>2100</v>
      </c>
    </row>
    <row r="33" spans="1:37" x14ac:dyDescent="0.25">
      <c r="A33" s="20" t="s">
        <v>11</v>
      </c>
      <c r="B33" s="20">
        <v>34882.007858792203</v>
      </c>
      <c r="C33" s="20">
        <v>675687.16883596906</v>
      </c>
      <c r="D33" s="20">
        <v>9752364.097213259</v>
      </c>
      <c r="E33" s="20">
        <v>131153387.97456241</v>
      </c>
      <c r="F33" s="20">
        <v>1691368919.847739</v>
      </c>
      <c r="G33" s="20">
        <v>21371947105.752491</v>
      </c>
      <c r="K33" s="20" t="s">
        <v>11</v>
      </c>
      <c r="L33" s="20">
        <v>34882.007858792203</v>
      </c>
      <c r="M33" s="20">
        <v>677024.31576257432</v>
      </c>
      <c r="N33" s="20">
        <v>9662148.2194008268</v>
      </c>
      <c r="O33" s="20">
        <v>128230362.45861541</v>
      </c>
      <c r="P33" s="20">
        <v>1642455520.7193789</v>
      </c>
      <c r="Q33" s="20">
        <v>20544243995.916439</v>
      </c>
      <c r="U33" s="20" t="s">
        <v>11</v>
      </c>
      <c r="V33" s="20">
        <v>34882.007858792203</v>
      </c>
      <c r="W33" s="20">
        <v>673023.51695672108</v>
      </c>
      <c r="X33" s="20">
        <v>9660081.3949065227</v>
      </c>
      <c r="Y33" s="20">
        <v>127345930.3466565</v>
      </c>
      <c r="Z33" s="20">
        <v>1608897353.047457</v>
      </c>
      <c r="AA33" s="20">
        <v>19919912638.04834</v>
      </c>
      <c r="AE33" s="20" t="s">
        <v>11</v>
      </c>
      <c r="AF33" s="20">
        <v>34882.007858792203</v>
      </c>
      <c r="AG33" s="20">
        <v>678070.27359600086</v>
      </c>
      <c r="AH33" s="20">
        <v>9640484.2383132167</v>
      </c>
      <c r="AI33" s="20">
        <v>125497395.2956495</v>
      </c>
      <c r="AJ33" s="20">
        <v>1543203495.1509161</v>
      </c>
      <c r="AK33" s="20">
        <v>18305298858.550629</v>
      </c>
    </row>
    <row r="34" spans="1:37" x14ac:dyDescent="0.25">
      <c r="A34" s="20" t="s">
        <v>13</v>
      </c>
      <c r="B34" s="20">
        <v>77526.589474307286</v>
      </c>
      <c r="C34" s="20">
        <v>196567.0308568911</v>
      </c>
      <c r="D34" s="20">
        <v>446430.57225546433</v>
      </c>
      <c r="E34" s="20">
        <v>944769.11787489231</v>
      </c>
      <c r="F34" s="20">
        <v>1912601.6071332211</v>
      </c>
      <c r="G34" s="20">
        <v>3769538.4591618208</v>
      </c>
      <c r="K34" s="20" t="s">
        <v>13</v>
      </c>
      <c r="L34" s="20">
        <v>77526.589474307286</v>
      </c>
      <c r="M34" s="20">
        <v>196464.25087197241</v>
      </c>
      <c r="N34" s="20">
        <v>447350.2549201693</v>
      </c>
      <c r="O34" s="20">
        <v>945322.21326048847</v>
      </c>
      <c r="P34" s="20">
        <v>1910671.2616375689</v>
      </c>
      <c r="Q34" s="20">
        <v>3762025.9760189801</v>
      </c>
      <c r="U34" s="20" t="s">
        <v>13</v>
      </c>
      <c r="V34" s="20">
        <v>77526.589474307286</v>
      </c>
      <c r="W34" s="20">
        <v>196890.74595405729</v>
      </c>
      <c r="X34" s="20">
        <v>447254.56248786458</v>
      </c>
      <c r="Y34" s="20">
        <v>944371.1954420337</v>
      </c>
      <c r="Z34" s="20">
        <v>1900974.973484837</v>
      </c>
      <c r="AA34" s="20">
        <v>3728442.1487693922</v>
      </c>
      <c r="AE34" s="20" t="s">
        <v>13</v>
      </c>
      <c r="AF34" s="20">
        <v>77526.589474307286</v>
      </c>
      <c r="AG34" s="20">
        <v>196169.91305413071</v>
      </c>
      <c r="AH34" s="20">
        <v>447464.49282648572</v>
      </c>
      <c r="AI34" s="20">
        <v>941883.05604056024</v>
      </c>
      <c r="AJ34" s="20">
        <v>1871665.361460685</v>
      </c>
      <c r="AK34" s="20">
        <v>3576661.4249635399</v>
      </c>
    </row>
    <row r="35" spans="1:37" x14ac:dyDescent="0.25">
      <c r="A35" s="20" t="s">
        <v>51</v>
      </c>
      <c r="B35" s="20">
        <v>60884.568329200003</v>
      </c>
      <c r="C35" s="20">
        <v>262196.19105912891</v>
      </c>
      <c r="D35" s="20">
        <v>797492.70983391907</v>
      </c>
      <c r="E35" s="20">
        <v>2001944.086056028</v>
      </c>
      <c r="F35" s="20">
        <v>4463995.1224424597</v>
      </c>
      <c r="G35" s="20">
        <v>9276252.82835274</v>
      </c>
      <c r="K35" s="20" t="s">
        <v>51</v>
      </c>
      <c r="L35" s="20">
        <v>60884.568329200003</v>
      </c>
      <c r="M35" s="20">
        <v>262190.2034009294</v>
      </c>
      <c r="N35" s="20">
        <v>798453.15770295844</v>
      </c>
      <c r="O35" s="20">
        <v>1997746.273672604</v>
      </c>
      <c r="P35" s="20">
        <v>4445599.8584967731</v>
      </c>
      <c r="Q35" s="20">
        <v>9226660.333775552</v>
      </c>
      <c r="U35" s="20" t="s">
        <v>51</v>
      </c>
      <c r="V35" s="20">
        <v>60884.568329200003</v>
      </c>
      <c r="W35" s="20">
        <v>262457.13410595991</v>
      </c>
      <c r="X35" s="20">
        <v>798282.36105335015</v>
      </c>
      <c r="Y35" s="20">
        <v>1992497.385301586</v>
      </c>
      <c r="Z35" s="20">
        <v>4396266.0102549018</v>
      </c>
      <c r="AA35" s="20">
        <v>9056437.1730406936</v>
      </c>
      <c r="AE35" s="20" t="s">
        <v>51</v>
      </c>
      <c r="AF35" s="20">
        <v>60884.568329200003</v>
      </c>
      <c r="AG35" s="20">
        <v>261731.99871602791</v>
      </c>
      <c r="AH35" s="20">
        <v>798421.34649621148</v>
      </c>
      <c r="AI35" s="20">
        <v>1978531.5015355721</v>
      </c>
      <c r="AJ35" s="20">
        <v>4252803.6872689296</v>
      </c>
      <c r="AK35" s="20">
        <v>8318046.9456520211</v>
      </c>
    </row>
    <row r="36" spans="1:37" x14ac:dyDescent="0.25">
      <c r="A36" s="20" t="s">
        <v>0</v>
      </c>
      <c r="B36" s="20">
        <v>0.75821948022449992</v>
      </c>
      <c r="C36" s="20">
        <v>0.83572987155403644</v>
      </c>
      <c r="D36" s="20">
        <v>0.83588323739621484</v>
      </c>
      <c r="E36" s="20">
        <v>0.77933250755278727</v>
      </c>
      <c r="F36" s="20">
        <v>0.69707807788192655</v>
      </c>
      <c r="G36" s="20">
        <v>0.60645181669664894</v>
      </c>
      <c r="K36" s="20" t="s">
        <v>0</v>
      </c>
      <c r="L36" s="20">
        <v>0.75821948022449992</v>
      </c>
      <c r="M36" s="20">
        <v>0.83738373399328603</v>
      </c>
      <c r="N36" s="20">
        <v>0.83388822601932455</v>
      </c>
      <c r="O36" s="20">
        <v>0.77529292522191806</v>
      </c>
      <c r="P36" s="20">
        <v>0.68997965035270337</v>
      </c>
      <c r="Q36" s="20">
        <v>0.5999176715761414</v>
      </c>
      <c r="U36" s="20" t="s">
        <v>0</v>
      </c>
      <c r="V36" s="20">
        <v>0.75821948022449992</v>
      </c>
      <c r="W36" s="20">
        <v>0.83475971578066432</v>
      </c>
      <c r="X36" s="20">
        <v>0.83370984947490479</v>
      </c>
      <c r="Y36" s="20">
        <v>0.77414670423804177</v>
      </c>
      <c r="Z36" s="20">
        <v>0.68882982783638391</v>
      </c>
      <c r="AA36" s="20">
        <v>0.59817578652012982</v>
      </c>
      <c r="AE36" s="20" t="s">
        <v>0</v>
      </c>
      <c r="AF36" s="20">
        <v>0.75821948022449992</v>
      </c>
      <c r="AG36" s="20">
        <v>0.83671240813467718</v>
      </c>
      <c r="AH36" s="20">
        <v>0.83201852392539588</v>
      </c>
      <c r="AI36" s="20">
        <v>0.77227906380223066</v>
      </c>
      <c r="AJ36" s="20">
        <v>0.68798677065905145</v>
      </c>
      <c r="AK36" s="20">
        <v>0.60070640763727567</v>
      </c>
    </row>
    <row r="37" spans="1:37" x14ac:dyDescent="0.25">
      <c r="A37" s="20" t="s">
        <v>1</v>
      </c>
      <c r="B37" s="20">
        <v>1.1347370987379</v>
      </c>
      <c r="C37" s="20">
        <v>2.3432191943594809</v>
      </c>
      <c r="D37" s="20">
        <v>4.3555925869945424</v>
      </c>
      <c r="E37" s="20">
        <v>7.5469479743613039</v>
      </c>
      <c r="F37" s="20">
        <v>12.513630413133249</v>
      </c>
      <c r="G37" s="20">
        <v>20.224551273788531</v>
      </c>
      <c r="K37" s="20" t="s">
        <v>1</v>
      </c>
      <c r="L37" s="20">
        <v>1.1347370987379</v>
      </c>
      <c r="M37" s="20">
        <v>2.3419939836392101</v>
      </c>
      <c r="N37" s="20">
        <v>4.3577413364474733</v>
      </c>
      <c r="O37" s="20">
        <v>7.5501811580058913</v>
      </c>
      <c r="P37" s="20">
        <v>12.51762709780609</v>
      </c>
      <c r="Q37" s="20">
        <v>20.224537877227789</v>
      </c>
      <c r="U37" s="20" t="s">
        <v>1</v>
      </c>
      <c r="V37" s="20">
        <v>1.1347370987379</v>
      </c>
      <c r="W37" s="20">
        <v>2.3439379030172631</v>
      </c>
      <c r="X37" s="20">
        <v>4.3568091745379789</v>
      </c>
      <c r="Y37" s="20">
        <v>7.5492923850096716</v>
      </c>
      <c r="Z37" s="20">
        <v>12.51529428557517</v>
      </c>
      <c r="AA37" s="20">
        <v>20.220378220360839</v>
      </c>
      <c r="AE37" s="20" t="s">
        <v>1</v>
      </c>
      <c r="AF37" s="20">
        <v>1.1347370987379</v>
      </c>
      <c r="AG37" s="20">
        <v>2.342491313779397</v>
      </c>
      <c r="AH37" s="20">
        <v>4.3588541540687187</v>
      </c>
      <c r="AI37" s="20">
        <v>7.5512294096643444</v>
      </c>
      <c r="AJ37" s="20">
        <v>12.51602741871182</v>
      </c>
      <c r="AK37" s="20">
        <v>20.218331467887591</v>
      </c>
    </row>
    <row r="38" spans="1:37" x14ac:dyDescent="0.25">
      <c r="A38" s="20" t="s">
        <v>2</v>
      </c>
      <c r="B38" s="20">
        <v>1.8929565789624001</v>
      </c>
      <c r="C38" s="20">
        <v>3.178949065913518</v>
      </c>
      <c r="D38" s="20">
        <v>5.1914758243907562</v>
      </c>
      <c r="E38" s="20">
        <v>8.3262804819140914</v>
      </c>
      <c r="F38" s="20">
        <v>13.210708491015181</v>
      </c>
      <c r="G38" s="20">
        <v>20.831003090485179</v>
      </c>
      <c r="K38" s="20" t="s">
        <v>2</v>
      </c>
      <c r="L38" s="20">
        <v>1.8929565789624001</v>
      </c>
      <c r="M38" s="20">
        <v>3.1793777176324962</v>
      </c>
      <c r="N38" s="20">
        <v>5.1916295624667974</v>
      </c>
      <c r="O38" s="20">
        <v>8.3254740832278102</v>
      </c>
      <c r="P38" s="20">
        <v>13.207606748158801</v>
      </c>
      <c r="Q38" s="20">
        <v>20.824455548803929</v>
      </c>
      <c r="U38" s="20" t="s">
        <v>2</v>
      </c>
      <c r="V38" s="20">
        <v>1.8929565789624001</v>
      </c>
      <c r="W38" s="20">
        <v>3.1786976187979268</v>
      </c>
      <c r="X38" s="20">
        <v>5.1905190240128833</v>
      </c>
      <c r="Y38" s="20">
        <v>8.3234390892477137</v>
      </c>
      <c r="Z38" s="20">
        <v>13.204124113411559</v>
      </c>
      <c r="AA38" s="20">
        <v>20.818554006880969</v>
      </c>
      <c r="AE38" s="20" t="s">
        <v>2</v>
      </c>
      <c r="AF38" s="20">
        <v>1.8929565789624001</v>
      </c>
      <c r="AG38" s="20">
        <v>3.179203721914075</v>
      </c>
      <c r="AH38" s="20">
        <v>5.1908726779941148</v>
      </c>
      <c r="AI38" s="20">
        <v>8.3235084734665747</v>
      </c>
      <c r="AJ38" s="20">
        <v>13.20401418937087</v>
      </c>
      <c r="AK38" s="20">
        <v>20.81903787552487</v>
      </c>
    </row>
    <row r="39" spans="1:37" x14ac:dyDescent="0.25">
      <c r="A39" s="20" t="s">
        <v>3</v>
      </c>
      <c r="B39" s="20">
        <v>1.496581304402675</v>
      </c>
      <c r="C39" s="20">
        <v>2.8037997373508672</v>
      </c>
      <c r="D39" s="20">
        <v>5.2107667580011041</v>
      </c>
      <c r="E39" s="20">
        <v>9.6838613829413749</v>
      </c>
      <c r="F39" s="20">
        <v>17.95154776801467</v>
      </c>
      <c r="G39" s="20">
        <v>33.348982915002097</v>
      </c>
      <c r="K39" s="20" t="s">
        <v>3</v>
      </c>
      <c r="L39" s="20">
        <v>1.496581304402675</v>
      </c>
      <c r="M39" s="20">
        <v>2.7967989925846681</v>
      </c>
      <c r="N39" s="20">
        <v>5.2258098873151457</v>
      </c>
      <c r="O39" s="20">
        <v>9.7384883988780686</v>
      </c>
      <c r="P39" s="20">
        <v>18.142023596503659</v>
      </c>
      <c r="Q39" s="20">
        <v>33.712188914343209</v>
      </c>
      <c r="U39" s="20" t="s">
        <v>3</v>
      </c>
      <c r="V39" s="20">
        <v>1.496581304402675</v>
      </c>
      <c r="W39" s="20">
        <v>2.8079192834853322</v>
      </c>
      <c r="X39" s="20">
        <v>5.2258098873151457</v>
      </c>
      <c r="Y39" s="20">
        <v>9.7517593805945424</v>
      </c>
      <c r="Z39" s="20">
        <v>18.168920362937449</v>
      </c>
      <c r="AA39" s="20">
        <v>33.80340474493677</v>
      </c>
      <c r="AE39" s="20" t="s">
        <v>3</v>
      </c>
      <c r="AF39" s="20">
        <v>1.496581304402675</v>
      </c>
      <c r="AG39" s="20">
        <v>2.7996373556854799</v>
      </c>
      <c r="AH39" s="20">
        <v>5.2388907563067209</v>
      </c>
      <c r="AI39" s="20">
        <v>9.7778507324628237</v>
      </c>
      <c r="AJ39" s="20">
        <v>18.192250131092191</v>
      </c>
      <c r="AK39" s="20">
        <v>33.657592479179968</v>
      </c>
    </row>
    <row r="40" spans="1:37" x14ac:dyDescent="0.25">
      <c r="A40" s="20" t="s">
        <v>18</v>
      </c>
      <c r="B40" s="20">
        <v>44364.207815122681</v>
      </c>
      <c r="C40" s="20">
        <v>110099.6052184164</v>
      </c>
      <c r="D40" s="20">
        <v>199965.0871730627</v>
      </c>
      <c r="E40" s="20">
        <v>308372.21122589108</v>
      </c>
      <c r="F40" s="20">
        <v>430310.69171865599</v>
      </c>
      <c r="G40" s="20">
        <v>561514.00784797082</v>
      </c>
      <c r="K40" s="20" t="s">
        <v>18</v>
      </c>
      <c r="L40" s="20">
        <v>44364.207815122681</v>
      </c>
      <c r="M40" s="20">
        <v>110097.0909225325</v>
      </c>
      <c r="N40" s="20">
        <v>201565.76849165911</v>
      </c>
      <c r="O40" s="20">
        <v>313099.54236195289</v>
      </c>
      <c r="P40" s="20">
        <v>436848.09344497422</v>
      </c>
      <c r="Q40" s="20">
        <v>574888.75099166005</v>
      </c>
      <c r="U40" s="20" t="s">
        <v>18</v>
      </c>
      <c r="V40" s="20">
        <v>44364.207815122681</v>
      </c>
      <c r="W40" s="20">
        <v>110516.915352968</v>
      </c>
      <c r="X40" s="20">
        <v>201565.7684916592</v>
      </c>
      <c r="Y40" s="20">
        <v>314047.99201545783</v>
      </c>
      <c r="Z40" s="20">
        <v>440383.61051326769</v>
      </c>
      <c r="AA40" s="20">
        <v>580431.6653801651</v>
      </c>
      <c r="AE40" s="20" t="s">
        <v>18</v>
      </c>
      <c r="AF40" s="20">
        <v>44364.207815122681</v>
      </c>
      <c r="AG40" s="20">
        <v>109647.17717542029</v>
      </c>
      <c r="AH40" s="20">
        <v>201568.76902294619</v>
      </c>
      <c r="AI40" s="20">
        <v>315655.23138392088</v>
      </c>
      <c r="AJ40" s="20">
        <v>443600.65807644901</v>
      </c>
      <c r="AK40" s="20">
        <v>582589.61955569009</v>
      </c>
    </row>
    <row r="41" spans="1:37" x14ac:dyDescent="0.25">
      <c r="A41" s="20" t="s">
        <v>19</v>
      </c>
      <c r="B41" s="20">
        <v>60345.050465605484</v>
      </c>
      <c r="C41" s="20">
        <v>147978.49423870721</v>
      </c>
      <c r="D41" s="20">
        <v>267654.52423113672</v>
      </c>
      <c r="E41" s="20">
        <v>411028.90618559672</v>
      </c>
      <c r="F41" s="20">
        <v>571116.29104214301</v>
      </c>
      <c r="G41" s="20">
        <v>748441.2669226398</v>
      </c>
      <c r="K41" s="20" t="s">
        <v>19</v>
      </c>
      <c r="L41" s="20">
        <v>60345.050465605484</v>
      </c>
      <c r="M41" s="20">
        <v>147975.11491942409</v>
      </c>
      <c r="N41" s="20">
        <v>267521.80765538878</v>
      </c>
      <c r="O41" s="20">
        <v>410090.5219733073</v>
      </c>
      <c r="P41" s="20">
        <v>569574.45210071653</v>
      </c>
      <c r="Q41" s="20">
        <v>746101.24074353569</v>
      </c>
      <c r="U41" s="20" t="s">
        <v>19</v>
      </c>
      <c r="V41" s="20">
        <v>60345.050465605484</v>
      </c>
      <c r="W41" s="20">
        <v>147927.58484230161</v>
      </c>
      <c r="X41" s="20">
        <v>267521.80765538878</v>
      </c>
      <c r="Y41" s="20">
        <v>409464.33249814733</v>
      </c>
      <c r="Z41" s="20">
        <v>566159.61855180003</v>
      </c>
      <c r="AA41" s="20">
        <v>738975.75242186955</v>
      </c>
      <c r="AE41" s="20" t="s">
        <v>19</v>
      </c>
      <c r="AF41" s="20">
        <v>60345.050465605484</v>
      </c>
      <c r="AG41" s="20">
        <v>147969.56537947801</v>
      </c>
      <c r="AH41" s="20">
        <v>267525.79001588508</v>
      </c>
      <c r="AI41" s="20">
        <v>407745.20584209968</v>
      </c>
      <c r="AJ41" s="20">
        <v>556288.75201618171</v>
      </c>
      <c r="AK41" s="20">
        <v>707462.47316213418</v>
      </c>
    </row>
    <row r="42" spans="1:37" x14ac:dyDescent="0.25">
      <c r="A42" s="20" t="s">
        <v>7</v>
      </c>
      <c r="B42" s="20">
        <v>15.19354</v>
      </c>
      <c r="C42" s="20">
        <v>15.944699999999999</v>
      </c>
      <c r="D42" s="20">
        <v>16.16488</v>
      </c>
      <c r="E42" s="20">
        <v>16.470389999999998</v>
      </c>
      <c r="F42" s="20">
        <v>16.497669999999999</v>
      </c>
      <c r="G42" s="20">
        <v>16.468319999999999</v>
      </c>
      <c r="K42" s="20" t="s">
        <v>7</v>
      </c>
      <c r="L42" s="20">
        <v>15.19354</v>
      </c>
      <c r="M42" s="20">
        <v>15.86791</v>
      </c>
      <c r="N42" s="20">
        <v>16.55575</v>
      </c>
      <c r="O42" s="20">
        <v>17.244319999999998</v>
      </c>
      <c r="P42" s="20">
        <v>17.58325</v>
      </c>
      <c r="Q42" s="20">
        <v>17.732389999999999</v>
      </c>
      <c r="U42" s="20" t="s">
        <v>7</v>
      </c>
      <c r="V42" s="20">
        <v>15.19354</v>
      </c>
      <c r="W42" s="20">
        <v>16.158560000000001</v>
      </c>
      <c r="X42" s="20">
        <v>16.665310000000002</v>
      </c>
      <c r="Y42" s="20">
        <v>17.403829999999999</v>
      </c>
      <c r="Z42" s="20">
        <v>18.285209999999999</v>
      </c>
      <c r="AA42" s="20">
        <v>18.743490000000001</v>
      </c>
      <c r="AE42" s="20" t="s">
        <v>7</v>
      </c>
      <c r="AF42" s="20">
        <v>15.19354</v>
      </c>
      <c r="AG42" s="20">
        <v>15.7546</v>
      </c>
      <c r="AH42" s="20">
        <v>16.701039999999999</v>
      </c>
      <c r="AI42" s="20">
        <v>17.93713</v>
      </c>
      <c r="AJ42" s="20">
        <v>19.343160000000001</v>
      </c>
      <c r="AK42" s="20">
        <v>20.68487</v>
      </c>
    </row>
    <row r="43" spans="1:37" x14ac:dyDescent="0.25">
      <c r="A43" s="20" t="s">
        <v>52</v>
      </c>
      <c r="B43" s="20">
        <v>25.767276492000001</v>
      </c>
      <c r="C43" s="20">
        <v>26.428147060000001</v>
      </c>
      <c r="D43" s="20">
        <v>26.621861423999999</v>
      </c>
      <c r="E43" s="20">
        <v>26.890649121999999</v>
      </c>
      <c r="F43" s="20">
        <v>26.914650066</v>
      </c>
      <c r="G43" s="20">
        <v>26.888827935999998</v>
      </c>
      <c r="K43" s="20" t="s">
        <v>52</v>
      </c>
      <c r="L43" s="20">
        <v>25.767276492000001</v>
      </c>
      <c r="M43" s="20">
        <v>26.360587217999999</v>
      </c>
      <c r="N43" s="20">
        <v>26.965748850000001</v>
      </c>
      <c r="O43" s="20">
        <v>27.571552736000001</v>
      </c>
      <c r="P43" s="20">
        <v>27.86974335</v>
      </c>
      <c r="Q43" s="20">
        <v>28.000956722000002</v>
      </c>
      <c r="U43" s="20" t="s">
        <v>52</v>
      </c>
      <c r="V43" s="20">
        <v>25.767276492000001</v>
      </c>
      <c r="W43" s="20">
        <v>26.616301088</v>
      </c>
      <c r="X43" s="20">
        <v>27.062139737999999</v>
      </c>
      <c r="Y43" s="20">
        <v>27.711889633999998</v>
      </c>
      <c r="Z43" s="20">
        <v>28.487327757999999</v>
      </c>
      <c r="AA43" s="20">
        <v>28.890522502</v>
      </c>
      <c r="AE43" s="20" t="s">
        <v>52</v>
      </c>
      <c r="AF43" s="20">
        <v>25.767276492000001</v>
      </c>
      <c r="AG43" s="20">
        <v>26.260897079999999</v>
      </c>
      <c r="AH43" s="20">
        <v>27.093574992000001</v>
      </c>
      <c r="AI43" s="20">
        <v>28.181086973999999</v>
      </c>
      <c r="AJ43" s="20">
        <v>29.418112168</v>
      </c>
      <c r="AK43" s="20">
        <v>30.598548625999999</v>
      </c>
    </row>
    <row r="44" spans="1:37" x14ac:dyDescent="0.25">
      <c r="A44" s="20" t="s">
        <v>4</v>
      </c>
      <c r="B44" s="20">
        <v>0.81873075307798171</v>
      </c>
      <c r="C44" s="20">
        <v>0.86070797642505747</v>
      </c>
      <c r="D44" s="20">
        <v>0.8693582353988053</v>
      </c>
      <c r="E44" s="20">
        <v>0.87809543092056142</v>
      </c>
      <c r="F44" s="20">
        <v>0.87809543092056142</v>
      </c>
      <c r="G44" s="20">
        <v>0.87809543092056142</v>
      </c>
      <c r="K44" s="20" t="s">
        <v>4</v>
      </c>
      <c r="L44" s="20">
        <v>0.81873075307798171</v>
      </c>
      <c r="M44" s="20">
        <v>0.85214378896621124</v>
      </c>
      <c r="N44" s="20">
        <v>0.88692043671715748</v>
      </c>
      <c r="O44" s="20">
        <v>0.91393118527122841</v>
      </c>
      <c r="P44" s="20">
        <v>0.93239381990594794</v>
      </c>
      <c r="Q44" s="20">
        <v>0.94176453358424828</v>
      </c>
      <c r="U44" s="20" t="s">
        <v>4</v>
      </c>
      <c r="V44" s="20">
        <v>0.81873075307798171</v>
      </c>
      <c r="W44" s="20">
        <v>0.8693582353988053</v>
      </c>
      <c r="X44" s="20">
        <v>0.88692043671715748</v>
      </c>
      <c r="Y44" s="20">
        <v>0.92311634638663587</v>
      </c>
      <c r="Z44" s="20">
        <v>0.95122942450071424</v>
      </c>
      <c r="AA44" s="20">
        <v>0.97044553354850793</v>
      </c>
      <c r="AE44" s="20" t="s">
        <v>4</v>
      </c>
      <c r="AF44" s="20">
        <v>0.81873075307798171</v>
      </c>
      <c r="AG44" s="20">
        <v>0.85214378896621124</v>
      </c>
      <c r="AH44" s="20">
        <v>0.895834135296528</v>
      </c>
      <c r="AI44" s="20">
        <v>0.94176453358424828</v>
      </c>
      <c r="AJ44" s="20">
        <v>0.98019867330675492</v>
      </c>
      <c r="AK44" s="20">
        <v>1</v>
      </c>
    </row>
    <row r="45" spans="1:37" x14ac:dyDescent="0.25">
      <c r="A45" s="20" t="s">
        <v>5</v>
      </c>
      <c r="B45" s="20">
        <v>1</v>
      </c>
      <c r="C45" s="20">
        <v>1</v>
      </c>
      <c r="D45" s="20">
        <v>1</v>
      </c>
      <c r="E45" s="20">
        <v>1</v>
      </c>
      <c r="F45" s="20">
        <v>1</v>
      </c>
      <c r="G45" s="20">
        <v>1</v>
      </c>
      <c r="K45" s="20" t="s">
        <v>5</v>
      </c>
      <c r="L45" s="20">
        <v>1</v>
      </c>
      <c r="M45" s="20">
        <v>1</v>
      </c>
      <c r="N45" s="20">
        <v>1</v>
      </c>
      <c r="O45" s="20">
        <v>1</v>
      </c>
      <c r="P45" s="20">
        <v>1</v>
      </c>
      <c r="Q45" s="20">
        <v>1</v>
      </c>
      <c r="U45" s="20" t="s">
        <v>5</v>
      </c>
      <c r="V45" s="20">
        <v>1</v>
      </c>
      <c r="W45" s="20">
        <v>1</v>
      </c>
      <c r="X45" s="20">
        <v>1</v>
      </c>
      <c r="Y45" s="20">
        <v>1</v>
      </c>
      <c r="Z45" s="20">
        <v>1</v>
      </c>
      <c r="AA45" s="20">
        <v>1</v>
      </c>
      <c r="AE45" s="20" t="s">
        <v>5</v>
      </c>
      <c r="AF45" s="20">
        <v>1</v>
      </c>
      <c r="AG45" s="20">
        <v>1</v>
      </c>
      <c r="AH45" s="20">
        <v>1</v>
      </c>
      <c r="AI45" s="20">
        <v>1</v>
      </c>
      <c r="AJ45" s="20">
        <v>1</v>
      </c>
      <c r="AK45" s="20">
        <v>1</v>
      </c>
    </row>
    <row r="46" spans="1:37" x14ac:dyDescent="0.25">
      <c r="A46" s="20" t="s">
        <v>20</v>
      </c>
      <c r="B46" s="20">
        <v>1</v>
      </c>
      <c r="C46" s="20">
        <v>0.99257987162312367</v>
      </c>
      <c r="D46" s="20">
        <v>0.98981601150395304</v>
      </c>
      <c r="E46" s="20">
        <v>0.98662331045525986</v>
      </c>
      <c r="F46" s="20">
        <v>0.98300570279749855</v>
      </c>
      <c r="G46" s="20">
        <v>0.98662331045525986</v>
      </c>
      <c r="K46" s="20" t="s">
        <v>20</v>
      </c>
      <c r="L46" s="20">
        <v>1</v>
      </c>
      <c r="M46" s="20">
        <v>0.99257987162312367</v>
      </c>
      <c r="N46" s="20">
        <v>0.98300570279749855</v>
      </c>
      <c r="O46" s="20">
        <v>0.96966048781639314</v>
      </c>
      <c r="P46" s="20">
        <v>0.96439833420871968</v>
      </c>
      <c r="Q46" s="20">
        <v>0.9587427485556127</v>
      </c>
      <c r="U46" s="20" t="s">
        <v>20</v>
      </c>
      <c r="V46" s="20">
        <v>1</v>
      </c>
      <c r="W46" s="20">
        <v>0.98981601150395304</v>
      </c>
      <c r="X46" s="20">
        <v>0.98300570279749855</v>
      </c>
      <c r="Y46" s="20">
        <v>0.96439833420871968</v>
      </c>
      <c r="Z46" s="20">
        <v>0.94627095271536965</v>
      </c>
      <c r="AA46" s="20">
        <v>0.93231395090361513</v>
      </c>
      <c r="AE46" s="20" t="s">
        <v>20</v>
      </c>
      <c r="AF46" s="20">
        <v>1</v>
      </c>
      <c r="AG46" s="20">
        <v>0.99491095649231731</v>
      </c>
      <c r="AH46" s="20">
        <v>0.98300570279749855</v>
      </c>
      <c r="AI46" s="20">
        <v>0.95269766517752652</v>
      </c>
      <c r="AJ46" s="20">
        <v>0.9087454042219193</v>
      </c>
      <c r="AK46" s="20">
        <v>0.85313575176011658</v>
      </c>
    </row>
    <row r="47" spans="1:37" x14ac:dyDescent="0.25">
      <c r="A47" s="20" t="s">
        <v>21</v>
      </c>
      <c r="B47" s="20">
        <v>1</v>
      </c>
      <c r="C47" s="20">
        <v>0.99687617775686799</v>
      </c>
      <c r="D47" s="20">
        <v>0.99821170661870895</v>
      </c>
      <c r="E47" s="20">
        <v>0.99917794151496531</v>
      </c>
      <c r="F47" s="20">
        <v>0.99977488244563673</v>
      </c>
      <c r="G47" s="20">
        <v>0.99917794151496531</v>
      </c>
      <c r="K47" s="20" t="s">
        <v>21</v>
      </c>
      <c r="L47" s="20">
        <v>1</v>
      </c>
      <c r="M47" s="20">
        <v>0.99687617775686799</v>
      </c>
      <c r="N47" s="20">
        <v>0.99977488244563673</v>
      </c>
      <c r="O47" s="20">
        <v>0.99933476497980267</v>
      </c>
      <c r="P47" s="20">
        <v>0.99844694181596516</v>
      </c>
      <c r="Q47" s="20">
        <v>0.99718729527581951</v>
      </c>
      <c r="U47" s="20" t="s">
        <v>21</v>
      </c>
      <c r="V47" s="20">
        <v>1</v>
      </c>
      <c r="W47" s="20">
        <v>0.99821170661870895</v>
      </c>
      <c r="X47" s="20">
        <v>0.99977488244563673</v>
      </c>
      <c r="Y47" s="20">
        <v>0.99844694181596516</v>
      </c>
      <c r="Z47" s="20">
        <v>0.99356517912022047</v>
      </c>
      <c r="AA47" s="20">
        <v>0.98848865179879042</v>
      </c>
      <c r="AE47" s="20" t="s">
        <v>21</v>
      </c>
      <c r="AF47" s="20">
        <v>1</v>
      </c>
      <c r="AG47" s="20">
        <v>0.99517135492944209</v>
      </c>
      <c r="AH47" s="20">
        <v>0.99977488244563673</v>
      </c>
      <c r="AI47" s="20">
        <v>0.99556088418081246</v>
      </c>
      <c r="AJ47" s="20">
        <v>0.97818889133398601</v>
      </c>
      <c r="AK47" s="20">
        <v>0.94834437421114004</v>
      </c>
    </row>
    <row r="48" spans="1:37" x14ac:dyDescent="0.25">
      <c r="A48" s="20" t="s">
        <v>10</v>
      </c>
      <c r="B48" s="20">
        <v>0.96265989373406879</v>
      </c>
      <c r="C48" s="20">
        <v>0.13516725038248961</v>
      </c>
      <c r="D48" s="20">
        <v>1.6964628773938891E-2</v>
      </c>
      <c r="E48" s="20">
        <v>1.807881185698386E-3</v>
      </c>
      <c r="F48" s="20">
        <v>1.7433366220655149E-4</v>
      </c>
      <c r="G48" s="20">
        <v>1.5720421189818281E-5</v>
      </c>
      <c r="K48" s="20" t="s">
        <v>10</v>
      </c>
      <c r="L48" s="20">
        <v>0.96265989373406879</v>
      </c>
      <c r="M48" s="20">
        <v>0.13516416362790409</v>
      </c>
      <c r="N48" s="20">
        <v>1.710042730126814E-2</v>
      </c>
      <c r="O48" s="20">
        <v>1.8355959171441191E-3</v>
      </c>
      <c r="P48" s="20">
        <v>1.7698218850672909E-4</v>
      </c>
      <c r="Q48" s="20">
        <v>1.6094867049735912E-5</v>
      </c>
      <c r="U48" s="20" t="s">
        <v>10</v>
      </c>
      <c r="V48" s="20">
        <v>0.96265989373406879</v>
      </c>
      <c r="W48" s="20">
        <v>0.1356795743216371</v>
      </c>
      <c r="X48" s="20">
        <v>1.710042730126814E-2</v>
      </c>
      <c r="Y48" s="20">
        <v>1.841156354244911E-3</v>
      </c>
      <c r="Z48" s="20">
        <v>1.784145480789434E-4</v>
      </c>
      <c r="AA48" s="20">
        <v>1.625004919584186E-5</v>
      </c>
      <c r="AE48" s="20" t="s">
        <v>10</v>
      </c>
      <c r="AF48" s="20">
        <v>0.96265989373406879</v>
      </c>
      <c r="AG48" s="20">
        <v>0.13461181283622051</v>
      </c>
      <c r="AH48" s="20">
        <v>1.7100681860202051E-2</v>
      </c>
      <c r="AI48" s="20">
        <v>1.8505790509386469E-3</v>
      </c>
      <c r="AJ48" s="20">
        <v>1.7971788470054129E-4</v>
      </c>
      <c r="AK48" s="20">
        <v>1.6310464337892539E-5</v>
      </c>
    </row>
    <row r="49" spans="1:37" x14ac:dyDescent="0.25">
      <c r="A49" s="20" t="s">
        <v>12</v>
      </c>
      <c r="B49" s="20">
        <v>0.87500913452401918</v>
      </c>
      <c r="C49" s="20">
        <v>1.758498734645815</v>
      </c>
      <c r="D49" s="20">
        <v>2.6066971039484139</v>
      </c>
      <c r="E49" s="20">
        <v>3.280657332631685</v>
      </c>
      <c r="F49" s="20">
        <v>3.7358168612583138</v>
      </c>
      <c r="G49" s="20">
        <v>4.0122804248565647</v>
      </c>
      <c r="K49" s="20" t="s">
        <v>12</v>
      </c>
      <c r="L49" s="20">
        <v>0.87500913452401918</v>
      </c>
      <c r="M49" s="20">
        <v>1.758458576589647</v>
      </c>
      <c r="N49" s="20">
        <v>2.6054045724111958</v>
      </c>
      <c r="O49" s="20">
        <v>3.2731675502817228</v>
      </c>
      <c r="P49" s="20">
        <v>3.725731300742757</v>
      </c>
      <c r="Q49" s="20">
        <v>3.9997358984561489</v>
      </c>
      <c r="U49" s="20" t="s">
        <v>12</v>
      </c>
      <c r="V49" s="20">
        <v>0.87500913452401918</v>
      </c>
      <c r="W49" s="20">
        <v>1.757893754107112</v>
      </c>
      <c r="X49" s="20">
        <v>2.6054045724111958</v>
      </c>
      <c r="Y49" s="20">
        <v>3.2681695731020528</v>
      </c>
      <c r="Z49" s="20">
        <v>3.703394006306358</v>
      </c>
      <c r="AA49" s="20">
        <v>3.961537233344969</v>
      </c>
      <c r="AE49" s="20" t="s">
        <v>12</v>
      </c>
      <c r="AF49" s="20">
        <v>0.87500913452401918</v>
      </c>
      <c r="AG49" s="20">
        <v>1.7583926287705181</v>
      </c>
      <c r="AH49" s="20">
        <v>2.605443356764281</v>
      </c>
      <c r="AI49" s="20">
        <v>3.2544482377287731</v>
      </c>
      <c r="AJ49" s="20">
        <v>3.638826158711423</v>
      </c>
      <c r="AK49" s="20">
        <v>3.7925993098432929</v>
      </c>
    </row>
    <row r="50" spans="1:37" x14ac:dyDescent="0.25">
      <c r="A50" s="20" t="s">
        <v>11</v>
      </c>
      <c r="B50" s="20">
        <v>34882.007858792203</v>
      </c>
      <c r="C50" s="20">
        <v>675687.16883596906</v>
      </c>
      <c r="D50" s="20">
        <v>9752364.097213259</v>
      </c>
      <c r="E50" s="20">
        <v>131153387.97456241</v>
      </c>
      <c r="F50" s="20">
        <v>1691368919.847739</v>
      </c>
      <c r="G50" s="20">
        <v>21371947105.752491</v>
      </c>
      <c r="K50" s="20" t="s">
        <v>11</v>
      </c>
      <c r="L50" s="20">
        <v>34882.007858792203</v>
      </c>
      <c r="M50" s="20">
        <v>677024.31576257432</v>
      </c>
      <c r="N50" s="20">
        <v>9662148.2194008268</v>
      </c>
      <c r="O50" s="20">
        <v>128230362.45861541</v>
      </c>
      <c r="P50" s="20">
        <v>1642455520.7193789</v>
      </c>
      <c r="Q50" s="20">
        <v>20544243995.916439</v>
      </c>
      <c r="U50" s="20" t="s">
        <v>11</v>
      </c>
      <c r="V50" s="20">
        <v>34882.007858792203</v>
      </c>
      <c r="W50" s="20">
        <v>673023.51695672108</v>
      </c>
      <c r="X50" s="20">
        <v>9660081.3949065227</v>
      </c>
      <c r="Y50" s="20">
        <v>127345930.3466565</v>
      </c>
      <c r="Z50" s="20">
        <v>1608897353.047457</v>
      </c>
      <c r="AA50" s="20">
        <v>19919912638.04834</v>
      </c>
      <c r="AE50" s="20" t="s">
        <v>11</v>
      </c>
      <c r="AF50" s="20">
        <v>34882.007858792203</v>
      </c>
      <c r="AG50" s="20">
        <v>678070.27359600086</v>
      </c>
      <c r="AH50" s="20">
        <v>9640484.2383132167</v>
      </c>
      <c r="AI50" s="20">
        <v>125497395.2956495</v>
      </c>
      <c r="AJ50" s="20">
        <v>1543203495.1509161</v>
      </c>
      <c r="AK50" s="20">
        <v>18305298858.550629</v>
      </c>
    </row>
    <row r="51" spans="1:37" x14ac:dyDescent="0.25">
      <c r="A51" s="20" t="s">
        <v>13</v>
      </c>
      <c r="B51" s="20">
        <v>77526.589474307286</v>
      </c>
      <c r="C51" s="20">
        <v>196567.0308568911</v>
      </c>
      <c r="D51" s="20">
        <v>446430.57225546433</v>
      </c>
      <c r="E51" s="20">
        <v>944769.11787489231</v>
      </c>
      <c r="F51" s="20">
        <v>1912601.6071332211</v>
      </c>
      <c r="G51" s="20">
        <v>3769538.4591618208</v>
      </c>
      <c r="K51" s="20" t="s">
        <v>13</v>
      </c>
      <c r="L51" s="20">
        <v>77526.589474307286</v>
      </c>
      <c r="M51" s="20">
        <v>196464.25087197241</v>
      </c>
      <c r="N51" s="20">
        <v>447350.2549201693</v>
      </c>
      <c r="O51" s="20">
        <v>945322.21326048847</v>
      </c>
      <c r="P51" s="20">
        <v>1910671.2616375689</v>
      </c>
      <c r="Q51" s="20">
        <v>3762025.9760189801</v>
      </c>
      <c r="U51" s="20" t="s">
        <v>13</v>
      </c>
      <c r="V51" s="20">
        <v>77526.589474307286</v>
      </c>
      <c r="W51" s="20">
        <v>196890.74595405729</v>
      </c>
      <c r="X51" s="20">
        <v>447254.56248786458</v>
      </c>
      <c r="Y51" s="20">
        <v>944371.1954420337</v>
      </c>
      <c r="Z51" s="20">
        <v>1900974.973484837</v>
      </c>
      <c r="AA51" s="20">
        <v>3728442.1487693922</v>
      </c>
      <c r="AE51" s="20" t="s">
        <v>13</v>
      </c>
      <c r="AF51" s="20">
        <v>77526.589474307286</v>
      </c>
      <c r="AG51" s="20">
        <v>196169.91305413071</v>
      </c>
      <c r="AH51" s="20">
        <v>447464.49282648572</v>
      </c>
      <c r="AI51" s="20">
        <v>941883.05604056024</v>
      </c>
      <c r="AJ51" s="20">
        <v>1871665.361460685</v>
      </c>
      <c r="AK51" s="20">
        <v>3576661.4249635399</v>
      </c>
    </row>
    <row r="52" spans="1:37" x14ac:dyDescent="0.25">
      <c r="A52" s="20" t="s">
        <v>22</v>
      </c>
      <c r="B52" s="20">
        <v>18427.26254075639</v>
      </c>
      <c r="C52" s="20">
        <v>82478.890231537254</v>
      </c>
      <c r="D52" s="20">
        <v>153615.7995934631</v>
      </c>
      <c r="E52" s="20">
        <v>240436.78211472041</v>
      </c>
      <c r="F52" s="20">
        <v>337907.32158525009</v>
      </c>
      <c r="G52" s="20">
        <v>445309.94441596448</v>
      </c>
      <c r="K52" s="20" t="s">
        <v>22</v>
      </c>
      <c r="L52" s="20">
        <v>18427.26254075639</v>
      </c>
      <c r="M52" s="20">
        <v>82465.886939714634</v>
      </c>
      <c r="N52" s="20">
        <v>153796.24992419031</v>
      </c>
      <c r="O52" s="20">
        <v>239955.8576126241</v>
      </c>
      <c r="P52" s="20">
        <v>336593.89950541279</v>
      </c>
      <c r="Q52" s="20">
        <v>443068.50242264773</v>
      </c>
      <c r="U52" s="20" t="s">
        <v>22</v>
      </c>
      <c r="V52" s="20">
        <v>18427.26254075639</v>
      </c>
      <c r="W52" s="20">
        <v>82567.505809254057</v>
      </c>
      <c r="X52" s="20">
        <v>153796.2499241904</v>
      </c>
      <c r="Y52" s="20">
        <v>239383.90897525891</v>
      </c>
      <c r="Z52" s="20">
        <v>332946.43192497501</v>
      </c>
      <c r="AA52" s="20">
        <v>435017.58912013529</v>
      </c>
      <c r="AE52" s="20" t="s">
        <v>22</v>
      </c>
      <c r="AF52" s="20">
        <v>18427.26254075639</v>
      </c>
      <c r="AG52" s="20">
        <v>82326.274630318192</v>
      </c>
      <c r="AH52" s="20">
        <v>153812.54675750239</v>
      </c>
      <c r="AI52" s="20">
        <v>237704.02923751139</v>
      </c>
      <c r="AJ52" s="20">
        <v>322084.15003767592</v>
      </c>
      <c r="AK52" s="20">
        <v>399540.41081940802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AK5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20"/>
  </cols>
  <sheetData>
    <row r="1" spans="1:37" x14ac:dyDescent="0.25">
      <c r="A1" s="20" t="s">
        <v>49</v>
      </c>
      <c r="B1" s="20" t="s">
        <v>56</v>
      </c>
    </row>
    <row r="2" spans="1:37" x14ac:dyDescent="0.25">
      <c r="A2" s="20" t="s">
        <v>33</v>
      </c>
      <c r="B2" s="20">
        <v>0.27500000000000002</v>
      </c>
    </row>
    <row r="3" spans="1:37" x14ac:dyDescent="0.25">
      <c r="A3" s="20" t="s">
        <v>14</v>
      </c>
      <c r="B3" s="20">
        <v>0.75</v>
      </c>
    </row>
    <row r="4" spans="1:37" x14ac:dyDescent="0.25">
      <c r="A4" s="20" t="s">
        <v>23</v>
      </c>
      <c r="B4" s="20">
        <v>0.4</v>
      </c>
    </row>
    <row r="5" spans="1:37" x14ac:dyDescent="0.25">
      <c r="A5" s="20" t="s">
        <v>16</v>
      </c>
      <c r="B5" s="20">
        <v>0.1893549842288946</v>
      </c>
    </row>
    <row r="6" spans="1:37" x14ac:dyDescent="0.25">
      <c r="A6" s="20" t="s">
        <v>17</v>
      </c>
      <c r="B6" s="20">
        <v>0.2556026411779832</v>
      </c>
    </row>
    <row r="7" spans="1:37" x14ac:dyDescent="0.25">
      <c r="A7" s="20" t="s">
        <v>15</v>
      </c>
      <c r="B7" s="20">
        <v>2000</v>
      </c>
      <c r="C7" s="20">
        <v>2020</v>
      </c>
      <c r="D7" s="20">
        <v>2040</v>
      </c>
      <c r="E7" s="20">
        <v>2060</v>
      </c>
      <c r="F7" s="20">
        <v>2080</v>
      </c>
      <c r="G7" s="20">
        <v>2100</v>
      </c>
      <c r="K7" s="20" t="s">
        <v>15</v>
      </c>
      <c r="L7" s="20">
        <v>2000</v>
      </c>
      <c r="M7" s="20">
        <v>2020</v>
      </c>
      <c r="N7" s="20">
        <v>2040</v>
      </c>
      <c r="O7" s="20">
        <v>2060</v>
      </c>
      <c r="P7" s="20">
        <v>2080</v>
      </c>
      <c r="Q7" s="20">
        <v>2100</v>
      </c>
      <c r="U7" s="20" t="s">
        <v>15</v>
      </c>
      <c r="V7" s="20">
        <v>2000</v>
      </c>
      <c r="W7" s="20">
        <v>2020</v>
      </c>
      <c r="X7" s="20">
        <v>2040</v>
      </c>
      <c r="Y7" s="20">
        <v>2060</v>
      </c>
      <c r="Z7" s="20">
        <v>2080</v>
      </c>
      <c r="AA7" s="20">
        <v>2100</v>
      </c>
      <c r="AE7" s="20" t="s">
        <v>15</v>
      </c>
      <c r="AF7" s="20">
        <v>2000</v>
      </c>
      <c r="AG7" s="20">
        <v>2020</v>
      </c>
      <c r="AH7" s="20">
        <v>2040</v>
      </c>
      <c r="AI7" s="20">
        <v>2060</v>
      </c>
      <c r="AJ7" s="20">
        <v>2080</v>
      </c>
      <c r="AK7" s="20">
        <v>2100</v>
      </c>
    </row>
    <row r="8" spans="1:37" x14ac:dyDescent="0.25">
      <c r="A8" s="20" t="s">
        <v>11</v>
      </c>
      <c r="B8" s="20">
        <v>111923.5309790087</v>
      </c>
      <c r="C8" s="20">
        <v>1853446.5933935449</v>
      </c>
      <c r="D8" s="20">
        <v>26895903.875962321</v>
      </c>
      <c r="E8" s="20">
        <v>363725818.11953777</v>
      </c>
      <c r="F8" s="20">
        <v>4706261433.7407017</v>
      </c>
      <c r="G8" s="20">
        <v>59332665924.174889</v>
      </c>
      <c r="K8" s="20" t="s">
        <v>11</v>
      </c>
      <c r="L8" s="20">
        <v>111923.5309790087</v>
      </c>
      <c r="M8" s="20">
        <v>1853446.5933935449</v>
      </c>
      <c r="N8" s="20">
        <v>26895903.875962321</v>
      </c>
      <c r="O8" s="20">
        <v>363725818.11953777</v>
      </c>
      <c r="P8" s="20">
        <v>4706261433.7407017</v>
      </c>
      <c r="Q8" s="20">
        <v>59332665924.174889</v>
      </c>
      <c r="U8" s="20" t="s">
        <v>11</v>
      </c>
      <c r="V8" s="20">
        <v>111923.5309790087</v>
      </c>
      <c r="W8" s="20">
        <v>1853446.5933935449</v>
      </c>
      <c r="X8" s="20">
        <v>26895903.875962321</v>
      </c>
      <c r="Y8" s="20">
        <v>363725818.11953777</v>
      </c>
      <c r="Z8" s="20">
        <v>4706261433.7407017</v>
      </c>
      <c r="AA8" s="20">
        <v>59332665924.174889</v>
      </c>
      <c r="AE8" s="20" t="s">
        <v>11</v>
      </c>
      <c r="AF8" s="20">
        <v>111923.5309790087</v>
      </c>
      <c r="AG8" s="20">
        <v>1853446.5933935449</v>
      </c>
      <c r="AH8" s="20">
        <v>26895903.875962321</v>
      </c>
      <c r="AI8" s="20">
        <v>363725818.11953777</v>
      </c>
      <c r="AJ8" s="20">
        <v>4706261433.7407017</v>
      </c>
      <c r="AK8" s="20">
        <v>59332665924.174889</v>
      </c>
    </row>
    <row r="9" spans="1:37" x14ac:dyDescent="0.25">
      <c r="A9" s="20" t="s">
        <v>13</v>
      </c>
      <c r="B9" s="20">
        <v>248754.3054817993</v>
      </c>
      <c r="C9" s="20">
        <v>625531.8132601314</v>
      </c>
      <c r="D9" s="20">
        <v>1420379.599040037</v>
      </c>
      <c r="E9" s="20">
        <v>3005670.49277825</v>
      </c>
      <c r="F9" s="20">
        <v>6085443.6251122924</v>
      </c>
      <c r="G9" s="20">
        <v>12004912.908636721</v>
      </c>
      <c r="K9" s="20" t="s">
        <v>13</v>
      </c>
      <c r="L9" s="20">
        <v>248754.3054817993</v>
      </c>
      <c r="M9" s="20">
        <v>625531.8132601314</v>
      </c>
      <c r="N9" s="20">
        <v>1420379.599040037</v>
      </c>
      <c r="O9" s="20">
        <v>3005670.49277825</v>
      </c>
      <c r="P9" s="20">
        <v>6085443.6251122924</v>
      </c>
      <c r="Q9" s="20">
        <v>12004912.908636721</v>
      </c>
      <c r="U9" s="20" t="s">
        <v>13</v>
      </c>
      <c r="V9" s="20">
        <v>248754.3054817993</v>
      </c>
      <c r="W9" s="20">
        <v>625531.8132601314</v>
      </c>
      <c r="X9" s="20">
        <v>1420379.599040037</v>
      </c>
      <c r="Y9" s="20">
        <v>3005670.49277825</v>
      </c>
      <c r="Z9" s="20">
        <v>6085443.6251122924</v>
      </c>
      <c r="AA9" s="20">
        <v>12004912.908636721</v>
      </c>
      <c r="AE9" s="20" t="s">
        <v>13</v>
      </c>
      <c r="AF9" s="20">
        <v>248754.3054817993</v>
      </c>
      <c r="AG9" s="20">
        <v>625531.8132601314</v>
      </c>
      <c r="AH9" s="20">
        <v>1420379.599040037</v>
      </c>
      <c r="AI9" s="20">
        <v>3005670.49277825</v>
      </c>
      <c r="AJ9" s="20">
        <v>6085443.6251122924</v>
      </c>
      <c r="AK9" s="20">
        <v>12004912.908636721</v>
      </c>
    </row>
    <row r="10" spans="1:37" x14ac:dyDescent="0.25">
      <c r="A10" s="20" t="s">
        <v>51</v>
      </c>
      <c r="B10" s="20">
        <v>195356.1818208</v>
      </c>
      <c r="C10" s="20">
        <v>786254.51402226533</v>
      </c>
      <c r="D10" s="20">
        <v>2433797.783049799</v>
      </c>
      <c r="E10" s="20">
        <v>6173773.7023336971</v>
      </c>
      <c r="F10" s="20">
        <v>13848028.586318601</v>
      </c>
      <c r="G10" s="20">
        <v>28911660.295611389</v>
      </c>
      <c r="K10" s="20" t="s">
        <v>51</v>
      </c>
      <c r="L10" s="20">
        <v>195356.1818208</v>
      </c>
      <c r="M10" s="20">
        <v>786254.51402226533</v>
      </c>
      <c r="N10" s="20">
        <v>2433797.783049799</v>
      </c>
      <c r="O10" s="20">
        <v>6173773.7023336971</v>
      </c>
      <c r="P10" s="20">
        <v>13848028.586318601</v>
      </c>
      <c r="Q10" s="20">
        <v>28911660.295611389</v>
      </c>
      <c r="U10" s="20" t="s">
        <v>51</v>
      </c>
      <c r="V10" s="20">
        <v>195356.1818208</v>
      </c>
      <c r="W10" s="20">
        <v>786254.51402226533</v>
      </c>
      <c r="X10" s="20">
        <v>2433797.783049799</v>
      </c>
      <c r="Y10" s="20">
        <v>6173773.7023336971</v>
      </c>
      <c r="Z10" s="20">
        <v>13848028.586318601</v>
      </c>
      <c r="AA10" s="20">
        <v>28911660.295611389</v>
      </c>
      <c r="AE10" s="20" t="s">
        <v>51</v>
      </c>
      <c r="AF10" s="20">
        <v>195356.1818208</v>
      </c>
      <c r="AG10" s="20">
        <v>786254.51402226533</v>
      </c>
      <c r="AH10" s="20">
        <v>2433797.783049799</v>
      </c>
      <c r="AI10" s="20">
        <v>6173773.7023336971</v>
      </c>
      <c r="AJ10" s="20">
        <v>13848028.586318601</v>
      </c>
      <c r="AK10" s="20">
        <v>28911660.295611389</v>
      </c>
    </row>
    <row r="11" spans="1:37" x14ac:dyDescent="0.25">
      <c r="A11" s="20" t="s">
        <v>0</v>
      </c>
      <c r="B11" s="20">
        <v>2.4328473815880001</v>
      </c>
      <c r="C11" s="20">
        <v>2.701774950880405</v>
      </c>
      <c r="D11" s="20">
        <v>2.7093162677833198</v>
      </c>
      <c r="E11" s="20">
        <v>2.5319326923220289</v>
      </c>
      <c r="F11" s="20">
        <v>2.263906789771474</v>
      </c>
      <c r="G11" s="20">
        <v>1.9723356381132111</v>
      </c>
      <c r="K11" s="20" t="s">
        <v>0</v>
      </c>
      <c r="L11" s="20">
        <v>2.4328473815880001</v>
      </c>
      <c r="M11" s="20">
        <v>2.701774950880405</v>
      </c>
      <c r="N11" s="20">
        <v>2.7093162677833198</v>
      </c>
      <c r="O11" s="20">
        <v>2.5319326923220289</v>
      </c>
      <c r="P11" s="20">
        <v>2.263906789771474</v>
      </c>
      <c r="Q11" s="20">
        <v>1.9723356381132111</v>
      </c>
      <c r="U11" s="20" t="s">
        <v>0</v>
      </c>
      <c r="V11" s="20">
        <v>2.4328473815880001</v>
      </c>
      <c r="W11" s="20">
        <v>2.701774950880405</v>
      </c>
      <c r="X11" s="20">
        <v>2.7093162677833198</v>
      </c>
      <c r="Y11" s="20">
        <v>2.5319326923220289</v>
      </c>
      <c r="Z11" s="20">
        <v>2.263906789771474</v>
      </c>
      <c r="AA11" s="20">
        <v>1.9723356381132111</v>
      </c>
      <c r="AE11" s="20" t="s">
        <v>0</v>
      </c>
      <c r="AF11" s="20">
        <v>2.4328473815880001</v>
      </c>
      <c r="AG11" s="20">
        <v>2.701774950880405</v>
      </c>
      <c r="AH11" s="20">
        <v>2.7093162677833198</v>
      </c>
      <c r="AI11" s="20">
        <v>2.5319326923220289</v>
      </c>
      <c r="AJ11" s="20">
        <v>2.263906789771474</v>
      </c>
      <c r="AK11" s="20">
        <v>1.9723356381132111</v>
      </c>
    </row>
    <row r="12" spans="1:37" x14ac:dyDescent="0.25">
      <c r="A12" s="20" t="s">
        <v>1</v>
      </c>
      <c r="B12" s="20">
        <v>3.6409539077496</v>
      </c>
      <c r="C12" s="20">
        <v>7.5035451655820484</v>
      </c>
      <c r="D12" s="20">
        <v>13.963492282313769</v>
      </c>
      <c r="E12" s="20">
        <v>24.21606176090145</v>
      </c>
      <c r="F12" s="20">
        <v>40.181571283783732</v>
      </c>
      <c r="G12" s="20">
        <v>64.96302060592069</v>
      </c>
      <c r="K12" s="20" t="s">
        <v>1</v>
      </c>
      <c r="L12" s="20">
        <v>3.6409539077496</v>
      </c>
      <c r="M12" s="20">
        <v>7.5035451655820484</v>
      </c>
      <c r="N12" s="20">
        <v>13.963492282313769</v>
      </c>
      <c r="O12" s="20">
        <v>24.21606176090145</v>
      </c>
      <c r="P12" s="20">
        <v>40.181571283783732</v>
      </c>
      <c r="Q12" s="20">
        <v>64.96302060592069</v>
      </c>
      <c r="U12" s="20" t="s">
        <v>1</v>
      </c>
      <c r="V12" s="20">
        <v>3.6409539077496</v>
      </c>
      <c r="W12" s="20">
        <v>7.5035451655820484</v>
      </c>
      <c r="X12" s="20">
        <v>13.963492282313769</v>
      </c>
      <c r="Y12" s="20">
        <v>24.21606176090145</v>
      </c>
      <c r="Z12" s="20">
        <v>40.181571283783732</v>
      </c>
      <c r="AA12" s="20">
        <v>64.96302060592069</v>
      </c>
      <c r="AE12" s="20" t="s">
        <v>1</v>
      </c>
      <c r="AF12" s="20">
        <v>3.6409539077496</v>
      </c>
      <c r="AG12" s="20">
        <v>7.5035451655820484</v>
      </c>
      <c r="AH12" s="20">
        <v>13.963492282313769</v>
      </c>
      <c r="AI12" s="20">
        <v>24.21606176090145</v>
      </c>
      <c r="AJ12" s="20">
        <v>40.181571283783732</v>
      </c>
      <c r="AK12" s="20">
        <v>64.96302060592069</v>
      </c>
    </row>
    <row r="13" spans="1:37" x14ac:dyDescent="0.25">
      <c r="A13" s="20" t="s">
        <v>2</v>
      </c>
      <c r="B13" s="20">
        <v>6.0738012893376014</v>
      </c>
      <c r="C13" s="20">
        <v>10.205320116462451</v>
      </c>
      <c r="D13" s="20">
        <v>16.672808550097081</v>
      </c>
      <c r="E13" s="20">
        <v>26.74799445322348</v>
      </c>
      <c r="F13" s="20">
        <v>42.445478073555208</v>
      </c>
      <c r="G13" s="20">
        <v>66.935356244033898</v>
      </c>
      <c r="K13" s="20" t="s">
        <v>2</v>
      </c>
      <c r="L13" s="20">
        <v>6.0738012893376014</v>
      </c>
      <c r="M13" s="20">
        <v>10.205320116462451</v>
      </c>
      <c r="N13" s="20">
        <v>16.672808550097081</v>
      </c>
      <c r="O13" s="20">
        <v>26.74799445322348</v>
      </c>
      <c r="P13" s="20">
        <v>42.445478073555208</v>
      </c>
      <c r="Q13" s="20">
        <v>66.935356244033898</v>
      </c>
      <c r="U13" s="20" t="s">
        <v>2</v>
      </c>
      <c r="V13" s="20">
        <v>6.0738012893376014</v>
      </c>
      <c r="W13" s="20">
        <v>10.205320116462451</v>
      </c>
      <c r="X13" s="20">
        <v>16.672808550097081</v>
      </c>
      <c r="Y13" s="20">
        <v>26.74799445322348</v>
      </c>
      <c r="Z13" s="20">
        <v>42.445478073555208</v>
      </c>
      <c r="AA13" s="20">
        <v>66.935356244033898</v>
      </c>
      <c r="AE13" s="20" t="s">
        <v>2</v>
      </c>
      <c r="AF13" s="20">
        <v>6.0738012893376014</v>
      </c>
      <c r="AG13" s="20">
        <v>10.205320116462451</v>
      </c>
      <c r="AH13" s="20">
        <v>16.672808550097081</v>
      </c>
      <c r="AI13" s="20">
        <v>26.74799445322348</v>
      </c>
      <c r="AJ13" s="20">
        <v>42.445478073555208</v>
      </c>
      <c r="AK13" s="20">
        <v>66.935356244033898</v>
      </c>
    </row>
    <row r="14" spans="1:37" x14ac:dyDescent="0.25">
      <c r="A14" s="20" t="s">
        <v>3</v>
      </c>
      <c r="B14" s="20">
        <v>1.496581304402675</v>
      </c>
      <c r="C14" s="20">
        <v>2.777265057971217</v>
      </c>
      <c r="D14" s="20">
        <v>5.1538805005361263</v>
      </c>
      <c r="E14" s="20">
        <v>9.5642596797045805</v>
      </c>
      <c r="F14" s="20">
        <v>17.748774580882721</v>
      </c>
      <c r="G14" s="20">
        <v>32.937102261188187</v>
      </c>
      <c r="K14" s="20" t="s">
        <v>3</v>
      </c>
      <c r="L14" s="20">
        <v>1.496581304402675</v>
      </c>
      <c r="M14" s="20">
        <v>2.777265057971217</v>
      </c>
      <c r="N14" s="20">
        <v>5.1538805005361263</v>
      </c>
      <c r="O14" s="20">
        <v>9.5642596797045805</v>
      </c>
      <c r="P14" s="20">
        <v>17.748774580882721</v>
      </c>
      <c r="Q14" s="20">
        <v>32.937102261188187</v>
      </c>
      <c r="U14" s="20" t="s">
        <v>3</v>
      </c>
      <c r="V14" s="20">
        <v>1.496581304402675</v>
      </c>
      <c r="W14" s="20">
        <v>2.777265057971217</v>
      </c>
      <c r="X14" s="20">
        <v>5.1538805005361263</v>
      </c>
      <c r="Y14" s="20">
        <v>9.5642596797045805</v>
      </c>
      <c r="Z14" s="20">
        <v>17.748774580882721</v>
      </c>
      <c r="AA14" s="20">
        <v>32.937102261188187</v>
      </c>
      <c r="AE14" s="20" t="s">
        <v>3</v>
      </c>
      <c r="AF14" s="20">
        <v>1.496581304402675</v>
      </c>
      <c r="AG14" s="20">
        <v>2.777265057971217</v>
      </c>
      <c r="AH14" s="20">
        <v>5.1538805005361263</v>
      </c>
      <c r="AI14" s="20">
        <v>9.5642596797045805</v>
      </c>
      <c r="AJ14" s="20">
        <v>17.748774580882721</v>
      </c>
      <c r="AK14" s="20">
        <v>32.937102261188187</v>
      </c>
    </row>
    <row r="15" spans="1:37" x14ac:dyDescent="0.25">
      <c r="A15" s="20" t="s">
        <v>18</v>
      </c>
      <c r="B15" s="20">
        <v>46919.594157542197</v>
      </c>
      <c r="C15" s="20">
        <v>111385.2807478568</v>
      </c>
      <c r="D15" s="20">
        <v>205202.7093355548</v>
      </c>
      <c r="E15" s="20">
        <v>318615.70184212731</v>
      </c>
      <c r="F15" s="20">
        <v>445473.58636310161</v>
      </c>
      <c r="G15" s="20">
        <v>586093.40474029782</v>
      </c>
      <c r="K15" s="20" t="s">
        <v>18</v>
      </c>
      <c r="L15" s="20">
        <v>46919.594157542197</v>
      </c>
      <c r="M15" s="20">
        <v>111385.2807478568</v>
      </c>
      <c r="N15" s="20">
        <v>205202.7093355548</v>
      </c>
      <c r="O15" s="20">
        <v>318615.70184212731</v>
      </c>
      <c r="P15" s="20">
        <v>445473.58636310161</v>
      </c>
      <c r="Q15" s="20">
        <v>586093.40474029782</v>
      </c>
      <c r="U15" s="20" t="s">
        <v>18</v>
      </c>
      <c r="V15" s="20">
        <v>46919.594157542197</v>
      </c>
      <c r="W15" s="20">
        <v>111385.2807478568</v>
      </c>
      <c r="X15" s="20">
        <v>205202.7093355548</v>
      </c>
      <c r="Y15" s="20">
        <v>318615.70184212731</v>
      </c>
      <c r="Z15" s="20">
        <v>445473.58636310161</v>
      </c>
      <c r="AA15" s="20">
        <v>586093.40474029782</v>
      </c>
      <c r="AE15" s="20" t="s">
        <v>18</v>
      </c>
      <c r="AF15" s="20">
        <v>46919.594157542197</v>
      </c>
      <c r="AG15" s="20">
        <v>111385.2807478568</v>
      </c>
      <c r="AH15" s="20">
        <v>205202.7093355548</v>
      </c>
      <c r="AI15" s="20">
        <v>318615.70184212731</v>
      </c>
      <c r="AJ15" s="20">
        <v>445473.58636310161</v>
      </c>
      <c r="AK15" s="20">
        <v>586093.40474029782</v>
      </c>
    </row>
    <row r="16" spans="1:37" x14ac:dyDescent="0.25">
      <c r="A16" s="20" t="s">
        <v>19</v>
      </c>
      <c r="B16" s="20">
        <v>59140.312213546342</v>
      </c>
      <c r="C16" s="20">
        <v>140396.78726340531</v>
      </c>
      <c r="D16" s="20">
        <v>258649.9844057055</v>
      </c>
      <c r="E16" s="20">
        <v>401602.62298544688</v>
      </c>
      <c r="F16" s="20">
        <v>561502.02177669655</v>
      </c>
      <c r="G16" s="20">
        <v>738747.79961347592</v>
      </c>
      <c r="K16" s="20" t="s">
        <v>19</v>
      </c>
      <c r="L16" s="20">
        <v>59140.312213546342</v>
      </c>
      <c r="M16" s="20">
        <v>140396.78726340531</v>
      </c>
      <c r="N16" s="20">
        <v>258649.9844057055</v>
      </c>
      <c r="O16" s="20">
        <v>401602.62298544688</v>
      </c>
      <c r="P16" s="20">
        <v>561502.02177669655</v>
      </c>
      <c r="Q16" s="20">
        <v>738747.79961347592</v>
      </c>
      <c r="U16" s="20" t="s">
        <v>19</v>
      </c>
      <c r="V16" s="20">
        <v>59140.312213546342</v>
      </c>
      <c r="W16" s="20">
        <v>140396.78726340531</v>
      </c>
      <c r="X16" s="20">
        <v>258649.9844057055</v>
      </c>
      <c r="Y16" s="20">
        <v>401602.62298544688</v>
      </c>
      <c r="Z16" s="20">
        <v>561502.02177669655</v>
      </c>
      <c r="AA16" s="20">
        <v>738747.79961347592</v>
      </c>
      <c r="AE16" s="20" t="s">
        <v>19</v>
      </c>
      <c r="AF16" s="20">
        <v>59140.312213546342</v>
      </c>
      <c r="AG16" s="20">
        <v>140396.78726340531</v>
      </c>
      <c r="AH16" s="20">
        <v>258649.9844057055</v>
      </c>
      <c r="AI16" s="20">
        <v>401602.62298544688</v>
      </c>
      <c r="AJ16" s="20">
        <v>561502.02177669655</v>
      </c>
      <c r="AK16" s="20">
        <v>738747.79961347592</v>
      </c>
    </row>
    <row r="17" spans="1:37" x14ac:dyDescent="0.25">
      <c r="A17" s="20" t="s">
        <v>7</v>
      </c>
      <c r="B17" s="20">
        <v>19.07366</v>
      </c>
      <c r="C17" s="20">
        <v>19.07366</v>
      </c>
      <c r="D17" s="20">
        <v>19.07366</v>
      </c>
      <c r="E17" s="20">
        <v>19.07366</v>
      </c>
      <c r="F17" s="20">
        <v>19.07366</v>
      </c>
      <c r="G17" s="20">
        <v>19.07366</v>
      </c>
      <c r="K17" s="20" t="s">
        <v>7</v>
      </c>
      <c r="L17" s="20">
        <v>19.07366</v>
      </c>
      <c r="M17" s="20">
        <v>19.07366</v>
      </c>
      <c r="N17" s="20">
        <v>19.07366</v>
      </c>
      <c r="O17" s="20">
        <v>19.07366</v>
      </c>
      <c r="P17" s="20">
        <v>19.07366</v>
      </c>
      <c r="Q17" s="20">
        <v>19.07366</v>
      </c>
      <c r="U17" s="20" t="s">
        <v>7</v>
      </c>
      <c r="V17" s="20">
        <v>19.07366</v>
      </c>
      <c r="W17" s="20">
        <v>19.07366</v>
      </c>
      <c r="X17" s="20">
        <v>19.07366</v>
      </c>
      <c r="Y17" s="20">
        <v>19.07366</v>
      </c>
      <c r="Z17" s="20">
        <v>19.07366</v>
      </c>
      <c r="AA17" s="20">
        <v>19.07366</v>
      </c>
      <c r="AE17" s="20" t="s">
        <v>7</v>
      </c>
      <c r="AF17" s="20">
        <v>19.07366</v>
      </c>
      <c r="AG17" s="20">
        <v>19.07366</v>
      </c>
      <c r="AH17" s="20">
        <v>19.07366</v>
      </c>
      <c r="AI17" s="20">
        <v>19.07366</v>
      </c>
      <c r="AJ17" s="20">
        <v>19.07366</v>
      </c>
      <c r="AK17" s="20">
        <v>19.07366</v>
      </c>
    </row>
    <row r="18" spans="1:37" x14ac:dyDescent="0.25">
      <c r="A18" s="20" t="s">
        <v>52</v>
      </c>
      <c r="B18" s="20">
        <v>29.181006067999999</v>
      </c>
      <c r="C18" s="20">
        <v>29.181006067999999</v>
      </c>
      <c r="D18" s="20">
        <v>29.181006067999999</v>
      </c>
      <c r="E18" s="20">
        <v>29.181006067999999</v>
      </c>
      <c r="F18" s="20">
        <v>29.181006067999999</v>
      </c>
      <c r="G18" s="20">
        <v>29.181006067999999</v>
      </c>
      <c r="K18" s="20" t="s">
        <v>52</v>
      </c>
      <c r="L18" s="20">
        <v>29.181006067999999</v>
      </c>
      <c r="M18" s="20">
        <v>29.181006067999999</v>
      </c>
      <c r="N18" s="20">
        <v>29.181006067999999</v>
      </c>
      <c r="O18" s="20">
        <v>29.181006067999999</v>
      </c>
      <c r="P18" s="20">
        <v>29.181006067999999</v>
      </c>
      <c r="Q18" s="20">
        <v>29.181006067999999</v>
      </c>
      <c r="U18" s="20" t="s">
        <v>52</v>
      </c>
      <c r="V18" s="20">
        <v>29.181006067999999</v>
      </c>
      <c r="W18" s="20">
        <v>29.181006067999999</v>
      </c>
      <c r="X18" s="20">
        <v>29.181006067999999</v>
      </c>
      <c r="Y18" s="20">
        <v>29.181006067999999</v>
      </c>
      <c r="Z18" s="20">
        <v>29.181006067999999</v>
      </c>
      <c r="AA18" s="20">
        <v>29.181006067999999</v>
      </c>
      <c r="AE18" s="20" t="s">
        <v>52</v>
      </c>
      <c r="AF18" s="20">
        <v>29.181006067999999</v>
      </c>
      <c r="AG18" s="20">
        <v>29.181006067999999</v>
      </c>
      <c r="AH18" s="20">
        <v>29.181006067999999</v>
      </c>
      <c r="AI18" s="20">
        <v>29.181006067999999</v>
      </c>
      <c r="AJ18" s="20">
        <v>29.181006067999999</v>
      </c>
      <c r="AK18" s="20">
        <v>29.181006067999999</v>
      </c>
    </row>
    <row r="19" spans="1:37" x14ac:dyDescent="0.25">
      <c r="A19" s="20" t="s">
        <v>4</v>
      </c>
      <c r="B19" s="20">
        <v>0.97044553354850793</v>
      </c>
      <c r="C19" s="20">
        <v>0.97044553354850793</v>
      </c>
      <c r="D19" s="20">
        <v>0.97044553354850793</v>
      </c>
      <c r="E19" s="20">
        <v>0.97044553354850793</v>
      </c>
      <c r="F19" s="20">
        <v>0.97044553354850793</v>
      </c>
      <c r="G19" s="20">
        <v>0.97044553354850793</v>
      </c>
      <c r="K19" s="20" t="s">
        <v>4</v>
      </c>
      <c r="L19" s="20">
        <v>0.97044553354850793</v>
      </c>
      <c r="M19" s="20">
        <v>0.97044553354850793</v>
      </c>
      <c r="N19" s="20">
        <v>0.97044553354850793</v>
      </c>
      <c r="O19" s="20">
        <v>0.97044553354850793</v>
      </c>
      <c r="P19" s="20">
        <v>0.97044553354850793</v>
      </c>
      <c r="Q19" s="20">
        <v>0.97044553354850793</v>
      </c>
      <c r="U19" s="20" t="s">
        <v>4</v>
      </c>
      <c r="V19" s="20">
        <v>0.97044553354850793</v>
      </c>
      <c r="W19" s="20">
        <v>0.97044553354850793</v>
      </c>
      <c r="X19" s="20">
        <v>0.97044553354850793</v>
      </c>
      <c r="Y19" s="20">
        <v>0.97044553354850793</v>
      </c>
      <c r="Z19" s="20">
        <v>0.97044553354850793</v>
      </c>
      <c r="AA19" s="20">
        <v>0.97044553354850793</v>
      </c>
      <c r="AE19" s="20" t="s">
        <v>4</v>
      </c>
      <c r="AF19" s="20">
        <v>0.97044553354850793</v>
      </c>
      <c r="AG19" s="20">
        <v>0.97044553354850793</v>
      </c>
      <c r="AH19" s="20">
        <v>0.97044553354850793</v>
      </c>
      <c r="AI19" s="20">
        <v>0.97044553354850793</v>
      </c>
      <c r="AJ19" s="20">
        <v>0.97044553354850793</v>
      </c>
      <c r="AK19" s="20">
        <v>0.97044553354850793</v>
      </c>
    </row>
    <row r="20" spans="1:37" x14ac:dyDescent="0.25">
      <c r="A20" s="20" t="s">
        <v>5</v>
      </c>
      <c r="B20" s="20">
        <v>1</v>
      </c>
      <c r="C20" s="20">
        <v>1</v>
      </c>
      <c r="D20" s="20">
        <v>1</v>
      </c>
      <c r="E20" s="20">
        <v>1</v>
      </c>
      <c r="F20" s="20">
        <v>1</v>
      </c>
      <c r="G20" s="20">
        <v>1</v>
      </c>
      <c r="K20" s="20" t="s">
        <v>5</v>
      </c>
      <c r="L20" s="20">
        <v>1</v>
      </c>
      <c r="M20" s="20">
        <v>1</v>
      </c>
      <c r="N20" s="20">
        <v>1</v>
      </c>
      <c r="O20" s="20">
        <v>1</v>
      </c>
      <c r="P20" s="20">
        <v>1</v>
      </c>
      <c r="Q20" s="20">
        <v>1</v>
      </c>
      <c r="U20" s="20" t="s">
        <v>5</v>
      </c>
      <c r="V20" s="20">
        <v>1</v>
      </c>
      <c r="W20" s="20">
        <v>1</v>
      </c>
      <c r="X20" s="20">
        <v>1</v>
      </c>
      <c r="Y20" s="20">
        <v>1</v>
      </c>
      <c r="Z20" s="20">
        <v>1</v>
      </c>
      <c r="AA20" s="20">
        <v>1</v>
      </c>
      <c r="AE20" s="20" t="s">
        <v>5</v>
      </c>
      <c r="AF20" s="20">
        <v>1</v>
      </c>
      <c r="AG20" s="20">
        <v>1</v>
      </c>
      <c r="AH20" s="20">
        <v>1</v>
      </c>
      <c r="AI20" s="20">
        <v>1</v>
      </c>
      <c r="AJ20" s="20">
        <v>1</v>
      </c>
      <c r="AK20" s="20">
        <v>1</v>
      </c>
    </row>
    <row r="21" spans="1:37" x14ac:dyDescent="0.25">
      <c r="A21" s="20" t="s">
        <v>20</v>
      </c>
      <c r="B21" s="20">
        <v>1</v>
      </c>
      <c r="C21" s="20">
        <v>0.91693862656807257</v>
      </c>
      <c r="D21" s="20">
        <v>0.91693862656807257</v>
      </c>
      <c r="E21" s="20">
        <v>0.91693862656807257</v>
      </c>
      <c r="F21" s="20">
        <v>0.91693862656807257</v>
      </c>
      <c r="G21" s="20">
        <v>0.91693862656807257</v>
      </c>
      <c r="K21" s="20" t="s">
        <v>20</v>
      </c>
      <c r="L21" s="20">
        <v>1</v>
      </c>
      <c r="M21" s="20">
        <v>0.91693862656807257</v>
      </c>
      <c r="N21" s="20">
        <v>0.91693862656807257</v>
      </c>
      <c r="O21" s="20">
        <v>0.91693862656807257</v>
      </c>
      <c r="P21" s="20">
        <v>0.91693862656807257</v>
      </c>
      <c r="Q21" s="20">
        <v>0.91693862656807257</v>
      </c>
      <c r="U21" s="20" t="s">
        <v>20</v>
      </c>
      <c r="V21" s="20">
        <v>1</v>
      </c>
      <c r="W21" s="20">
        <v>0.91693862656807257</v>
      </c>
      <c r="X21" s="20">
        <v>0.91693862656807257</v>
      </c>
      <c r="Y21" s="20">
        <v>0.91693862656807257</v>
      </c>
      <c r="Z21" s="20">
        <v>0.91693862656807257</v>
      </c>
      <c r="AA21" s="20">
        <v>0.91693862656807257</v>
      </c>
      <c r="AE21" s="20" t="s">
        <v>20</v>
      </c>
      <c r="AF21" s="20">
        <v>1</v>
      </c>
      <c r="AG21" s="20">
        <v>0.91693862656807257</v>
      </c>
      <c r="AH21" s="20">
        <v>0.91693862656807257</v>
      </c>
      <c r="AI21" s="20">
        <v>0.91693862656807257</v>
      </c>
      <c r="AJ21" s="20">
        <v>0.91693862656807257</v>
      </c>
      <c r="AK21" s="20">
        <v>0.91693862656807257</v>
      </c>
    </row>
    <row r="22" spans="1:37" x14ac:dyDescent="0.25">
      <c r="A22" s="20" t="s">
        <v>21</v>
      </c>
      <c r="B22" s="20">
        <v>1</v>
      </c>
      <c r="C22" s="20">
        <v>0.98197288977586894</v>
      </c>
      <c r="D22" s="20">
        <v>0.98197288977586894</v>
      </c>
      <c r="E22" s="20">
        <v>0.98197288977586894</v>
      </c>
      <c r="F22" s="20">
        <v>0.98197288977586894</v>
      </c>
      <c r="G22" s="20">
        <v>0.98197288977586894</v>
      </c>
      <c r="K22" s="20" t="s">
        <v>21</v>
      </c>
      <c r="L22" s="20">
        <v>1</v>
      </c>
      <c r="M22" s="20">
        <v>0.98197288977586894</v>
      </c>
      <c r="N22" s="20">
        <v>0.98197288977586894</v>
      </c>
      <c r="O22" s="20">
        <v>0.98197288977586894</v>
      </c>
      <c r="P22" s="20">
        <v>0.98197288977586894</v>
      </c>
      <c r="Q22" s="20">
        <v>0.98197288977586894</v>
      </c>
      <c r="U22" s="20" t="s">
        <v>21</v>
      </c>
      <c r="V22" s="20">
        <v>1</v>
      </c>
      <c r="W22" s="20">
        <v>0.98197288977586894</v>
      </c>
      <c r="X22" s="20">
        <v>0.98197288977586894</v>
      </c>
      <c r="Y22" s="20">
        <v>0.98197288977586894</v>
      </c>
      <c r="Z22" s="20">
        <v>0.98197288977586894</v>
      </c>
      <c r="AA22" s="20">
        <v>0.98197288977586894</v>
      </c>
      <c r="AE22" s="20" t="s">
        <v>21</v>
      </c>
      <c r="AF22" s="20">
        <v>1</v>
      </c>
      <c r="AG22" s="20">
        <v>0.98197288977586894</v>
      </c>
      <c r="AH22" s="20">
        <v>0.98197288977586894</v>
      </c>
      <c r="AI22" s="20">
        <v>0.98197288977586894</v>
      </c>
      <c r="AJ22" s="20">
        <v>0.98197288977586894</v>
      </c>
      <c r="AK22" s="20">
        <v>0.98197288977586894</v>
      </c>
    </row>
    <row r="23" spans="1:37" x14ac:dyDescent="0.25">
      <c r="A23" s="20" t="s">
        <v>10</v>
      </c>
      <c r="B23" s="20">
        <v>0.93516442547537748</v>
      </c>
      <c r="C23" s="20">
        <v>0.1488802763518792</v>
      </c>
      <c r="D23" s="20">
        <v>1.895382730505504E-2</v>
      </c>
      <c r="E23" s="20">
        <v>2.0336933554809312E-3</v>
      </c>
      <c r="F23" s="20">
        <v>1.9649193057213749E-4</v>
      </c>
      <c r="G23" s="20">
        <v>1.786463148781198E-5</v>
      </c>
      <c r="K23" s="20" t="s">
        <v>10</v>
      </c>
      <c r="L23" s="20">
        <v>0.93516442547537748</v>
      </c>
      <c r="M23" s="20">
        <v>0.1488802763518792</v>
      </c>
      <c r="N23" s="20">
        <v>1.895382730505504E-2</v>
      </c>
      <c r="O23" s="20">
        <v>2.0336933554809312E-3</v>
      </c>
      <c r="P23" s="20">
        <v>1.9649193057213749E-4</v>
      </c>
      <c r="Q23" s="20">
        <v>1.786463148781198E-5</v>
      </c>
      <c r="U23" s="20" t="s">
        <v>10</v>
      </c>
      <c r="V23" s="20">
        <v>0.93516442547537748</v>
      </c>
      <c r="W23" s="20">
        <v>0.1488802763518792</v>
      </c>
      <c r="X23" s="20">
        <v>1.895382730505504E-2</v>
      </c>
      <c r="Y23" s="20">
        <v>2.0336933554809312E-3</v>
      </c>
      <c r="Z23" s="20">
        <v>1.9649193057213749E-4</v>
      </c>
      <c r="AA23" s="20">
        <v>1.786463148781198E-5</v>
      </c>
      <c r="AE23" s="20" t="s">
        <v>10</v>
      </c>
      <c r="AF23" s="20">
        <v>0.93516442547537748</v>
      </c>
      <c r="AG23" s="20">
        <v>0.1488802763518792</v>
      </c>
      <c r="AH23" s="20">
        <v>1.895382730505504E-2</v>
      </c>
      <c r="AI23" s="20">
        <v>2.0336933554809312E-3</v>
      </c>
      <c r="AJ23" s="20">
        <v>1.9649193057213749E-4</v>
      </c>
      <c r="AK23" s="20">
        <v>1.786463148781198E-5</v>
      </c>
    </row>
    <row r="24" spans="1:37" x14ac:dyDescent="0.25">
      <c r="A24" s="20" t="s">
        <v>12</v>
      </c>
      <c r="B24" s="20">
        <v>0.85001714509871107</v>
      </c>
      <c r="C24" s="20">
        <v>1.6537648878603599</v>
      </c>
      <c r="D24" s="20">
        <v>2.4969024643376421</v>
      </c>
      <c r="E24" s="20">
        <v>3.1772997341664442</v>
      </c>
      <c r="F24" s="20">
        <v>3.640705035462819</v>
      </c>
      <c r="G24" s="20">
        <v>3.9255715255424111</v>
      </c>
      <c r="K24" s="20" t="s">
        <v>12</v>
      </c>
      <c r="L24" s="20">
        <v>0.85001714509871107</v>
      </c>
      <c r="M24" s="20">
        <v>1.6537648878603599</v>
      </c>
      <c r="N24" s="20">
        <v>2.4969024643376421</v>
      </c>
      <c r="O24" s="20">
        <v>3.1772997341664442</v>
      </c>
      <c r="P24" s="20">
        <v>3.640705035462819</v>
      </c>
      <c r="Q24" s="20">
        <v>3.9255715255424111</v>
      </c>
      <c r="U24" s="20" t="s">
        <v>12</v>
      </c>
      <c r="V24" s="20">
        <v>0.85001714509871107</v>
      </c>
      <c r="W24" s="20">
        <v>1.6537648878603599</v>
      </c>
      <c r="X24" s="20">
        <v>2.4969024643376421</v>
      </c>
      <c r="Y24" s="20">
        <v>3.1772997341664442</v>
      </c>
      <c r="Z24" s="20">
        <v>3.640705035462819</v>
      </c>
      <c r="AA24" s="20">
        <v>3.9255715255424111</v>
      </c>
      <c r="AE24" s="20" t="s">
        <v>12</v>
      </c>
      <c r="AF24" s="20">
        <v>0.85001714509871107</v>
      </c>
      <c r="AG24" s="20">
        <v>1.6537648878603599</v>
      </c>
      <c r="AH24" s="20">
        <v>2.4969024643376421</v>
      </c>
      <c r="AI24" s="20">
        <v>3.1772997341664442</v>
      </c>
      <c r="AJ24" s="20">
        <v>3.640705035462819</v>
      </c>
      <c r="AK24" s="20">
        <v>3.9255715255424111</v>
      </c>
    </row>
    <row r="25" spans="1:37" x14ac:dyDescent="0.25">
      <c r="A25" s="20" t="s">
        <v>11</v>
      </c>
      <c r="B25" s="20">
        <v>111923.5309790087</v>
      </c>
      <c r="C25" s="20">
        <v>1853446.5933935449</v>
      </c>
      <c r="D25" s="20">
        <v>26895903.875962321</v>
      </c>
      <c r="E25" s="20">
        <v>363725818.11953777</v>
      </c>
      <c r="F25" s="20">
        <v>4706261433.7407017</v>
      </c>
      <c r="G25" s="20">
        <v>59332665924.174889</v>
      </c>
      <c r="K25" s="20" t="s">
        <v>11</v>
      </c>
      <c r="L25" s="20">
        <v>111923.5309790087</v>
      </c>
      <c r="M25" s="20">
        <v>1853446.5933935449</v>
      </c>
      <c r="N25" s="20">
        <v>26895903.875962321</v>
      </c>
      <c r="O25" s="20">
        <v>363725818.11953777</v>
      </c>
      <c r="P25" s="20">
        <v>4706261433.7407017</v>
      </c>
      <c r="Q25" s="20">
        <v>59332665924.174889</v>
      </c>
      <c r="U25" s="20" t="s">
        <v>11</v>
      </c>
      <c r="V25" s="20">
        <v>111923.5309790087</v>
      </c>
      <c r="W25" s="20">
        <v>1853446.5933935449</v>
      </c>
      <c r="X25" s="20">
        <v>26895903.875962321</v>
      </c>
      <c r="Y25" s="20">
        <v>363725818.11953777</v>
      </c>
      <c r="Z25" s="20">
        <v>4706261433.7407017</v>
      </c>
      <c r="AA25" s="20">
        <v>59332665924.174889</v>
      </c>
      <c r="AE25" s="20" t="s">
        <v>11</v>
      </c>
      <c r="AF25" s="20">
        <v>111923.5309790087</v>
      </c>
      <c r="AG25" s="20">
        <v>1853446.5933935449</v>
      </c>
      <c r="AH25" s="20">
        <v>26895903.875962321</v>
      </c>
      <c r="AI25" s="20">
        <v>363725818.11953777</v>
      </c>
      <c r="AJ25" s="20">
        <v>4706261433.7407017</v>
      </c>
      <c r="AK25" s="20">
        <v>59332665924.174889</v>
      </c>
    </row>
    <row r="26" spans="1:37" x14ac:dyDescent="0.25">
      <c r="A26" s="20" t="s">
        <v>13</v>
      </c>
      <c r="B26" s="20">
        <v>248754.3054817993</v>
      </c>
      <c r="C26" s="20">
        <v>625531.8132601314</v>
      </c>
      <c r="D26" s="20">
        <v>1420379.599040037</v>
      </c>
      <c r="E26" s="20">
        <v>3005670.49277825</v>
      </c>
      <c r="F26" s="20">
        <v>6085443.6251122924</v>
      </c>
      <c r="G26" s="20">
        <v>12004912.908636721</v>
      </c>
      <c r="K26" s="20" t="s">
        <v>13</v>
      </c>
      <c r="L26" s="20">
        <v>248754.3054817993</v>
      </c>
      <c r="M26" s="20">
        <v>625531.8132601314</v>
      </c>
      <c r="N26" s="20">
        <v>1420379.599040037</v>
      </c>
      <c r="O26" s="20">
        <v>3005670.49277825</v>
      </c>
      <c r="P26" s="20">
        <v>6085443.6251122924</v>
      </c>
      <c r="Q26" s="20">
        <v>12004912.908636721</v>
      </c>
      <c r="U26" s="20" t="s">
        <v>13</v>
      </c>
      <c r="V26" s="20">
        <v>248754.3054817993</v>
      </c>
      <c r="W26" s="20">
        <v>625531.8132601314</v>
      </c>
      <c r="X26" s="20">
        <v>1420379.599040037</v>
      </c>
      <c r="Y26" s="20">
        <v>3005670.49277825</v>
      </c>
      <c r="Z26" s="20">
        <v>6085443.6251122924</v>
      </c>
      <c r="AA26" s="20">
        <v>12004912.908636721</v>
      </c>
      <c r="AE26" s="20" t="s">
        <v>13</v>
      </c>
      <c r="AF26" s="20">
        <v>248754.3054817993</v>
      </c>
      <c r="AG26" s="20">
        <v>625531.8132601314</v>
      </c>
      <c r="AH26" s="20">
        <v>1420379.599040037</v>
      </c>
      <c r="AI26" s="20">
        <v>3005670.49277825</v>
      </c>
      <c r="AJ26" s="20">
        <v>6085443.6251122924</v>
      </c>
      <c r="AK26" s="20">
        <v>12004912.908636721</v>
      </c>
    </row>
    <row r="27" spans="1:37" x14ac:dyDescent="0.25">
      <c r="A27" s="20" t="s">
        <v>22</v>
      </c>
      <c r="B27" s="20">
        <v>18427.26254075639</v>
      </c>
      <c r="C27" s="20">
        <v>77043.59148459624</v>
      </c>
      <c r="D27" s="20">
        <v>145974.07363833889</v>
      </c>
      <c r="E27" s="20">
        <v>230812.58346790471</v>
      </c>
      <c r="F27" s="20">
        <v>326254.50848547119</v>
      </c>
      <c r="G27" s="20">
        <v>431934.06172673282</v>
      </c>
      <c r="K27" s="20" t="s">
        <v>22</v>
      </c>
      <c r="L27" s="20">
        <v>18427.26254075639</v>
      </c>
      <c r="M27" s="20">
        <v>77043.59148459624</v>
      </c>
      <c r="N27" s="20">
        <v>145974.07363833889</v>
      </c>
      <c r="O27" s="20">
        <v>230812.58346790471</v>
      </c>
      <c r="P27" s="20">
        <v>326254.50848547119</v>
      </c>
      <c r="Q27" s="20">
        <v>431934.06172673282</v>
      </c>
      <c r="U27" s="20" t="s">
        <v>22</v>
      </c>
      <c r="V27" s="20">
        <v>18427.26254075639</v>
      </c>
      <c r="W27" s="20">
        <v>77043.59148459624</v>
      </c>
      <c r="X27" s="20">
        <v>145974.07363833889</v>
      </c>
      <c r="Y27" s="20">
        <v>230812.58346790471</v>
      </c>
      <c r="Z27" s="20">
        <v>326254.50848547119</v>
      </c>
      <c r="AA27" s="20">
        <v>431934.06172673282</v>
      </c>
      <c r="AE27" s="20" t="s">
        <v>22</v>
      </c>
      <c r="AF27" s="20">
        <v>18427.26254075639</v>
      </c>
      <c r="AG27" s="20">
        <v>77043.59148459624</v>
      </c>
      <c r="AH27" s="20">
        <v>145974.07363833889</v>
      </c>
      <c r="AI27" s="20">
        <v>230812.58346790471</v>
      </c>
      <c r="AJ27" s="20">
        <v>326254.50848547119</v>
      </c>
      <c r="AK27" s="20">
        <v>431934.06172673282</v>
      </c>
    </row>
    <row r="32" spans="1:37" x14ac:dyDescent="0.25">
      <c r="A32" s="20" t="s">
        <v>15</v>
      </c>
      <c r="B32" s="20">
        <v>2000</v>
      </c>
      <c r="C32" s="20">
        <v>2020</v>
      </c>
      <c r="D32" s="20">
        <v>2040</v>
      </c>
      <c r="E32" s="20">
        <v>2060</v>
      </c>
      <c r="F32" s="20">
        <v>2080</v>
      </c>
      <c r="G32" s="20">
        <v>2100</v>
      </c>
      <c r="K32" s="20" t="s">
        <v>15</v>
      </c>
      <c r="L32" s="20">
        <v>2000</v>
      </c>
      <c r="M32" s="20">
        <v>2020</v>
      </c>
      <c r="N32" s="20">
        <v>2040</v>
      </c>
      <c r="O32" s="20">
        <v>2060</v>
      </c>
      <c r="P32" s="20">
        <v>2080</v>
      </c>
      <c r="Q32" s="20">
        <v>2100</v>
      </c>
      <c r="U32" s="20" t="s">
        <v>15</v>
      </c>
      <c r="V32" s="20">
        <v>2000</v>
      </c>
      <c r="W32" s="20">
        <v>2020</v>
      </c>
      <c r="X32" s="20">
        <v>2040</v>
      </c>
      <c r="Y32" s="20">
        <v>2060</v>
      </c>
      <c r="Z32" s="20">
        <v>2080</v>
      </c>
      <c r="AA32" s="20">
        <v>2100</v>
      </c>
      <c r="AE32" s="20" t="s">
        <v>15</v>
      </c>
      <c r="AF32" s="20">
        <v>2000</v>
      </c>
      <c r="AG32" s="20">
        <v>2020</v>
      </c>
      <c r="AH32" s="20">
        <v>2040</v>
      </c>
      <c r="AI32" s="20">
        <v>2060</v>
      </c>
      <c r="AJ32" s="20">
        <v>2080</v>
      </c>
      <c r="AK32" s="20">
        <v>2100</v>
      </c>
    </row>
    <row r="33" spans="1:37" x14ac:dyDescent="0.25">
      <c r="A33" s="20" t="s">
        <v>11</v>
      </c>
      <c r="B33" s="20">
        <v>111923.5309790087</v>
      </c>
      <c r="C33" s="20">
        <v>1816181.9555084859</v>
      </c>
      <c r="D33" s="20">
        <v>26117700.822371028</v>
      </c>
      <c r="E33" s="20">
        <v>349978327.92876202</v>
      </c>
      <c r="F33" s="20">
        <v>4528436524.3448553</v>
      </c>
      <c r="G33" s="20">
        <v>57091189438.513252</v>
      </c>
      <c r="K33" s="20" t="s">
        <v>11</v>
      </c>
      <c r="L33" s="20">
        <v>111923.5309790087</v>
      </c>
      <c r="M33" s="20">
        <v>1819770.735321522</v>
      </c>
      <c r="N33" s="20">
        <v>25883594.012190681</v>
      </c>
      <c r="O33" s="20">
        <v>342517925.54143149</v>
      </c>
      <c r="P33" s="20">
        <v>4386536837.2471323</v>
      </c>
      <c r="Q33" s="20">
        <v>54716329522.032303</v>
      </c>
      <c r="U33" s="20" t="s">
        <v>11</v>
      </c>
      <c r="V33" s="20">
        <v>111923.5309790087</v>
      </c>
      <c r="W33" s="20">
        <v>1800225.382504984</v>
      </c>
      <c r="X33" s="20">
        <v>25635540.97011777</v>
      </c>
      <c r="Y33" s="20">
        <v>338987811.88539749</v>
      </c>
      <c r="Z33" s="20">
        <v>4291679850.4536691</v>
      </c>
      <c r="AA33" s="20">
        <v>52855649674.247963</v>
      </c>
      <c r="AE33" s="20" t="s">
        <v>11</v>
      </c>
      <c r="AF33" s="20">
        <v>111923.5309790087</v>
      </c>
      <c r="AG33" s="20">
        <v>1835114.8760743351</v>
      </c>
      <c r="AH33" s="20">
        <v>25635389.009393029</v>
      </c>
      <c r="AI33" s="20">
        <v>335354122.8750217</v>
      </c>
      <c r="AJ33" s="20">
        <v>4096958798.3044758</v>
      </c>
      <c r="AK33" s="20">
        <v>48999733886.825821</v>
      </c>
    </row>
    <row r="34" spans="1:37" x14ac:dyDescent="0.25">
      <c r="A34" s="20" t="s">
        <v>13</v>
      </c>
      <c r="B34" s="20">
        <v>248754.3054817993</v>
      </c>
      <c r="C34" s="20">
        <v>620803.62436010316</v>
      </c>
      <c r="D34" s="20">
        <v>1402460.1314646569</v>
      </c>
      <c r="E34" s="20">
        <v>2952437.7161575081</v>
      </c>
      <c r="F34" s="20">
        <v>5977737.4141400959</v>
      </c>
      <c r="G34" s="20">
        <v>11792519.33113087</v>
      </c>
      <c r="K34" s="20" t="s">
        <v>13</v>
      </c>
      <c r="L34" s="20">
        <v>248754.3054817993</v>
      </c>
      <c r="M34" s="20">
        <v>620477.20017252478</v>
      </c>
      <c r="N34" s="20">
        <v>1395453.0057580769</v>
      </c>
      <c r="O34" s="20">
        <v>2920427.698405704</v>
      </c>
      <c r="P34" s="20">
        <v>5876743.1460747132</v>
      </c>
      <c r="Q34" s="20">
        <v>11518799.476313811</v>
      </c>
      <c r="U34" s="20" t="s">
        <v>13</v>
      </c>
      <c r="V34" s="20">
        <v>248754.3054817993</v>
      </c>
      <c r="W34" s="20">
        <v>617779.5183544514</v>
      </c>
      <c r="X34" s="20">
        <v>1387683.1985528651</v>
      </c>
      <c r="Y34" s="20">
        <v>2902351.819013922</v>
      </c>
      <c r="Z34" s="20">
        <v>5798533.3498949436</v>
      </c>
      <c r="AA34" s="20">
        <v>11271952.82053698</v>
      </c>
      <c r="AE34" s="20" t="s">
        <v>13</v>
      </c>
      <c r="AF34" s="20">
        <v>248754.3054817993</v>
      </c>
      <c r="AG34" s="20">
        <v>623281.54689231771</v>
      </c>
      <c r="AH34" s="20">
        <v>1387674.9727329069</v>
      </c>
      <c r="AI34" s="20">
        <v>2883340.9410358621</v>
      </c>
      <c r="AJ34" s="20">
        <v>5619444.3070466239</v>
      </c>
      <c r="AK34" s="20">
        <v>10685197.53754317</v>
      </c>
    </row>
    <row r="35" spans="1:37" x14ac:dyDescent="0.25">
      <c r="A35" s="20" t="s">
        <v>51</v>
      </c>
      <c r="B35" s="20">
        <v>195356.1818208</v>
      </c>
      <c r="C35" s="20">
        <v>770213.90679719462</v>
      </c>
      <c r="D35" s="20">
        <v>2362907.402356769</v>
      </c>
      <c r="E35" s="20">
        <v>5939749.5497266008</v>
      </c>
      <c r="F35" s="20">
        <v>13341483.29112529</v>
      </c>
      <c r="G35" s="20">
        <v>27875963.7508034</v>
      </c>
      <c r="K35" s="20" t="s">
        <v>51</v>
      </c>
      <c r="L35" s="20">
        <v>195356.1818208</v>
      </c>
      <c r="M35" s="20">
        <v>770186.52260407805</v>
      </c>
      <c r="N35" s="20">
        <v>2336541.7674054401</v>
      </c>
      <c r="O35" s="20">
        <v>5801273.3909865683</v>
      </c>
      <c r="P35" s="20">
        <v>12875849.37482596</v>
      </c>
      <c r="Q35" s="20">
        <v>26567559.35100811</v>
      </c>
      <c r="U35" s="20" t="s">
        <v>51</v>
      </c>
      <c r="V35" s="20">
        <v>195356.1818208</v>
      </c>
      <c r="W35" s="20">
        <v>761397.4871133999</v>
      </c>
      <c r="X35" s="20">
        <v>2308232.7733387728</v>
      </c>
      <c r="Y35" s="20">
        <v>5726058.1755964709</v>
      </c>
      <c r="Z35" s="20">
        <v>12525878.50792969</v>
      </c>
      <c r="AA35" s="20">
        <v>25423636.35051031</v>
      </c>
      <c r="AE35" s="20" t="s">
        <v>51</v>
      </c>
      <c r="AF35" s="20">
        <v>195356.1818208</v>
      </c>
      <c r="AG35" s="20">
        <v>778498.883166346</v>
      </c>
      <c r="AH35" s="20">
        <v>2308219.0907437569</v>
      </c>
      <c r="AI35" s="20">
        <v>5647598.9868825134</v>
      </c>
      <c r="AJ35" s="20">
        <v>11747514.05109033</v>
      </c>
      <c r="AK35" s="20">
        <v>22815912.1587262</v>
      </c>
    </row>
    <row r="36" spans="1:37" x14ac:dyDescent="0.25">
      <c r="A36" s="20" t="s">
        <v>0</v>
      </c>
      <c r="B36" s="20">
        <v>2.4328473815880001</v>
      </c>
      <c r="C36" s="20">
        <v>2.6966050524880898</v>
      </c>
      <c r="D36" s="20">
        <v>2.7063282424500521</v>
      </c>
      <c r="E36" s="20">
        <v>2.5320132821629642</v>
      </c>
      <c r="F36" s="20">
        <v>2.2640060261156618</v>
      </c>
      <c r="G36" s="20">
        <v>1.972435686390853</v>
      </c>
      <c r="K36" s="20" t="s">
        <v>0</v>
      </c>
      <c r="L36" s="20">
        <v>2.4328473815880001</v>
      </c>
      <c r="M36" s="20">
        <v>2.7019335504102</v>
      </c>
      <c r="N36" s="20">
        <v>2.7098480580198738</v>
      </c>
      <c r="O36" s="20">
        <v>2.5329863974725511</v>
      </c>
      <c r="P36" s="20">
        <v>2.2679130507146561</v>
      </c>
      <c r="Q36" s="20">
        <v>1.978649300208484</v>
      </c>
      <c r="U36" s="20" t="s">
        <v>0</v>
      </c>
      <c r="V36" s="20">
        <v>2.4328473815880001</v>
      </c>
      <c r="W36" s="20">
        <v>2.699404338105206</v>
      </c>
      <c r="X36" s="20">
        <v>2.7128707875106541</v>
      </c>
      <c r="Y36" s="20">
        <v>2.5362043126668272</v>
      </c>
      <c r="Z36" s="20">
        <v>2.2741014767038372</v>
      </c>
      <c r="AA36" s="20">
        <v>1.987117754565721</v>
      </c>
      <c r="AE36" s="20" t="s">
        <v>0</v>
      </c>
      <c r="AF36" s="20">
        <v>2.4328473815880001</v>
      </c>
      <c r="AG36" s="20">
        <v>2.6991709470711531</v>
      </c>
      <c r="AH36" s="20">
        <v>2.7128547063282258</v>
      </c>
      <c r="AI36" s="20">
        <v>2.5394904664766611</v>
      </c>
      <c r="AJ36" s="20">
        <v>2.292463978021078</v>
      </c>
      <c r="AK36" s="20">
        <v>2.0149727039346241</v>
      </c>
    </row>
    <row r="37" spans="1:37" x14ac:dyDescent="0.25">
      <c r="A37" s="20" t="s">
        <v>1</v>
      </c>
      <c r="B37" s="20">
        <v>3.6409539077496</v>
      </c>
      <c r="C37" s="20">
        <v>7.5073751182931412</v>
      </c>
      <c r="D37" s="20">
        <v>13.963608944712989</v>
      </c>
      <c r="E37" s="20">
        <v>24.211508579227289</v>
      </c>
      <c r="F37" s="20">
        <v>40.174498478818393</v>
      </c>
      <c r="G37" s="20">
        <v>64.952033348216474</v>
      </c>
      <c r="K37" s="20" t="s">
        <v>1</v>
      </c>
      <c r="L37" s="20">
        <v>3.6409539077496</v>
      </c>
      <c r="M37" s="20">
        <v>7.5034276722285984</v>
      </c>
      <c r="N37" s="20">
        <v>13.96316265089474</v>
      </c>
      <c r="O37" s="20">
        <v>24.215597521586091</v>
      </c>
      <c r="P37" s="20">
        <v>40.179525846611263</v>
      </c>
      <c r="Q37" s="20">
        <v>64.961411882801471</v>
      </c>
      <c r="U37" s="20" t="s">
        <v>1</v>
      </c>
      <c r="V37" s="20">
        <v>3.6409539077496</v>
      </c>
      <c r="W37" s="20">
        <v>7.5053013577035061</v>
      </c>
      <c r="X37" s="20">
        <v>13.95989750612455</v>
      </c>
      <c r="Y37" s="20">
        <v>24.2128342700431</v>
      </c>
      <c r="Z37" s="20">
        <v>40.175652866893593</v>
      </c>
      <c r="AA37" s="20">
        <v>64.958761810292302</v>
      </c>
      <c r="AE37" s="20" t="s">
        <v>1</v>
      </c>
      <c r="AF37" s="20">
        <v>3.6409539077496</v>
      </c>
      <c r="AG37" s="20">
        <v>7.5054742579339893</v>
      </c>
      <c r="AH37" s="20">
        <v>13.95981475553447</v>
      </c>
      <c r="AI37" s="20">
        <v>24.210245164121549</v>
      </c>
      <c r="AJ37" s="20">
        <v>40.16314042970874</v>
      </c>
      <c r="AK37" s="20">
        <v>64.947281303549644</v>
      </c>
    </row>
    <row r="38" spans="1:37" x14ac:dyDescent="0.25">
      <c r="A38" s="20" t="s">
        <v>2</v>
      </c>
      <c r="B38" s="20">
        <v>6.0738012893376014</v>
      </c>
      <c r="C38" s="20">
        <v>10.203980170781231</v>
      </c>
      <c r="D38" s="20">
        <v>16.66993718716304</v>
      </c>
      <c r="E38" s="20">
        <v>26.743521861390249</v>
      </c>
      <c r="F38" s="20">
        <v>42.438504504934038</v>
      </c>
      <c r="G38" s="20">
        <v>66.924469034607327</v>
      </c>
      <c r="K38" s="20" t="s">
        <v>2</v>
      </c>
      <c r="L38" s="20">
        <v>6.0738012893376014</v>
      </c>
      <c r="M38" s="20">
        <v>10.2053612226388</v>
      </c>
      <c r="N38" s="20">
        <v>16.673010708914621</v>
      </c>
      <c r="O38" s="20">
        <v>26.748583919058639</v>
      </c>
      <c r="P38" s="20">
        <v>42.44743889732591</v>
      </c>
      <c r="Q38" s="20">
        <v>66.940061183009959</v>
      </c>
      <c r="U38" s="20" t="s">
        <v>2</v>
      </c>
      <c r="V38" s="20">
        <v>6.0738012893376014</v>
      </c>
      <c r="W38" s="20">
        <v>10.204705695808711</v>
      </c>
      <c r="X38" s="20">
        <v>16.672768293635201</v>
      </c>
      <c r="Y38" s="20">
        <v>26.749038582709929</v>
      </c>
      <c r="Z38" s="20">
        <v>42.449754343597419</v>
      </c>
      <c r="AA38" s="20">
        <v>66.945879564858018</v>
      </c>
      <c r="AE38" s="20" t="s">
        <v>2</v>
      </c>
      <c r="AF38" s="20">
        <v>6.0738012893376014</v>
      </c>
      <c r="AG38" s="20">
        <v>10.204645205005139</v>
      </c>
      <c r="AH38" s="20">
        <v>16.6726694618627</v>
      </c>
      <c r="AI38" s="20">
        <v>26.749735630598209</v>
      </c>
      <c r="AJ38" s="20">
        <v>42.455604407729822</v>
      </c>
      <c r="AK38" s="20">
        <v>66.962254007484262</v>
      </c>
    </row>
    <row r="39" spans="1:37" x14ac:dyDescent="0.25">
      <c r="A39" s="20" t="s">
        <v>3</v>
      </c>
      <c r="B39" s="20">
        <v>1.496581304402675</v>
      </c>
      <c r="C39" s="20">
        <v>2.7840098836002229</v>
      </c>
      <c r="D39" s="20">
        <v>5.1596139469289453</v>
      </c>
      <c r="E39" s="20">
        <v>9.5621570193915755</v>
      </c>
      <c r="F39" s="20">
        <v>17.744872591061721</v>
      </c>
      <c r="G39" s="20">
        <v>32.929861184505931</v>
      </c>
      <c r="K39" s="20" t="s">
        <v>3</v>
      </c>
      <c r="L39" s="20">
        <v>1.496581304402675</v>
      </c>
      <c r="M39" s="20">
        <v>2.7770585516766131</v>
      </c>
      <c r="N39" s="20">
        <v>5.1527474426362607</v>
      </c>
      <c r="O39" s="20">
        <v>9.5600977351274938</v>
      </c>
      <c r="P39" s="20">
        <v>17.71651952615645</v>
      </c>
      <c r="Q39" s="20">
        <v>32.831190386268403</v>
      </c>
      <c r="U39" s="20" t="s">
        <v>3</v>
      </c>
      <c r="V39" s="20">
        <v>1.496581304402675</v>
      </c>
      <c r="W39" s="20">
        <v>2.7803546329675468</v>
      </c>
      <c r="X39" s="20">
        <v>5.1458025831500196</v>
      </c>
      <c r="Y39" s="20">
        <v>9.5468784392150301</v>
      </c>
      <c r="Z39" s="20">
        <v>17.666605153049549</v>
      </c>
      <c r="AA39" s="20">
        <v>32.689940825619999</v>
      </c>
      <c r="AE39" s="20" t="s">
        <v>3</v>
      </c>
      <c r="AF39" s="20">
        <v>1.496581304402675</v>
      </c>
      <c r="AG39" s="20">
        <v>2.7806591005575672</v>
      </c>
      <c r="AH39" s="20">
        <v>5.1458025831500196</v>
      </c>
      <c r="AI39" s="20">
        <v>9.5335050411554896</v>
      </c>
      <c r="AJ39" s="20">
        <v>17.51963861363647</v>
      </c>
      <c r="AK39" s="20">
        <v>32.232338024593354</v>
      </c>
    </row>
    <row r="40" spans="1:37" x14ac:dyDescent="0.25">
      <c r="A40" s="20" t="s">
        <v>18</v>
      </c>
      <c r="B40" s="20">
        <v>46919.594157542197</v>
      </c>
      <c r="C40" s="20">
        <v>111138.5946717942</v>
      </c>
      <c r="D40" s="20">
        <v>204962.44567359271</v>
      </c>
      <c r="E40" s="20">
        <v>318644.33508035348</v>
      </c>
      <c r="F40" s="20">
        <v>446126.0155843356</v>
      </c>
      <c r="G40" s="20">
        <v>587410.69812391803</v>
      </c>
      <c r="K40" s="20" t="s">
        <v>18</v>
      </c>
      <c r="L40" s="20">
        <v>46919.594157542197</v>
      </c>
      <c r="M40" s="20">
        <v>111134.643249063</v>
      </c>
      <c r="N40" s="20">
        <v>204746.83610057729</v>
      </c>
      <c r="O40" s="20">
        <v>318057.80712050822</v>
      </c>
      <c r="P40" s="20">
        <v>445166.47408144362</v>
      </c>
      <c r="Q40" s="20">
        <v>585855.22670967656</v>
      </c>
      <c r="U40" s="20" t="s">
        <v>18</v>
      </c>
      <c r="V40" s="20">
        <v>46919.594157542197</v>
      </c>
      <c r="W40" s="20">
        <v>110955.3013910344</v>
      </c>
      <c r="X40" s="20">
        <v>204464.2633442877</v>
      </c>
      <c r="Y40" s="20">
        <v>317610.900264022</v>
      </c>
      <c r="Z40" s="20">
        <v>443838.81416133279</v>
      </c>
      <c r="AA40" s="20">
        <v>582817.98733354418</v>
      </c>
      <c r="AE40" s="20" t="s">
        <v>18</v>
      </c>
      <c r="AF40" s="20">
        <v>46919.594157542197</v>
      </c>
      <c r="AG40" s="20">
        <v>111280.914594737</v>
      </c>
      <c r="AH40" s="20">
        <v>204464.26334428761</v>
      </c>
      <c r="AI40" s="20">
        <v>317065.40048654692</v>
      </c>
      <c r="AJ40" s="20">
        <v>439551.87892402592</v>
      </c>
      <c r="AK40" s="20">
        <v>572026.99685496849</v>
      </c>
    </row>
    <row r="41" spans="1:37" x14ac:dyDescent="0.25">
      <c r="A41" s="20" t="s">
        <v>19</v>
      </c>
      <c r="B41" s="20">
        <v>59140.312213546342</v>
      </c>
      <c r="C41" s="20">
        <v>138650.72591540919</v>
      </c>
      <c r="D41" s="20">
        <v>254360.23903519439</v>
      </c>
      <c r="E41" s="20">
        <v>393339.64853045798</v>
      </c>
      <c r="F41" s="20">
        <v>550705.06784934702</v>
      </c>
      <c r="G41" s="20">
        <v>725109.13299251883</v>
      </c>
      <c r="K41" s="20" t="s">
        <v>19</v>
      </c>
      <c r="L41" s="20">
        <v>59140.312213546342</v>
      </c>
      <c r="M41" s="20">
        <v>138645.79632608261</v>
      </c>
      <c r="N41" s="20">
        <v>252742.75950713371</v>
      </c>
      <c r="O41" s="20">
        <v>388374.30047622888</v>
      </c>
      <c r="P41" s="20">
        <v>540583.91044233181</v>
      </c>
      <c r="Q41" s="20">
        <v>707450.08965769864</v>
      </c>
      <c r="U41" s="20" t="s">
        <v>19</v>
      </c>
      <c r="V41" s="20">
        <v>59140.312213546342</v>
      </c>
      <c r="W41" s="20">
        <v>137696.52724085221</v>
      </c>
      <c r="X41" s="20">
        <v>251035.9920491082</v>
      </c>
      <c r="Y41" s="20">
        <v>385687.94475844281</v>
      </c>
      <c r="Z41" s="20">
        <v>532923.32242235204</v>
      </c>
      <c r="AA41" s="20">
        <v>691748.87797098258</v>
      </c>
      <c r="AE41" s="20" t="s">
        <v>19</v>
      </c>
      <c r="AF41" s="20">
        <v>59140.312213546342</v>
      </c>
      <c r="AG41" s="20">
        <v>139549.6602091541</v>
      </c>
      <c r="AH41" s="20">
        <v>251035.99204910811</v>
      </c>
      <c r="AI41" s="20">
        <v>382872.65483886981</v>
      </c>
      <c r="AJ41" s="20">
        <v>515561.75882483303</v>
      </c>
      <c r="AK41" s="20">
        <v>654679.33098221431</v>
      </c>
    </row>
    <row r="42" spans="1:37" x14ac:dyDescent="0.25">
      <c r="A42" s="20" t="s">
        <v>7</v>
      </c>
      <c r="B42" s="20">
        <v>19.07366</v>
      </c>
      <c r="C42" s="20">
        <v>19.53613</v>
      </c>
      <c r="D42" s="20">
        <v>19.71838</v>
      </c>
      <c r="E42" s="20">
        <v>19.98104</v>
      </c>
      <c r="F42" s="20">
        <v>19.97167</v>
      </c>
      <c r="G42" s="20">
        <v>19.934529999999999</v>
      </c>
      <c r="K42" s="20" t="s">
        <v>7</v>
      </c>
      <c r="L42" s="20">
        <v>19.07366</v>
      </c>
      <c r="M42" s="20">
        <v>19.495840000000001</v>
      </c>
      <c r="N42" s="20">
        <v>20.00198</v>
      </c>
      <c r="O42" s="20">
        <v>20.50189</v>
      </c>
      <c r="P42" s="20">
        <v>20.769770000000001</v>
      </c>
      <c r="Q42" s="20">
        <v>20.883690000000001</v>
      </c>
      <c r="U42" s="20" t="s">
        <v>7</v>
      </c>
      <c r="V42" s="20">
        <v>19.07366</v>
      </c>
      <c r="W42" s="20">
        <v>19.79382</v>
      </c>
      <c r="X42" s="20">
        <v>20.130880000000001</v>
      </c>
      <c r="Y42" s="20">
        <v>20.70025</v>
      </c>
      <c r="Z42" s="20">
        <v>21.235320000000002</v>
      </c>
      <c r="AA42" s="20">
        <v>21.62518</v>
      </c>
      <c r="AE42" s="20" t="s">
        <v>7</v>
      </c>
      <c r="AF42" s="20">
        <v>19.07366</v>
      </c>
      <c r="AG42" s="20">
        <v>19.379049999999999</v>
      </c>
      <c r="AH42" s="20">
        <v>20.165400000000002</v>
      </c>
      <c r="AI42" s="20">
        <v>21.018370000000001</v>
      </c>
      <c r="AJ42" s="20">
        <v>22.066310000000001</v>
      </c>
      <c r="AK42" s="20">
        <v>23.01595</v>
      </c>
    </row>
    <row r="43" spans="1:37" x14ac:dyDescent="0.25">
      <c r="A43" s="20" t="s">
        <v>52</v>
      </c>
      <c r="B43" s="20">
        <v>29.181006067999999</v>
      </c>
      <c r="C43" s="20">
        <v>29.587887173999999</v>
      </c>
      <c r="D43" s="20">
        <v>29.748230723999999</v>
      </c>
      <c r="E43" s="20">
        <v>29.979318992</v>
      </c>
      <c r="F43" s="20">
        <v>29.971075266</v>
      </c>
      <c r="G43" s="20">
        <v>29.938399493999999</v>
      </c>
      <c r="K43" s="20" t="s">
        <v>52</v>
      </c>
      <c r="L43" s="20">
        <v>29.181006067999999</v>
      </c>
      <c r="M43" s="20">
        <v>29.552440032</v>
      </c>
      <c r="N43" s="20">
        <v>29.997742003999999</v>
      </c>
      <c r="O43" s="20">
        <v>30.437562822</v>
      </c>
      <c r="P43" s="20">
        <v>30.673243646</v>
      </c>
      <c r="Q43" s="20">
        <v>30.773470461999999</v>
      </c>
      <c r="U43" s="20" t="s">
        <v>52</v>
      </c>
      <c r="V43" s="20">
        <v>29.181006067999999</v>
      </c>
      <c r="W43" s="20">
        <v>29.814602835999999</v>
      </c>
      <c r="X43" s="20">
        <v>30.111148224000001</v>
      </c>
      <c r="Y43" s="20">
        <v>30.612079949999998</v>
      </c>
      <c r="Z43" s="20">
        <v>31.082834536</v>
      </c>
      <c r="AA43" s="20">
        <v>31.425833363999999</v>
      </c>
      <c r="AE43" s="20" t="s">
        <v>52</v>
      </c>
      <c r="AF43" s="20">
        <v>29.181006067999999</v>
      </c>
      <c r="AG43" s="20">
        <v>29.44968819</v>
      </c>
      <c r="AH43" s="20">
        <v>30.141518919999999</v>
      </c>
      <c r="AI43" s="20">
        <v>30.891961926</v>
      </c>
      <c r="AJ43" s="20">
        <v>31.813939538</v>
      </c>
      <c r="AK43" s="20">
        <v>32.64943281</v>
      </c>
    </row>
    <row r="44" spans="1:37" x14ac:dyDescent="0.25">
      <c r="A44" s="20" t="s">
        <v>4</v>
      </c>
      <c r="B44" s="20">
        <v>0.97044553354850793</v>
      </c>
      <c r="C44" s="20">
        <v>0.99004983374916744</v>
      </c>
      <c r="D44" s="20">
        <v>0.99004983374916744</v>
      </c>
      <c r="E44" s="20">
        <v>0.99004983374916744</v>
      </c>
      <c r="F44" s="20">
        <v>0.99004983374916744</v>
      </c>
      <c r="G44" s="20">
        <v>0.99004983374916744</v>
      </c>
      <c r="K44" s="20" t="s">
        <v>4</v>
      </c>
      <c r="L44" s="20">
        <v>0.97044553354850793</v>
      </c>
      <c r="M44" s="20">
        <v>0.98019867330675492</v>
      </c>
      <c r="N44" s="20">
        <v>0.99004983374916744</v>
      </c>
      <c r="O44" s="20">
        <v>1</v>
      </c>
      <c r="P44" s="20">
        <v>1</v>
      </c>
      <c r="Q44" s="20">
        <v>1</v>
      </c>
      <c r="U44" s="20" t="s">
        <v>4</v>
      </c>
      <c r="V44" s="20">
        <v>0.97044553354850793</v>
      </c>
      <c r="W44" s="20">
        <v>0.99004983374916744</v>
      </c>
      <c r="X44" s="20">
        <v>0.99004983374916744</v>
      </c>
      <c r="Y44" s="20">
        <v>1</v>
      </c>
      <c r="Z44" s="20">
        <v>1</v>
      </c>
      <c r="AA44" s="20">
        <v>1</v>
      </c>
      <c r="AE44" s="20" t="s">
        <v>4</v>
      </c>
      <c r="AF44" s="20">
        <v>0.97044553354850793</v>
      </c>
      <c r="AG44" s="20">
        <v>0.98019867330675492</v>
      </c>
      <c r="AH44" s="20">
        <v>0.99004983374916744</v>
      </c>
      <c r="AI44" s="20">
        <v>1</v>
      </c>
      <c r="AJ44" s="20">
        <v>0.99004983374916744</v>
      </c>
      <c r="AK44" s="20">
        <v>0.98019867330675492</v>
      </c>
    </row>
    <row r="45" spans="1:37" x14ac:dyDescent="0.25">
      <c r="A45" s="20" t="s">
        <v>5</v>
      </c>
      <c r="B45" s="20">
        <v>1</v>
      </c>
      <c r="C45" s="20">
        <v>1</v>
      </c>
      <c r="D45" s="20">
        <v>1</v>
      </c>
      <c r="E45" s="20">
        <v>1</v>
      </c>
      <c r="F45" s="20">
        <v>1</v>
      </c>
      <c r="G45" s="20">
        <v>1</v>
      </c>
      <c r="K45" s="20" t="s">
        <v>5</v>
      </c>
      <c r="L45" s="20">
        <v>1</v>
      </c>
      <c r="M45" s="20">
        <v>1</v>
      </c>
      <c r="N45" s="20">
        <v>1</v>
      </c>
      <c r="O45" s="20">
        <v>1</v>
      </c>
      <c r="P45" s="20">
        <v>1</v>
      </c>
      <c r="Q45" s="20">
        <v>1</v>
      </c>
      <c r="U45" s="20" t="s">
        <v>5</v>
      </c>
      <c r="V45" s="20">
        <v>1</v>
      </c>
      <c r="W45" s="20">
        <v>1</v>
      </c>
      <c r="X45" s="20">
        <v>1</v>
      </c>
      <c r="Y45" s="20">
        <v>1</v>
      </c>
      <c r="Z45" s="20">
        <v>1</v>
      </c>
      <c r="AA45" s="20">
        <v>1</v>
      </c>
      <c r="AE45" s="20" t="s">
        <v>5</v>
      </c>
      <c r="AF45" s="20">
        <v>1</v>
      </c>
      <c r="AG45" s="20">
        <v>1</v>
      </c>
      <c r="AH45" s="20">
        <v>1</v>
      </c>
      <c r="AI45" s="20">
        <v>1</v>
      </c>
      <c r="AJ45" s="20">
        <v>1</v>
      </c>
      <c r="AK45" s="20">
        <v>1</v>
      </c>
    </row>
    <row r="46" spans="1:37" x14ac:dyDescent="0.25">
      <c r="A46" s="20" t="s">
        <v>20</v>
      </c>
      <c r="B46" s="20">
        <v>1</v>
      </c>
      <c r="C46" s="20">
        <v>0.90022563327805616</v>
      </c>
      <c r="D46" s="20">
        <v>0.89139111669784621</v>
      </c>
      <c r="E46" s="20">
        <v>0.88225365744265238</v>
      </c>
      <c r="F46" s="20">
        <v>0.88225365744265238</v>
      </c>
      <c r="G46" s="20">
        <v>0.88225365744265238</v>
      </c>
      <c r="K46" s="20" t="s">
        <v>20</v>
      </c>
      <c r="L46" s="20">
        <v>1</v>
      </c>
      <c r="M46" s="20">
        <v>0.90022563327805616</v>
      </c>
      <c r="N46" s="20">
        <v>0.88225365744265238</v>
      </c>
      <c r="O46" s="20">
        <v>0.86311515559253815</v>
      </c>
      <c r="P46" s="20">
        <v>0.85313575176011658</v>
      </c>
      <c r="Q46" s="20">
        <v>0.84289864993793617</v>
      </c>
      <c r="U46" s="20" t="s">
        <v>20</v>
      </c>
      <c r="V46" s="20">
        <v>1</v>
      </c>
      <c r="W46" s="20">
        <v>0.89139111669784621</v>
      </c>
      <c r="X46" s="20">
        <v>0.87282505847383773</v>
      </c>
      <c r="Y46" s="20">
        <v>0.85313575176011658</v>
      </c>
      <c r="Z46" s="20">
        <v>0.83241565308735976</v>
      </c>
      <c r="AA46" s="20">
        <v>0.81076508762715238</v>
      </c>
      <c r="AE46" s="20" t="s">
        <v>20</v>
      </c>
      <c r="AF46" s="20">
        <v>1</v>
      </c>
      <c r="AG46" s="20">
        <v>0.9087454042219193</v>
      </c>
      <c r="AH46" s="20">
        <v>0.87282505847383773</v>
      </c>
      <c r="AI46" s="20">
        <v>0.84289864993793617</v>
      </c>
      <c r="AJ46" s="20">
        <v>0.78828241339085314</v>
      </c>
      <c r="AK46" s="20">
        <v>0.74122794075700271</v>
      </c>
    </row>
    <row r="47" spans="1:37" x14ac:dyDescent="0.25">
      <c r="A47" s="20" t="s">
        <v>21</v>
      </c>
      <c r="B47" s="20">
        <v>1</v>
      </c>
      <c r="C47" s="20">
        <v>0.97405330480158026</v>
      </c>
      <c r="D47" s="20">
        <v>0.96957624782154495</v>
      </c>
      <c r="E47" s="20">
        <v>0.96476277921532627</v>
      </c>
      <c r="F47" s="20">
        <v>0.96476277921532627</v>
      </c>
      <c r="G47" s="20">
        <v>0.96476277921532627</v>
      </c>
      <c r="K47" s="20" t="s">
        <v>21</v>
      </c>
      <c r="L47" s="20">
        <v>1</v>
      </c>
      <c r="M47" s="20">
        <v>0.97405330480158026</v>
      </c>
      <c r="N47" s="20">
        <v>0.96476277921532627</v>
      </c>
      <c r="O47" s="20">
        <v>0.95414178358867729</v>
      </c>
      <c r="P47" s="20">
        <v>0.94834437421114004</v>
      </c>
      <c r="Q47" s="20">
        <v>0.94223331790392795</v>
      </c>
      <c r="U47" s="20" t="s">
        <v>21</v>
      </c>
      <c r="V47" s="20">
        <v>1</v>
      </c>
      <c r="W47" s="20">
        <v>0.96957624782154495</v>
      </c>
      <c r="X47" s="20">
        <v>0.95961542839364711</v>
      </c>
      <c r="Y47" s="20">
        <v>0.94834437421114004</v>
      </c>
      <c r="Z47" s="20">
        <v>0.93581367348848743</v>
      </c>
      <c r="AA47" s="20">
        <v>0.92207897326159938</v>
      </c>
      <c r="AE47" s="20" t="s">
        <v>21</v>
      </c>
      <c r="AF47" s="20">
        <v>1</v>
      </c>
      <c r="AG47" s="20">
        <v>0.97818889133398601</v>
      </c>
      <c r="AH47" s="20">
        <v>0.95961542839364711</v>
      </c>
      <c r="AI47" s="20">
        <v>0.94223331790392795</v>
      </c>
      <c r="AJ47" s="20">
        <v>0.90719339115566244</v>
      </c>
      <c r="AK47" s="20">
        <v>0.8742351694325774</v>
      </c>
    </row>
    <row r="48" spans="1:37" x14ac:dyDescent="0.25">
      <c r="A48" s="20" t="s">
        <v>10</v>
      </c>
      <c r="B48" s="20">
        <v>0.93516442547537748</v>
      </c>
      <c r="C48" s="20">
        <v>0.14855054974051929</v>
      </c>
      <c r="D48" s="20">
        <v>1.8931635025180891E-2</v>
      </c>
      <c r="E48" s="20">
        <v>2.0338761186843449E-3</v>
      </c>
      <c r="F48" s="20">
        <v>1.967797076282107E-4</v>
      </c>
      <c r="G48" s="20">
        <v>1.7904783724075641E-5</v>
      </c>
      <c r="K48" s="20" t="s">
        <v>10</v>
      </c>
      <c r="L48" s="20">
        <v>0.93516442547537748</v>
      </c>
      <c r="M48" s="20">
        <v>0.1485452681727551</v>
      </c>
      <c r="N48" s="20">
        <v>1.8911719953759641E-2</v>
      </c>
      <c r="O48" s="20">
        <v>2.0301323671747841E-3</v>
      </c>
      <c r="P48" s="20">
        <v>1.9635646780403481E-4</v>
      </c>
      <c r="Q48" s="20">
        <v>1.785737161641413E-5</v>
      </c>
      <c r="U48" s="20" t="s">
        <v>10</v>
      </c>
      <c r="V48" s="20">
        <v>0.93516442547537748</v>
      </c>
      <c r="W48" s="20">
        <v>0.14830555548176499</v>
      </c>
      <c r="X48" s="20">
        <v>1.888561973685135E-2</v>
      </c>
      <c r="Y48" s="20">
        <v>2.0272798037282869E-3</v>
      </c>
      <c r="Z48" s="20">
        <v>1.957708562911826E-4</v>
      </c>
      <c r="AA48" s="20">
        <v>1.7764793945762949E-5</v>
      </c>
      <c r="AE48" s="20" t="s">
        <v>10</v>
      </c>
      <c r="AF48" s="20">
        <v>0.93516442547537748</v>
      </c>
      <c r="AG48" s="20">
        <v>0.14874077801229671</v>
      </c>
      <c r="AH48" s="20">
        <v>1.888561973685135E-2</v>
      </c>
      <c r="AI48" s="20">
        <v>2.0237979311574961E-3</v>
      </c>
      <c r="AJ48" s="20">
        <v>1.9387995140523139E-4</v>
      </c>
      <c r="AK48" s="20">
        <v>1.7435875267052231E-5</v>
      </c>
    </row>
    <row r="49" spans="1:37" x14ac:dyDescent="0.25">
      <c r="A49" s="20" t="s">
        <v>12</v>
      </c>
      <c r="B49" s="20">
        <v>0.85001714509871107</v>
      </c>
      <c r="C49" s="20">
        <v>1.6331976440818501</v>
      </c>
      <c r="D49" s="20">
        <v>2.4554909954306519</v>
      </c>
      <c r="E49" s="20">
        <v>3.1119267882825419</v>
      </c>
      <c r="F49" s="20">
        <v>3.5706990105395571</v>
      </c>
      <c r="G49" s="20">
        <v>3.8530981302082958</v>
      </c>
      <c r="K49" s="20" t="s">
        <v>12</v>
      </c>
      <c r="L49" s="20">
        <v>0.85001714509871107</v>
      </c>
      <c r="M49" s="20">
        <v>1.6331395773561159</v>
      </c>
      <c r="N49" s="20">
        <v>2.4398765014692079</v>
      </c>
      <c r="O49" s="20">
        <v>3.072643182673926</v>
      </c>
      <c r="P49" s="20">
        <v>3.5050747611025961</v>
      </c>
      <c r="Q49" s="20">
        <v>3.7592611837974101</v>
      </c>
      <c r="U49" s="20" t="s">
        <v>12</v>
      </c>
      <c r="V49" s="20">
        <v>0.85001714509871107</v>
      </c>
      <c r="W49" s="20">
        <v>1.6219579263163391</v>
      </c>
      <c r="X49" s="20">
        <v>2.4234000579009369</v>
      </c>
      <c r="Y49" s="20">
        <v>3.0513899417350401</v>
      </c>
      <c r="Z49" s="20">
        <v>3.4554045189711471</v>
      </c>
      <c r="AA49" s="20">
        <v>3.6758277988910391</v>
      </c>
      <c r="AE49" s="20" t="s">
        <v>12</v>
      </c>
      <c r="AF49" s="20">
        <v>0.85001714509871107</v>
      </c>
      <c r="AG49" s="20">
        <v>1.6437863904518051</v>
      </c>
      <c r="AH49" s="20">
        <v>2.423400057900936</v>
      </c>
      <c r="AI49" s="20">
        <v>3.0291166312507491</v>
      </c>
      <c r="AJ49" s="20">
        <v>3.34283443095438</v>
      </c>
      <c r="AK49" s="20">
        <v>3.4788469642949789</v>
      </c>
    </row>
    <row r="50" spans="1:37" x14ac:dyDescent="0.25">
      <c r="A50" s="20" t="s">
        <v>11</v>
      </c>
      <c r="B50" s="20">
        <v>111923.5309790087</v>
      </c>
      <c r="C50" s="20">
        <v>1816181.9555084859</v>
      </c>
      <c r="D50" s="20">
        <v>26117700.822371028</v>
      </c>
      <c r="E50" s="20">
        <v>349978327.92876202</v>
      </c>
      <c r="F50" s="20">
        <v>4528436524.3448553</v>
      </c>
      <c r="G50" s="20">
        <v>57091189438.513252</v>
      </c>
      <c r="K50" s="20" t="s">
        <v>11</v>
      </c>
      <c r="L50" s="20">
        <v>111923.5309790087</v>
      </c>
      <c r="M50" s="20">
        <v>1819770.735321522</v>
      </c>
      <c r="N50" s="20">
        <v>25883594.012190681</v>
      </c>
      <c r="O50" s="20">
        <v>342517925.54143149</v>
      </c>
      <c r="P50" s="20">
        <v>4386536837.2471323</v>
      </c>
      <c r="Q50" s="20">
        <v>54716329522.032303</v>
      </c>
      <c r="U50" s="20" t="s">
        <v>11</v>
      </c>
      <c r="V50" s="20">
        <v>111923.5309790087</v>
      </c>
      <c r="W50" s="20">
        <v>1800225.382504984</v>
      </c>
      <c r="X50" s="20">
        <v>25635540.97011777</v>
      </c>
      <c r="Y50" s="20">
        <v>338987811.88539749</v>
      </c>
      <c r="Z50" s="20">
        <v>4291679850.4536691</v>
      </c>
      <c r="AA50" s="20">
        <v>52855649674.247963</v>
      </c>
      <c r="AE50" s="20" t="s">
        <v>11</v>
      </c>
      <c r="AF50" s="20">
        <v>111923.5309790087</v>
      </c>
      <c r="AG50" s="20">
        <v>1835114.8760743351</v>
      </c>
      <c r="AH50" s="20">
        <v>25635389.009393029</v>
      </c>
      <c r="AI50" s="20">
        <v>335354122.8750217</v>
      </c>
      <c r="AJ50" s="20">
        <v>4096958798.3044758</v>
      </c>
      <c r="AK50" s="20">
        <v>48999733886.825821</v>
      </c>
    </row>
    <row r="51" spans="1:37" x14ac:dyDescent="0.25">
      <c r="A51" s="20" t="s">
        <v>13</v>
      </c>
      <c r="B51" s="20">
        <v>248754.3054817993</v>
      </c>
      <c r="C51" s="20">
        <v>620803.62436010316</v>
      </c>
      <c r="D51" s="20">
        <v>1402460.1314646569</v>
      </c>
      <c r="E51" s="20">
        <v>2952437.7161575081</v>
      </c>
      <c r="F51" s="20">
        <v>5977737.4141400959</v>
      </c>
      <c r="G51" s="20">
        <v>11792519.33113087</v>
      </c>
      <c r="K51" s="20" t="s">
        <v>13</v>
      </c>
      <c r="L51" s="20">
        <v>248754.3054817993</v>
      </c>
      <c r="M51" s="20">
        <v>620477.20017252478</v>
      </c>
      <c r="N51" s="20">
        <v>1395453.0057580769</v>
      </c>
      <c r="O51" s="20">
        <v>2920427.698405704</v>
      </c>
      <c r="P51" s="20">
        <v>5876743.1460747132</v>
      </c>
      <c r="Q51" s="20">
        <v>11518799.476313811</v>
      </c>
      <c r="U51" s="20" t="s">
        <v>13</v>
      </c>
      <c r="V51" s="20">
        <v>248754.3054817993</v>
      </c>
      <c r="W51" s="20">
        <v>617779.5183544514</v>
      </c>
      <c r="X51" s="20">
        <v>1387683.1985528651</v>
      </c>
      <c r="Y51" s="20">
        <v>2902351.819013922</v>
      </c>
      <c r="Z51" s="20">
        <v>5798533.3498949436</v>
      </c>
      <c r="AA51" s="20">
        <v>11271952.82053698</v>
      </c>
      <c r="AE51" s="20" t="s">
        <v>13</v>
      </c>
      <c r="AF51" s="20">
        <v>248754.3054817993</v>
      </c>
      <c r="AG51" s="20">
        <v>623281.54689231771</v>
      </c>
      <c r="AH51" s="20">
        <v>1387674.9727329069</v>
      </c>
      <c r="AI51" s="20">
        <v>2883340.9410358621</v>
      </c>
      <c r="AJ51" s="20">
        <v>5619444.3070466239</v>
      </c>
      <c r="AK51" s="20">
        <v>10685197.53754317</v>
      </c>
    </row>
    <row r="52" spans="1:37" x14ac:dyDescent="0.25">
      <c r="A52" s="20" t="s">
        <v>22</v>
      </c>
      <c r="B52" s="20">
        <v>18427.26254075639</v>
      </c>
      <c r="C52" s="20">
        <v>75481.713400686276</v>
      </c>
      <c r="D52" s="20">
        <v>141746.62902607489</v>
      </c>
      <c r="E52" s="20">
        <v>222100.49897361669</v>
      </c>
      <c r="F52" s="20">
        <v>314372.13555850362</v>
      </c>
      <c r="G52" s="20">
        <v>416528.72488817881</v>
      </c>
      <c r="K52" s="20" t="s">
        <v>22</v>
      </c>
      <c r="L52" s="20">
        <v>18427.26254075639</v>
      </c>
      <c r="M52" s="20">
        <v>75468.815439433427</v>
      </c>
      <c r="N52" s="20">
        <v>140139.16311804159</v>
      </c>
      <c r="O52" s="20">
        <v>216881.51449591701</v>
      </c>
      <c r="P52" s="20">
        <v>303336.3074264797</v>
      </c>
      <c r="Q52" s="20">
        <v>396885.79426860792</v>
      </c>
      <c r="U52" s="20" t="s">
        <v>22</v>
      </c>
      <c r="V52" s="20">
        <v>18427.26254075639</v>
      </c>
      <c r="W52" s="20">
        <v>74612.390578409511</v>
      </c>
      <c r="X52" s="20">
        <v>138443.28264430669</v>
      </c>
      <c r="Y52" s="20">
        <v>214065.94326338469</v>
      </c>
      <c r="Z52" s="20">
        <v>295075.4062448169</v>
      </c>
      <c r="AA52" s="20">
        <v>379764.02006757673</v>
      </c>
      <c r="AE52" s="20" t="s">
        <v>22</v>
      </c>
      <c r="AF52" s="20">
        <v>18427.26254075639</v>
      </c>
      <c r="AG52" s="20">
        <v>76288.677119760148</v>
      </c>
      <c r="AH52" s="20">
        <v>138443.2826443066</v>
      </c>
      <c r="AI52" s="20">
        <v>211127.28233554561</v>
      </c>
      <c r="AJ52" s="20">
        <v>276701.13792918879</v>
      </c>
      <c r="AK52" s="20">
        <v>340727.95930937602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59999389629810485"/>
  </sheetPr>
  <dimension ref="A1:AK5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20"/>
  </cols>
  <sheetData>
    <row r="1" spans="1:37" x14ac:dyDescent="0.25">
      <c r="A1" s="20" t="s">
        <v>49</v>
      </c>
      <c r="B1" s="20" t="s">
        <v>57</v>
      </c>
    </row>
    <row r="2" spans="1:37" x14ac:dyDescent="0.25">
      <c r="A2" s="20" t="s">
        <v>33</v>
      </c>
      <c r="B2" s="20">
        <v>0.27500000000000002</v>
      </c>
    </row>
    <row r="3" spans="1:37" x14ac:dyDescent="0.25">
      <c r="A3" s="20" t="s">
        <v>14</v>
      </c>
      <c r="B3" s="20">
        <v>0.75</v>
      </c>
    </row>
    <row r="4" spans="1:37" x14ac:dyDescent="0.25">
      <c r="A4" s="20" t="s">
        <v>23</v>
      </c>
      <c r="B4" s="20">
        <v>0.4</v>
      </c>
    </row>
    <row r="5" spans="1:37" x14ac:dyDescent="0.25">
      <c r="A5" s="20" t="s">
        <v>16</v>
      </c>
      <c r="B5" s="20">
        <v>0.1893549842288946</v>
      </c>
    </row>
    <row r="6" spans="1:37" x14ac:dyDescent="0.25">
      <c r="A6" s="20" t="s">
        <v>17</v>
      </c>
      <c r="B6" s="20">
        <v>0.2556026411779832</v>
      </c>
    </row>
    <row r="7" spans="1:37" x14ac:dyDescent="0.25">
      <c r="A7" s="20" t="s">
        <v>15</v>
      </c>
      <c r="B7" s="20">
        <v>2000</v>
      </c>
      <c r="C7" s="20">
        <v>2020</v>
      </c>
      <c r="D7" s="20">
        <v>2040</v>
      </c>
      <c r="E7" s="20">
        <v>2060</v>
      </c>
      <c r="F7" s="20">
        <v>2080</v>
      </c>
      <c r="G7" s="20">
        <v>2100</v>
      </c>
      <c r="K7" s="20" t="s">
        <v>15</v>
      </c>
      <c r="L7" s="20">
        <v>2000</v>
      </c>
      <c r="M7" s="20">
        <v>2020</v>
      </c>
      <c r="N7" s="20">
        <v>2040</v>
      </c>
      <c r="O7" s="20">
        <v>2060</v>
      </c>
      <c r="P7" s="20">
        <v>2080</v>
      </c>
      <c r="Q7" s="20">
        <v>2100</v>
      </c>
      <c r="U7" s="20" t="s">
        <v>15</v>
      </c>
      <c r="V7" s="20">
        <v>2000</v>
      </c>
      <c r="W7" s="20">
        <v>2020</v>
      </c>
      <c r="X7" s="20">
        <v>2040</v>
      </c>
      <c r="Y7" s="20">
        <v>2060</v>
      </c>
      <c r="Z7" s="20">
        <v>2080</v>
      </c>
      <c r="AA7" s="20">
        <v>2100</v>
      </c>
      <c r="AE7" s="20" t="s">
        <v>15</v>
      </c>
      <c r="AF7" s="20">
        <v>2000</v>
      </c>
      <c r="AG7" s="20">
        <v>2020</v>
      </c>
      <c r="AH7" s="20">
        <v>2040</v>
      </c>
      <c r="AI7" s="20">
        <v>2060</v>
      </c>
      <c r="AJ7" s="20">
        <v>2080</v>
      </c>
      <c r="AK7" s="20">
        <v>2100</v>
      </c>
    </row>
    <row r="8" spans="1:37" x14ac:dyDescent="0.25">
      <c r="A8" s="20" t="s">
        <v>11</v>
      </c>
      <c r="B8" s="20">
        <v>44640.248784480689</v>
      </c>
      <c r="C8" s="20">
        <v>777141.32590211264</v>
      </c>
      <c r="D8" s="20">
        <v>11277324.35021558</v>
      </c>
      <c r="E8" s="20">
        <v>152508502.57341591</v>
      </c>
      <c r="F8" s="20">
        <v>1973312996.282618</v>
      </c>
      <c r="G8" s="20">
        <v>24877904132.751991</v>
      </c>
      <c r="K8" s="20" t="s">
        <v>11</v>
      </c>
      <c r="L8" s="20">
        <v>44640.248784480689</v>
      </c>
      <c r="M8" s="20">
        <v>777141.32590211264</v>
      </c>
      <c r="N8" s="20">
        <v>11277324.35021558</v>
      </c>
      <c r="O8" s="20">
        <v>152508502.57341591</v>
      </c>
      <c r="P8" s="20">
        <v>1973312996.282618</v>
      </c>
      <c r="Q8" s="20">
        <v>24877904132.751991</v>
      </c>
      <c r="U8" s="20" t="s">
        <v>11</v>
      </c>
      <c r="V8" s="20">
        <v>44640.248784480689</v>
      </c>
      <c r="W8" s="20">
        <v>777141.32590211264</v>
      </c>
      <c r="X8" s="20">
        <v>11277324.35021558</v>
      </c>
      <c r="Y8" s="20">
        <v>152508502.57341591</v>
      </c>
      <c r="Z8" s="20">
        <v>1973312996.282618</v>
      </c>
      <c r="AA8" s="20">
        <v>24877904132.751991</v>
      </c>
      <c r="AE8" s="20" t="s">
        <v>11</v>
      </c>
      <c r="AF8" s="20">
        <v>44640.248784480689</v>
      </c>
      <c r="AG8" s="20">
        <v>777141.32590211264</v>
      </c>
      <c r="AH8" s="20">
        <v>11277324.35021558</v>
      </c>
      <c r="AI8" s="20">
        <v>152508502.57341591</v>
      </c>
      <c r="AJ8" s="20">
        <v>1973312996.282618</v>
      </c>
      <c r="AK8" s="20">
        <v>24877904132.751991</v>
      </c>
    </row>
    <row r="9" spans="1:37" x14ac:dyDescent="0.25">
      <c r="A9" s="20" t="s">
        <v>13</v>
      </c>
      <c r="B9" s="20">
        <v>99214.651162148191</v>
      </c>
      <c r="C9" s="20">
        <v>249490.84006094071</v>
      </c>
      <c r="D9" s="20">
        <v>566512.67266970035</v>
      </c>
      <c r="E9" s="20">
        <v>1198799.549908394</v>
      </c>
      <c r="F9" s="20">
        <v>2427154.638642468</v>
      </c>
      <c r="G9" s="20">
        <v>4788111.0807527639</v>
      </c>
      <c r="K9" s="20" t="s">
        <v>13</v>
      </c>
      <c r="L9" s="20">
        <v>99214.651162148191</v>
      </c>
      <c r="M9" s="20">
        <v>249490.84006094071</v>
      </c>
      <c r="N9" s="20">
        <v>566512.67266970035</v>
      </c>
      <c r="O9" s="20">
        <v>1198799.549908394</v>
      </c>
      <c r="P9" s="20">
        <v>2427154.638642468</v>
      </c>
      <c r="Q9" s="20">
        <v>4788111.0807527639</v>
      </c>
      <c r="U9" s="20" t="s">
        <v>13</v>
      </c>
      <c r="V9" s="20">
        <v>99214.651162148191</v>
      </c>
      <c r="W9" s="20">
        <v>249490.84006094071</v>
      </c>
      <c r="X9" s="20">
        <v>566512.67266970035</v>
      </c>
      <c r="Y9" s="20">
        <v>1198799.549908394</v>
      </c>
      <c r="Z9" s="20">
        <v>2427154.638642468</v>
      </c>
      <c r="AA9" s="20">
        <v>4788111.0807527639</v>
      </c>
      <c r="AE9" s="20" t="s">
        <v>13</v>
      </c>
      <c r="AF9" s="20">
        <v>99214.651162148191</v>
      </c>
      <c r="AG9" s="20">
        <v>249490.84006094071</v>
      </c>
      <c r="AH9" s="20">
        <v>566512.67266970035</v>
      </c>
      <c r="AI9" s="20">
        <v>1198799.549908394</v>
      </c>
      <c r="AJ9" s="20">
        <v>2427154.638642468</v>
      </c>
      <c r="AK9" s="20">
        <v>4788111.0807527639</v>
      </c>
    </row>
    <row r="10" spans="1:37" x14ac:dyDescent="0.25">
      <c r="A10" s="20" t="s">
        <v>51</v>
      </c>
      <c r="B10" s="20">
        <v>77917.024970400002</v>
      </c>
      <c r="C10" s="20">
        <v>324580.23839814792</v>
      </c>
      <c r="D10" s="20">
        <v>997543.89438753994</v>
      </c>
      <c r="E10" s="20">
        <v>2518975.5803243588</v>
      </c>
      <c r="F10" s="20">
        <v>5634975.1989000821</v>
      </c>
      <c r="G10" s="20">
        <v>11746616.598181119</v>
      </c>
      <c r="K10" s="20" t="s">
        <v>51</v>
      </c>
      <c r="L10" s="20">
        <v>77917.024970400002</v>
      </c>
      <c r="M10" s="20">
        <v>324580.23839814792</v>
      </c>
      <c r="N10" s="20">
        <v>997543.89438753994</v>
      </c>
      <c r="O10" s="20">
        <v>2518975.5803243588</v>
      </c>
      <c r="P10" s="20">
        <v>5634975.1989000821</v>
      </c>
      <c r="Q10" s="20">
        <v>11746616.598181119</v>
      </c>
      <c r="U10" s="20" t="s">
        <v>51</v>
      </c>
      <c r="V10" s="20">
        <v>77917.024970400002</v>
      </c>
      <c r="W10" s="20">
        <v>324580.23839814792</v>
      </c>
      <c r="X10" s="20">
        <v>997543.89438753994</v>
      </c>
      <c r="Y10" s="20">
        <v>2518975.5803243588</v>
      </c>
      <c r="Z10" s="20">
        <v>5634975.1989000821</v>
      </c>
      <c r="AA10" s="20">
        <v>11746616.598181119</v>
      </c>
      <c r="AE10" s="20" t="s">
        <v>51</v>
      </c>
      <c r="AF10" s="20">
        <v>77917.024970400002</v>
      </c>
      <c r="AG10" s="20">
        <v>324580.23839814792</v>
      </c>
      <c r="AH10" s="20">
        <v>997543.89438753994</v>
      </c>
      <c r="AI10" s="20">
        <v>2518975.5803243588</v>
      </c>
      <c r="AJ10" s="20">
        <v>5634975.1989000821</v>
      </c>
      <c r="AK10" s="20">
        <v>11746616.598181119</v>
      </c>
    </row>
    <row r="11" spans="1:37" x14ac:dyDescent="0.25">
      <c r="A11" s="20" t="s">
        <v>0</v>
      </c>
      <c r="B11" s="20">
        <v>0.97033136301899992</v>
      </c>
      <c r="C11" s="20">
        <v>1.077592039064595</v>
      </c>
      <c r="D11" s="20">
        <v>1.0805998628864859</v>
      </c>
      <c r="E11" s="20">
        <v>1.009851139453539</v>
      </c>
      <c r="F11" s="20">
        <v>0.90295008955022826</v>
      </c>
      <c r="G11" s="20">
        <v>0.78665811203172464</v>
      </c>
      <c r="K11" s="20" t="s">
        <v>0</v>
      </c>
      <c r="L11" s="20">
        <v>0.97033136301899992</v>
      </c>
      <c r="M11" s="20">
        <v>1.077592039064595</v>
      </c>
      <c r="N11" s="20">
        <v>1.0805998628864859</v>
      </c>
      <c r="O11" s="20">
        <v>1.009851139453539</v>
      </c>
      <c r="P11" s="20">
        <v>0.90295008955022826</v>
      </c>
      <c r="Q11" s="20">
        <v>0.78665811203172464</v>
      </c>
      <c r="U11" s="20" t="s">
        <v>0</v>
      </c>
      <c r="V11" s="20">
        <v>0.97033136301899992</v>
      </c>
      <c r="W11" s="20">
        <v>1.077592039064595</v>
      </c>
      <c r="X11" s="20">
        <v>1.0805998628864859</v>
      </c>
      <c r="Y11" s="20">
        <v>1.009851139453539</v>
      </c>
      <c r="Z11" s="20">
        <v>0.90295008955022826</v>
      </c>
      <c r="AA11" s="20">
        <v>0.78665811203172464</v>
      </c>
      <c r="AE11" s="20" t="s">
        <v>0</v>
      </c>
      <c r="AF11" s="20">
        <v>0.97033136301899992</v>
      </c>
      <c r="AG11" s="20">
        <v>1.077592039064595</v>
      </c>
      <c r="AH11" s="20">
        <v>1.0805998628864859</v>
      </c>
      <c r="AI11" s="20">
        <v>1.009851139453539</v>
      </c>
      <c r="AJ11" s="20">
        <v>0.90295008955022826</v>
      </c>
      <c r="AK11" s="20">
        <v>0.78665811203172464</v>
      </c>
    </row>
    <row r="12" spans="1:37" x14ac:dyDescent="0.25">
      <c r="A12" s="20" t="s">
        <v>1</v>
      </c>
      <c r="B12" s="20">
        <v>1.4521797769697999</v>
      </c>
      <c r="C12" s="20">
        <v>2.9927587168420549</v>
      </c>
      <c r="D12" s="20">
        <v>5.5692825622126696</v>
      </c>
      <c r="E12" s="20">
        <v>9.6584785355792118</v>
      </c>
      <c r="F12" s="20">
        <v>16.026257597214869</v>
      </c>
      <c r="G12" s="20">
        <v>25.91023868058215</v>
      </c>
      <c r="K12" s="20" t="s">
        <v>1</v>
      </c>
      <c r="L12" s="20">
        <v>1.4521797769697999</v>
      </c>
      <c r="M12" s="20">
        <v>2.9927587168420549</v>
      </c>
      <c r="N12" s="20">
        <v>5.5692825622126696</v>
      </c>
      <c r="O12" s="20">
        <v>9.6584785355792118</v>
      </c>
      <c r="P12" s="20">
        <v>16.026257597214869</v>
      </c>
      <c r="Q12" s="20">
        <v>25.91023868058215</v>
      </c>
      <c r="U12" s="20" t="s">
        <v>1</v>
      </c>
      <c r="V12" s="20">
        <v>1.4521797769697999</v>
      </c>
      <c r="W12" s="20">
        <v>2.9927587168420549</v>
      </c>
      <c r="X12" s="20">
        <v>5.5692825622126696</v>
      </c>
      <c r="Y12" s="20">
        <v>9.6584785355792118</v>
      </c>
      <c r="Z12" s="20">
        <v>16.026257597214869</v>
      </c>
      <c r="AA12" s="20">
        <v>25.91023868058215</v>
      </c>
      <c r="AE12" s="20" t="s">
        <v>1</v>
      </c>
      <c r="AF12" s="20">
        <v>1.4521797769697999</v>
      </c>
      <c r="AG12" s="20">
        <v>2.9927587168420549</v>
      </c>
      <c r="AH12" s="20">
        <v>5.5692825622126696</v>
      </c>
      <c r="AI12" s="20">
        <v>9.6584785355792118</v>
      </c>
      <c r="AJ12" s="20">
        <v>16.026257597214869</v>
      </c>
      <c r="AK12" s="20">
        <v>25.91023868058215</v>
      </c>
    </row>
    <row r="13" spans="1:37" x14ac:dyDescent="0.25">
      <c r="A13" s="20" t="s">
        <v>2</v>
      </c>
      <c r="B13" s="20">
        <v>2.4225111399888002</v>
      </c>
      <c r="C13" s="20">
        <v>4.0703507559066514</v>
      </c>
      <c r="D13" s="20">
        <v>6.6498824250991557</v>
      </c>
      <c r="E13" s="20">
        <v>10.66832967503275</v>
      </c>
      <c r="F13" s="20">
        <v>16.929207686765089</v>
      </c>
      <c r="G13" s="20">
        <v>26.69689679261387</v>
      </c>
      <c r="K13" s="20" t="s">
        <v>2</v>
      </c>
      <c r="L13" s="20">
        <v>2.4225111399888002</v>
      </c>
      <c r="M13" s="20">
        <v>4.0703507559066514</v>
      </c>
      <c r="N13" s="20">
        <v>6.6498824250991557</v>
      </c>
      <c r="O13" s="20">
        <v>10.66832967503275</v>
      </c>
      <c r="P13" s="20">
        <v>16.929207686765089</v>
      </c>
      <c r="Q13" s="20">
        <v>26.69689679261387</v>
      </c>
      <c r="U13" s="20" t="s">
        <v>2</v>
      </c>
      <c r="V13" s="20">
        <v>2.4225111399888002</v>
      </c>
      <c r="W13" s="20">
        <v>4.0703507559066514</v>
      </c>
      <c r="X13" s="20">
        <v>6.6498824250991557</v>
      </c>
      <c r="Y13" s="20">
        <v>10.66832967503275</v>
      </c>
      <c r="Z13" s="20">
        <v>16.929207686765089</v>
      </c>
      <c r="AA13" s="20">
        <v>26.69689679261387</v>
      </c>
      <c r="AE13" s="20" t="s">
        <v>2</v>
      </c>
      <c r="AF13" s="20">
        <v>2.4225111399888002</v>
      </c>
      <c r="AG13" s="20">
        <v>4.0703507559066514</v>
      </c>
      <c r="AH13" s="20">
        <v>6.6498824250991557</v>
      </c>
      <c r="AI13" s="20">
        <v>10.66832967503275</v>
      </c>
      <c r="AJ13" s="20">
        <v>16.929207686765089</v>
      </c>
      <c r="AK13" s="20">
        <v>26.69689679261387</v>
      </c>
    </row>
    <row r="14" spans="1:37" x14ac:dyDescent="0.25">
      <c r="A14" s="20" t="s">
        <v>3</v>
      </c>
      <c r="B14" s="20">
        <v>1.496581304402675</v>
      </c>
      <c r="C14" s="20">
        <v>2.777265057971217</v>
      </c>
      <c r="D14" s="20">
        <v>5.1538805005361263</v>
      </c>
      <c r="E14" s="20">
        <v>9.5642596797045769</v>
      </c>
      <c r="F14" s="20">
        <v>17.748774580882721</v>
      </c>
      <c r="G14" s="20">
        <v>32.937102261188187</v>
      </c>
      <c r="K14" s="20" t="s">
        <v>3</v>
      </c>
      <c r="L14" s="20">
        <v>1.496581304402675</v>
      </c>
      <c r="M14" s="20">
        <v>2.777265057971217</v>
      </c>
      <c r="N14" s="20">
        <v>5.1538805005361263</v>
      </c>
      <c r="O14" s="20">
        <v>9.5642596797045769</v>
      </c>
      <c r="P14" s="20">
        <v>17.748774580882721</v>
      </c>
      <c r="Q14" s="20">
        <v>32.937102261188187</v>
      </c>
      <c r="U14" s="20" t="s">
        <v>3</v>
      </c>
      <c r="V14" s="20">
        <v>1.496581304402675</v>
      </c>
      <c r="W14" s="20">
        <v>2.777265057971217</v>
      </c>
      <c r="X14" s="20">
        <v>5.1538805005361263</v>
      </c>
      <c r="Y14" s="20">
        <v>9.5642596797045769</v>
      </c>
      <c r="Z14" s="20">
        <v>17.748774580882721</v>
      </c>
      <c r="AA14" s="20">
        <v>32.937102261188187</v>
      </c>
      <c r="AE14" s="20" t="s">
        <v>3</v>
      </c>
      <c r="AF14" s="20">
        <v>1.496581304402675</v>
      </c>
      <c r="AG14" s="20">
        <v>2.777265057971217</v>
      </c>
      <c r="AH14" s="20">
        <v>5.1538805005361263</v>
      </c>
      <c r="AI14" s="20">
        <v>9.5642596797045769</v>
      </c>
      <c r="AJ14" s="20">
        <v>17.748774580882721</v>
      </c>
      <c r="AK14" s="20">
        <v>32.937102261188187</v>
      </c>
    </row>
    <row r="15" spans="1:37" x14ac:dyDescent="0.25">
      <c r="A15" s="20" t="s">
        <v>18</v>
      </c>
      <c r="B15" s="20">
        <v>45393.773600747983</v>
      </c>
      <c r="C15" s="20">
        <v>109613.8268010399</v>
      </c>
      <c r="D15" s="20">
        <v>200497.62255490071</v>
      </c>
      <c r="E15" s="20">
        <v>309898.1891654678</v>
      </c>
      <c r="F15" s="20">
        <v>432120.26022089558</v>
      </c>
      <c r="G15" s="20">
        <v>567655.96896973415</v>
      </c>
      <c r="K15" s="20" t="s">
        <v>18</v>
      </c>
      <c r="L15" s="20">
        <v>45393.773600747983</v>
      </c>
      <c r="M15" s="20">
        <v>109613.8268010399</v>
      </c>
      <c r="N15" s="20">
        <v>200497.62255490071</v>
      </c>
      <c r="O15" s="20">
        <v>309898.1891654678</v>
      </c>
      <c r="P15" s="20">
        <v>432120.26022089558</v>
      </c>
      <c r="Q15" s="20">
        <v>567655.96896973415</v>
      </c>
      <c r="U15" s="20" t="s">
        <v>18</v>
      </c>
      <c r="V15" s="20">
        <v>45393.773600747983</v>
      </c>
      <c r="W15" s="20">
        <v>109613.8268010399</v>
      </c>
      <c r="X15" s="20">
        <v>200497.62255490071</v>
      </c>
      <c r="Y15" s="20">
        <v>309898.1891654678</v>
      </c>
      <c r="Z15" s="20">
        <v>432120.26022089558</v>
      </c>
      <c r="AA15" s="20">
        <v>567655.96896973415</v>
      </c>
      <c r="AE15" s="20" t="s">
        <v>18</v>
      </c>
      <c r="AF15" s="20">
        <v>45393.773600747983</v>
      </c>
      <c r="AG15" s="20">
        <v>109613.8268010399</v>
      </c>
      <c r="AH15" s="20">
        <v>200497.62255490071</v>
      </c>
      <c r="AI15" s="20">
        <v>309898.1891654678</v>
      </c>
      <c r="AJ15" s="20">
        <v>432120.26022089558</v>
      </c>
      <c r="AK15" s="20">
        <v>567655.96896973415</v>
      </c>
    </row>
    <row r="16" spans="1:37" x14ac:dyDescent="0.25">
      <c r="A16" s="20" t="s">
        <v>19</v>
      </c>
      <c r="B16" s="20">
        <v>59185.639391343168</v>
      </c>
      <c r="C16" s="20">
        <v>142917.4953025846</v>
      </c>
      <c r="D16" s="20">
        <v>261414.26557144479</v>
      </c>
      <c r="E16" s="20">
        <v>404053.70642451692</v>
      </c>
      <c r="F16" s="20">
        <v>563410.17426905094</v>
      </c>
      <c r="G16" s="20">
        <v>740125.32584936998</v>
      </c>
      <c r="K16" s="20" t="s">
        <v>19</v>
      </c>
      <c r="L16" s="20">
        <v>59185.639391343168</v>
      </c>
      <c r="M16" s="20">
        <v>142917.4953025846</v>
      </c>
      <c r="N16" s="20">
        <v>261414.26557144479</v>
      </c>
      <c r="O16" s="20">
        <v>404053.70642451692</v>
      </c>
      <c r="P16" s="20">
        <v>563410.17426905094</v>
      </c>
      <c r="Q16" s="20">
        <v>740125.32584936998</v>
      </c>
      <c r="U16" s="20" t="s">
        <v>19</v>
      </c>
      <c r="V16" s="20">
        <v>59185.639391343168</v>
      </c>
      <c r="W16" s="20">
        <v>142917.4953025846</v>
      </c>
      <c r="X16" s="20">
        <v>261414.26557144479</v>
      </c>
      <c r="Y16" s="20">
        <v>404053.70642451692</v>
      </c>
      <c r="Z16" s="20">
        <v>563410.17426905094</v>
      </c>
      <c r="AA16" s="20">
        <v>740125.32584936998</v>
      </c>
      <c r="AE16" s="20" t="s">
        <v>19</v>
      </c>
      <c r="AF16" s="20">
        <v>59185.639391343168</v>
      </c>
      <c r="AG16" s="20">
        <v>142917.4953025846</v>
      </c>
      <c r="AH16" s="20">
        <v>261414.26557144479</v>
      </c>
      <c r="AI16" s="20">
        <v>404053.70642451692</v>
      </c>
      <c r="AJ16" s="20">
        <v>563410.17426905094</v>
      </c>
      <c r="AK16" s="20">
        <v>740125.32584936998</v>
      </c>
    </row>
    <row r="17" spans="1:37" x14ac:dyDescent="0.25">
      <c r="A17" s="20" t="s">
        <v>7</v>
      </c>
      <c r="B17" s="20">
        <v>17.39819</v>
      </c>
      <c r="C17" s="20">
        <v>17.39819</v>
      </c>
      <c r="D17" s="20">
        <v>17.39819</v>
      </c>
      <c r="E17" s="20">
        <v>17.39819</v>
      </c>
      <c r="F17" s="20">
        <v>17.39819</v>
      </c>
      <c r="G17" s="20">
        <v>17.39819</v>
      </c>
      <c r="K17" s="20" t="s">
        <v>7</v>
      </c>
      <c r="L17" s="20">
        <v>17.39819</v>
      </c>
      <c r="M17" s="20">
        <v>17.39819</v>
      </c>
      <c r="N17" s="20">
        <v>17.39819</v>
      </c>
      <c r="O17" s="20">
        <v>17.39819</v>
      </c>
      <c r="P17" s="20">
        <v>17.39819</v>
      </c>
      <c r="Q17" s="20">
        <v>17.39819</v>
      </c>
      <c r="U17" s="20" t="s">
        <v>7</v>
      </c>
      <c r="V17" s="20">
        <v>17.39819</v>
      </c>
      <c r="W17" s="20">
        <v>17.39819</v>
      </c>
      <c r="X17" s="20">
        <v>17.39819</v>
      </c>
      <c r="Y17" s="20">
        <v>17.39819</v>
      </c>
      <c r="Z17" s="20">
        <v>17.39819</v>
      </c>
      <c r="AA17" s="20">
        <v>17.39819</v>
      </c>
      <c r="AE17" s="20" t="s">
        <v>7</v>
      </c>
      <c r="AF17" s="20">
        <v>17.39819</v>
      </c>
      <c r="AG17" s="20">
        <v>17.39819</v>
      </c>
      <c r="AH17" s="20">
        <v>17.39819</v>
      </c>
      <c r="AI17" s="20">
        <v>17.39819</v>
      </c>
      <c r="AJ17" s="20">
        <v>17.39819</v>
      </c>
      <c r="AK17" s="20">
        <v>17.39819</v>
      </c>
    </row>
    <row r="18" spans="1:37" x14ac:dyDescent="0.25">
      <c r="A18" s="20" t="s">
        <v>52</v>
      </c>
      <c r="B18" s="20">
        <v>27.706927562000001</v>
      </c>
      <c r="C18" s="20">
        <v>27.706927562000001</v>
      </c>
      <c r="D18" s="20">
        <v>27.706927562000001</v>
      </c>
      <c r="E18" s="20">
        <v>27.706927562000001</v>
      </c>
      <c r="F18" s="20">
        <v>27.706927562000001</v>
      </c>
      <c r="G18" s="20">
        <v>27.706927562000001</v>
      </c>
      <c r="K18" s="20" t="s">
        <v>52</v>
      </c>
      <c r="L18" s="20">
        <v>27.706927562000001</v>
      </c>
      <c r="M18" s="20">
        <v>27.706927562000001</v>
      </c>
      <c r="N18" s="20">
        <v>27.706927562000001</v>
      </c>
      <c r="O18" s="20">
        <v>27.706927562000001</v>
      </c>
      <c r="P18" s="20">
        <v>27.706927562000001</v>
      </c>
      <c r="Q18" s="20">
        <v>27.706927562000001</v>
      </c>
      <c r="U18" s="20" t="s">
        <v>52</v>
      </c>
      <c r="V18" s="20">
        <v>27.706927562000001</v>
      </c>
      <c r="W18" s="20">
        <v>27.706927562000001</v>
      </c>
      <c r="X18" s="20">
        <v>27.706927562000001</v>
      </c>
      <c r="Y18" s="20">
        <v>27.706927562000001</v>
      </c>
      <c r="Z18" s="20">
        <v>27.706927562000001</v>
      </c>
      <c r="AA18" s="20">
        <v>27.706927562000001</v>
      </c>
      <c r="AE18" s="20" t="s">
        <v>52</v>
      </c>
      <c r="AF18" s="20">
        <v>27.706927562000001</v>
      </c>
      <c r="AG18" s="20">
        <v>27.706927562000001</v>
      </c>
      <c r="AH18" s="20">
        <v>27.706927562000001</v>
      </c>
      <c r="AI18" s="20">
        <v>27.706927562000001</v>
      </c>
      <c r="AJ18" s="20">
        <v>27.706927562000001</v>
      </c>
      <c r="AK18" s="20">
        <v>27.706927562000001</v>
      </c>
    </row>
    <row r="19" spans="1:37" x14ac:dyDescent="0.25">
      <c r="A19" s="20" t="s">
        <v>4</v>
      </c>
      <c r="B19" s="20">
        <v>0.92311634638663587</v>
      </c>
      <c r="C19" s="20">
        <v>0.92311634638663587</v>
      </c>
      <c r="D19" s="20">
        <v>0.92311634638663587</v>
      </c>
      <c r="E19" s="20">
        <v>0.92311634638663587</v>
      </c>
      <c r="F19" s="20">
        <v>0.92311634638663587</v>
      </c>
      <c r="G19" s="20">
        <v>0.92311634638663587</v>
      </c>
      <c r="K19" s="20" t="s">
        <v>4</v>
      </c>
      <c r="L19" s="20">
        <v>0.92311634638663587</v>
      </c>
      <c r="M19" s="20">
        <v>0.92311634638663587</v>
      </c>
      <c r="N19" s="20">
        <v>0.92311634638663587</v>
      </c>
      <c r="O19" s="20">
        <v>0.92311634638663587</v>
      </c>
      <c r="P19" s="20">
        <v>0.92311634638663587</v>
      </c>
      <c r="Q19" s="20">
        <v>0.92311634638663587</v>
      </c>
      <c r="U19" s="20" t="s">
        <v>4</v>
      </c>
      <c r="V19" s="20">
        <v>0.92311634638663587</v>
      </c>
      <c r="W19" s="20">
        <v>0.92311634638663587</v>
      </c>
      <c r="X19" s="20">
        <v>0.92311634638663587</v>
      </c>
      <c r="Y19" s="20">
        <v>0.92311634638663587</v>
      </c>
      <c r="Z19" s="20">
        <v>0.92311634638663587</v>
      </c>
      <c r="AA19" s="20">
        <v>0.92311634638663587</v>
      </c>
      <c r="AE19" s="20" t="s">
        <v>4</v>
      </c>
      <c r="AF19" s="20">
        <v>0.92311634638663587</v>
      </c>
      <c r="AG19" s="20">
        <v>0.92311634638663587</v>
      </c>
      <c r="AH19" s="20">
        <v>0.92311634638663587</v>
      </c>
      <c r="AI19" s="20">
        <v>0.92311634638663587</v>
      </c>
      <c r="AJ19" s="20">
        <v>0.92311634638663587</v>
      </c>
      <c r="AK19" s="20">
        <v>0.92311634638663587</v>
      </c>
    </row>
    <row r="20" spans="1:37" x14ac:dyDescent="0.25">
      <c r="A20" s="20" t="s">
        <v>5</v>
      </c>
      <c r="B20" s="20">
        <v>1</v>
      </c>
      <c r="C20" s="20">
        <v>1</v>
      </c>
      <c r="D20" s="20">
        <v>1</v>
      </c>
      <c r="E20" s="20">
        <v>1</v>
      </c>
      <c r="F20" s="20">
        <v>1</v>
      </c>
      <c r="G20" s="20">
        <v>1</v>
      </c>
      <c r="K20" s="20" t="s">
        <v>5</v>
      </c>
      <c r="L20" s="20">
        <v>1</v>
      </c>
      <c r="M20" s="20">
        <v>1</v>
      </c>
      <c r="N20" s="20">
        <v>1</v>
      </c>
      <c r="O20" s="20">
        <v>1</v>
      </c>
      <c r="P20" s="20">
        <v>1</v>
      </c>
      <c r="Q20" s="20">
        <v>1</v>
      </c>
      <c r="U20" s="20" t="s">
        <v>5</v>
      </c>
      <c r="V20" s="20">
        <v>1</v>
      </c>
      <c r="W20" s="20">
        <v>1</v>
      </c>
      <c r="X20" s="20">
        <v>1</v>
      </c>
      <c r="Y20" s="20">
        <v>1</v>
      </c>
      <c r="Z20" s="20">
        <v>1</v>
      </c>
      <c r="AA20" s="20">
        <v>1</v>
      </c>
      <c r="AE20" s="20" t="s">
        <v>5</v>
      </c>
      <c r="AF20" s="20">
        <v>1</v>
      </c>
      <c r="AG20" s="20">
        <v>1</v>
      </c>
      <c r="AH20" s="20">
        <v>1</v>
      </c>
      <c r="AI20" s="20">
        <v>1</v>
      </c>
      <c r="AJ20" s="20">
        <v>1</v>
      </c>
      <c r="AK20" s="20">
        <v>1</v>
      </c>
    </row>
    <row r="21" spans="1:37" x14ac:dyDescent="0.25">
      <c r="A21" s="20" t="s">
        <v>20</v>
      </c>
      <c r="B21" s="20">
        <v>1</v>
      </c>
      <c r="C21" s="20">
        <v>0.96439833420871968</v>
      </c>
      <c r="D21" s="20">
        <v>0.96439833420871968</v>
      </c>
      <c r="E21" s="20">
        <v>0.96439833420871968</v>
      </c>
      <c r="F21" s="20">
        <v>0.96439833420871968</v>
      </c>
      <c r="G21" s="20">
        <v>0.96439833420871968</v>
      </c>
      <c r="K21" s="20" t="s">
        <v>20</v>
      </c>
      <c r="L21" s="20">
        <v>1</v>
      </c>
      <c r="M21" s="20">
        <v>0.96439833420871968</v>
      </c>
      <c r="N21" s="20">
        <v>0.96439833420871968</v>
      </c>
      <c r="O21" s="20">
        <v>0.96439833420871968</v>
      </c>
      <c r="P21" s="20">
        <v>0.96439833420871968</v>
      </c>
      <c r="Q21" s="20">
        <v>0.96439833420871968</v>
      </c>
      <c r="U21" s="20" t="s">
        <v>20</v>
      </c>
      <c r="V21" s="20">
        <v>1</v>
      </c>
      <c r="W21" s="20">
        <v>0.96439833420871968</v>
      </c>
      <c r="X21" s="20">
        <v>0.96439833420871968</v>
      </c>
      <c r="Y21" s="20">
        <v>0.96439833420871968</v>
      </c>
      <c r="Z21" s="20">
        <v>0.96439833420871968</v>
      </c>
      <c r="AA21" s="20">
        <v>0.96439833420871968</v>
      </c>
      <c r="AE21" s="20" t="s">
        <v>20</v>
      </c>
      <c r="AF21" s="20">
        <v>1</v>
      </c>
      <c r="AG21" s="20">
        <v>0.96439833420871968</v>
      </c>
      <c r="AH21" s="20">
        <v>0.96439833420871968</v>
      </c>
      <c r="AI21" s="20">
        <v>0.96439833420871968</v>
      </c>
      <c r="AJ21" s="20">
        <v>0.96439833420871968</v>
      </c>
      <c r="AK21" s="20">
        <v>0.96439833420871968</v>
      </c>
    </row>
    <row r="22" spans="1:37" x14ac:dyDescent="0.25">
      <c r="A22" s="20" t="s">
        <v>21</v>
      </c>
      <c r="B22" s="20">
        <v>1</v>
      </c>
      <c r="C22" s="20">
        <v>0.99844694181596516</v>
      </c>
      <c r="D22" s="20">
        <v>0.99844694181596516</v>
      </c>
      <c r="E22" s="20">
        <v>0.99844694181596516</v>
      </c>
      <c r="F22" s="20">
        <v>0.99844694181596516</v>
      </c>
      <c r="G22" s="20">
        <v>0.99844694181596516</v>
      </c>
      <c r="K22" s="20" t="s">
        <v>21</v>
      </c>
      <c r="L22" s="20">
        <v>1</v>
      </c>
      <c r="M22" s="20">
        <v>0.99844694181596516</v>
      </c>
      <c r="N22" s="20">
        <v>0.99844694181596516</v>
      </c>
      <c r="O22" s="20">
        <v>0.99844694181596516</v>
      </c>
      <c r="P22" s="20">
        <v>0.99844694181596516</v>
      </c>
      <c r="Q22" s="20">
        <v>0.99844694181596516</v>
      </c>
      <c r="U22" s="20" t="s">
        <v>21</v>
      </c>
      <c r="V22" s="20">
        <v>1</v>
      </c>
      <c r="W22" s="20">
        <v>0.99844694181596516</v>
      </c>
      <c r="X22" s="20">
        <v>0.99844694181596516</v>
      </c>
      <c r="Y22" s="20">
        <v>0.99844694181596516</v>
      </c>
      <c r="Z22" s="20">
        <v>0.99844694181596516</v>
      </c>
      <c r="AA22" s="20">
        <v>0.99844694181596516</v>
      </c>
      <c r="AE22" s="20" t="s">
        <v>21</v>
      </c>
      <c r="AF22" s="20">
        <v>1</v>
      </c>
      <c r="AG22" s="20">
        <v>0.99844694181596516</v>
      </c>
      <c r="AH22" s="20">
        <v>0.99844694181596516</v>
      </c>
      <c r="AI22" s="20">
        <v>0.99844694181596516</v>
      </c>
      <c r="AJ22" s="20">
        <v>0.99844694181596516</v>
      </c>
      <c r="AK22" s="20">
        <v>0.99844694181596516</v>
      </c>
    </row>
    <row r="23" spans="1:37" x14ac:dyDescent="0.25">
      <c r="A23" s="20" t="s">
        <v>10</v>
      </c>
      <c r="B23" s="20">
        <v>0.95158196281263507</v>
      </c>
      <c r="C23" s="20">
        <v>0.14658048752778469</v>
      </c>
      <c r="D23" s="20">
        <v>1.852782821563994E-2</v>
      </c>
      <c r="E23" s="20">
        <v>1.978968097091853E-3</v>
      </c>
      <c r="F23" s="20">
        <v>1.906904087813284E-4</v>
      </c>
      <c r="G23" s="20">
        <v>1.7310670743054958E-5</v>
      </c>
      <c r="K23" s="20" t="s">
        <v>10</v>
      </c>
      <c r="L23" s="20">
        <v>0.95158196281263507</v>
      </c>
      <c r="M23" s="20">
        <v>0.14658048752778469</v>
      </c>
      <c r="N23" s="20">
        <v>1.852782821563994E-2</v>
      </c>
      <c r="O23" s="20">
        <v>1.978968097091853E-3</v>
      </c>
      <c r="P23" s="20">
        <v>1.906904087813284E-4</v>
      </c>
      <c r="Q23" s="20">
        <v>1.7310670743054958E-5</v>
      </c>
      <c r="U23" s="20" t="s">
        <v>10</v>
      </c>
      <c r="V23" s="20">
        <v>0.95158196281263507</v>
      </c>
      <c r="W23" s="20">
        <v>0.14658048752778469</v>
      </c>
      <c r="X23" s="20">
        <v>1.852782821563994E-2</v>
      </c>
      <c r="Y23" s="20">
        <v>1.978968097091853E-3</v>
      </c>
      <c r="Z23" s="20">
        <v>1.906904087813284E-4</v>
      </c>
      <c r="AA23" s="20">
        <v>1.7310670743054958E-5</v>
      </c>
      <c r="AE23" s="20" t="s">
        <v>10</v>
      </c>
      <c r="AF23" s="20">
        <v>0.95158196281263507</v>
      </c>
      <c r="AG23" s="20">
        <v>0.14658048752778469</v>
      </c>
      <c r="AH23" s="20">
        <v>1.852782821563994E-2</v>
      </c>
      <c r="AI23" s="20">
        <v>1.978968097091853E-3</v>
      </c>
      <c r="AJ23" s="20">
        <v>1.906904087813284E-4</v>
      </c>
      <c r="AK23" s="20">
        <v>1.7310670743054958E-5</v>
      </c>
    </row>
    <row r="24" spans="1:37" x14ac:dyDescent="0.25">
      <c r="A24" s="20" t="s">
        <v>12</v>
      </c>
      <c r="B24" s="20">
        <v>0.8649398558400595</v>
      </c>
      <c r="C24" s="20">
        <v>1.711699353226277</v>
      </c>
      <c r="D24" s="20">
        <v>2.5659246459032752</v>
      </c>
      <c r="E24" s="20">
        <v>3.250320850590608</v>
      </c>
      <c r="F24" s="20">
        <v>3.7143630348282479</v>
      </c>
      <c r="G24" s="20">
        <v>3.9988715383086548</v>
      </c>
      <c r="K24" s="20" t="s">
        <v>12</v>
      </c>
      <c r="L24" s="20">
        <v>0.8649398558400595</v>
      </c>
      <c r="M24" s="20">
        <v>1.711699353226277</v>
      </c>
      <c r="N24" s="20">
        <v>2.5659246459032752</v>
      </c>
      <c r="O24" s="20">
        <v>3.250320850590608</v>
      </c>
      <c r="P24" s="20">
        <v>3.7143630348282479</v>
      </c>
      <c r="Q24" s="20">
        <v>3.9988715383086548</v>
      </c>
      <c r="U24" s="20" t="s">
        <v>12</v>
      </c>
      <c r="V24" s="20">
        <v>0.8649398558400595</v>
      </c>
      <c r="W24" s="20">
        <v>1.711699353226277</v>
      </c>
      <c r="X24" s="20">
        <v>2.5659246459032752</v>
      </c>
      <c r="Y24" s="20">
        <v>3.250320850590608</v>
      </c>
      <c r="Z24" s="20">
        <v>3.7143630348282479</v>
      </c>
      <c r="AA24" s="20">
        <v>3.9988715383086548</v>
      </c>
      <c r="AE24" s="20" t="s">
        <v>12</v>
      </c>
      <c r="AF24" s="20">
        <v>0.8649398558400595</v>
      </c>
      <c r="AG24" s="20">
        <v>1.711699353226277</v>
      </c>
      <c r="AH24" s="20">
        <v>2.5659246459032752</v>
      </c>
      <c r="AI24" s="20">
        <v>3.250320850590608</v>
      </c>
      <c r="AJ24" s="20">
        <v>3.7143630348282479</v>
      </c>
      <c r="AK24" s="20">
        <v>3.9988715383086548</v>
      </c>
    </row>
    <row r="25" spans="1:37" x14ac:dyDescent="0.25">
      <c r="A25" s="20" t="s">
        <v>11</v>
      </c>
      <c r="B25" s="20">
        <v>44640.248784480689</v>
      </c>
      <c r="C25" s="20">
        <v>777141.32590211264</v>
      </c>
      <c r="D25" s="20">
        <v>11277324.35021558</v>
      </c>
      <c r="E25" s="20">
        <v>152508502.57341591</v>
      </c>
      <c r="F25" s="20">
        <v>1973312996.282618</v>
      </c>
      <c r="G25" s="20">
        <v>24877904132.751991</v>
      </c>
      <c r="K25" s="20" t="s">
        <v>11</v>
      </c>
      <c r="L25" s="20">
        <v>44640.248784480689</v>
      </c>
      <c r="M25" s="20">
        <v>777141.32590211264</v>
      </c>
      <c r="N25" s="20">
        <v>11277324.35021558</v>
      </c>
      <c r="O25" s="20">
        <v>152508502.57341591</v>
      </c>
      <c r="P25" s="20">
        <v>1973312996.282618</v>
      </c>
      <c r="Q25" s="20">
        <v>24877904132.751991</v>
      </c>
      <c r="U25" s="20" t="s">
        <v>11</v>
      </c>
      <c r="V25" s="20">
        <v>44640.248784480689</v>
      </c>
      <c r="W25" s="20">
        <v>777141.32590211264</v>
      </c>
      <c r="X25" s="20">
        <v>11277324.35021558</v>
      </c>
      <c r="Y25" s="20">
        <v>152508502.57341591</v>
      </c>
      <c r="Z25" s="20">
        <v>1973312996.282618</v>
      </c>
      <c r="AA25" s="20">
        <v>24877904132.751991</v>
      </c>
      <c r="AE25" s="20" t="s">
        <v>11</v>
      </c>
      <c r="AF25" s="20">
        <v>44640.248784480689</v>
      </c>
      <c r="AG25" s="20">
        <v>777141.32590211264</v>
      </c>
      <c r="AH25" s="20">
        <v>11277324.35021558</v>
      </c>
      <c r="AI25" s="20">
        <v>152508502.57341591</v>
      </c>
      <c r="AJ25" s="20">
        <v>1973312996.282618</v>
      </c>
      <c r="AK25" s="20">
        <v>24877904132.751991</v>
      </c>
    </row>
    <row r="26" spans="1:37" x14ac:dyDescent="0.25">
      <c r="A26" s="20" t="s">
        <v>13</v>
      </c>
      <c r="B26" s="20">
        <v>99214.651162148191</v>
      </c>
      <c r="C26" s="20">
        <v>249490.84006094071</v>
      </c>
      <c r="D26" s="20">
        <v>566512.67266970035</v>
      </c>
      <c r="E26" s="20">
        <v>1198799.549908394</v>
      </c>
      <c r="F26" s="20">
        <v>2427154.638642468</v>
      </c>
      <c r="G26" s="20">
        <v>4788111.0807527639</v>
      </c>
      <c r="K26" s="20" t="s">
        <v>13</v>
      </c>
      <c r="L26" s="20">
        <v>99214.651162148191</v>
      </c>
      <c r="M26" s="20">
        <v>249490.84006094071</v>
      </c>
      <c r="N26" s="20">
        <v>566512.67266970035</v>
      </c>
      <c r="O26" s="20">
        <v>1198799.549908394</v>
      </c>
      <c r="P26" s="20">
        <v>2427154.638642468</v>
      </c>
      <c r="Q26" s="20">
        <v>4788111.0807527639</v>
      </c>
      <c r="U26" s="20" t="s">
        <v>13</v>
      </c>
      <c r="V26" s="20">
        <v>99214.651162148191</v>
      </c>
      <c r="W26" s="20">
        <v>249490.84006094071</v>
      </c>
      <c r="X26" s="20">
        <v>566512.67266970035</v>
      </c>
      <c r="Y26" s="20">
        <v>1198799.549908394</v>
      </c>
      <c r="Z26" s="20">
        <v>2427154.638642468</v>
      </c>
      <c r="AA26" s="20">
        <v>4788111.0807527639</v>
      </c>
      <c r="AE26" s="20" t="s">
        <v>13</v>
      </c>
      <c r="AF26" s="20">
        <v>99214.651162148191</v>
      </c>
      <c r="AG26" s="20">
        <v>249490.84006094071</v>
      </c>
      <c r="AH26" s="20">
        <v>566512.67266970035</v>
      </c>
      <c r="AI26" s="20">
        <v>1198799.549908394</v>
      </c>
      <c r="AJ26" s="20">
        <v>2427154.638642468</v>
      </c>
      <c r="AK26" s="20">
        <v>4788111.0807527639</v>
      </c>
    </row>
    <row r="27" spans="1:37" x14ac:dyDescent="0.25">
      <c r="A27" s="20" t="s">
        <v>22</v>
      </c>
      <c r="B27" s="20">
        <v>18427.26254075639</v>
      </c>
      <c r="C27" s="20">
        <v>79742.572044224056</v>
      </c>
      <c r="D27" s="20">
        <v>150009.25288880811</v>
      </c>
      <c r="E27" s="20">
        <v>236117.14833106019</v>
      </c>
      <c r="F27" s="20">
        <v>332855.22294734378</v>
      </c>
      <c r="G27" s="20">
        <v>439999.32611759641</v>
      </c>
      <c r="K27" s="20" t="s">
        <v>22</v>
      </c>
      <c r="L27" s="20">
        <v>18427.26254075639</v>
      </c>
      <c r="M27" s="20">
        <v>79742.572044224056</v>
      </c>
      <c r="N27" s="20">
        <v>150009.25288880811</v>
      </c>
      <c r="O27" s="20">
        <v>236117.14833106019</v>
      </c>
      <c r="P27" s="20">
        <v>332855.22294734378</v>
      </c>
      <c r="Q27" s="20">
        <v>439999.32611759641</v>
      </c>
      <c r="U27" s="20" t="s">
        <v>22</v>
      </c>
      <c r="V27" s="20">
        <v>18427.26254075639</v>
      </c>
      <c r="W27" s="20">
        <v>79742.572044224056</v>
      </c>
      <c r="X27" s="20">
        <v>150009.25288880811</v>
      </c>
      <c r="Y27" s="20">
        <v>236117.14833106019</v>
      </c>
      <c r="Z27" s="20">
        <v>332855.22294734378</v>
      </c>
      <c r="AA27" s="20">
        <v>439999.32611759641</v>
      </c>
      <c r="AE27" s="20" t="s">
        <v>22</v>
      </c>
      <c r="AF27" s="20">
        <v>18427.26254075639</v>
      </c>
      <c r="AG27" s="20">
        <v>79742.572044224056</v>
      </c>
      <c r="AH27" s="20">
        <v>150009.25288880811</v>
      </c>
      <c r="AI27" s="20">
        <v>236117.14833106019</v>
      </c>
      <c r="AJ27" s="20">
        <v>332855.22294734378</v>
      </c>
      <c r="AK27" s="20">
        <v>439999.32611759641</v>
      </c>
    </row>
    <row r="32" spans="1:37" x14ac:dyDescent="0.25">
      <c r="A32" s="20" t="s">
        <v>15</v>
      </c>
      <c r="B32" s="20">
        <v>2000</v>
      </c>
      <c r="C32" s="20">
        <v>2020</v>
      </c>
      <c r="D32" s="20">
        <v>2040</v>
      </c>
      <c r="E32" s="20">
        <v>2060</v>
      </c>
      <c r="F32" s="20">
        <v>2080</v>
      </c>
      <c r="G32" s="20">
        <v>2100</v>
      </c>
      <c r="K32" s="20" t="s">
        <v>15</v>
      </c>
      <c r="L32" s="20">
        <v>2000</v>
      </c>
      <c r="M32" s="20">
        <v>2020</v>
      </c>
      <c r="N32" s="20">
        <v>2040</v>
      </c>
      <c r="O32" s="20">
        <v>2060</v>
      </c>
      <c r="P32" s="20">
        <v>2080</v>
      </c>
      <c r="Q32" s="20">
        <v>2100</v>
      </c>
      <c r="U32" s="20" t="s">
        <v>15</v>
      </c>
      <c r="V32" s="20">
        <v>2000</v>
      </c>
      <c r="W32" s="20">
        <v>2020</v>
      </c>
      <c r="X32" s="20">
        <v>2040</v>
      </c>
      <c r="Y32" s="20">
        <v>2060</v>
      </c>
      <c r="Z32" s="20">
        <v>2080</v>
      </c>
      <c r="AA32" s="20">
        <v>2100</v>
      </c>
      <c r="AE32" s="20" t="s">
        <v>15</v>
      </c>
      <c r="AF32" s="20">
        <v>2000</v>
      </c>
      <c r="AG32" s="20">
        <v>2020</v>
      </c>
      <c r="AH32" s="20">
        <v>2040</v>
      </c>
      <c r="AI32" s="20">
        <v>2060</v>
      </c>
      <c r="AJ32" s="20">
        <v>2080</v>
      </c>
      <c r="AK32" s="20">
        <v>2100</v>
      </c>
    </row>
    <row r="33" spans="1:37" x14ac:dyDescent="0.25">
      <c r="A33" s="20" t="s">
        <v>11</v>
      </c>
      <c r="B33" s="20">
        <v>44640.248784480689</v>
      </c>
      <c r="C33" s="20">
        <v>760139.79576695571</v>
      </c>
      <c r="D33" s="20">
        <v>10932966.547291171</v>
      </c>
      <c r="E33" s="20">
        <v>146481372.68331319</v>
      </c>
      <c r="F33" s="20">
        <v>1881625215.019026</v>
      </c>
      <c r="G33" s="20">
        <v>23940190463.74939</v>
      </c>
      <c r="K33" s="20" t="s">
        <v>11</v>
      </c>
      <c r="L33" s="20">
        <v>44640.248784480689</v>
      </c>
      <c r="M33" s="20">
        <v>760139.79576695571</v>
      </c>
      <c r="N33" s="20">
        <v>10761894.81082711</v>
      </c>
      <c r="O33" s="20">
        <v>141778610.99824861</v>
      </c>
      <c r="P33" s="20">
        <v>1814015597.986886</v>
      </c>
      <c r="Q33" s="20">
        <v>22661031956.57188</v>
      </c>
      <c r="U33" s="20" t="s">
        <v>11</v>
      </c>
      <c r="V33" s="20">
        <v>44640.248784480689</v>
      </c>
      <c r="W33" s="20">
        <v>753910.17984424951</v>
      </c>
      <c r="X33" s="20">
        <v>10761143.626834881</v>
      </c>
      <c r="Y33" s="20">
        <v>141440030.38360071</v>
      </c>
      <c r="Z33" s="20">
        <v>1758861370.6481569</v>
      </c>
      <c r="AA33" s="20">
        <v>21711518146.08065</v>
      </c>
      <c r="AE33" s="20" t="s">
        <v>11</v>
      </c>
      <c r="AF33" s="20">
        <v>44640.248784480689</v>
      </c>
      <c r="AG33" s="20">
        <v>766094.4662982967</v>
      </c>
      <c r="AH33" s="20">
        <v>10762656.865212839</v>
      </c>
      <c r="AI33" s="20">
        <v>137663789.06859079</v>
      </c>
      <c r="AJ33" s="20">
        <v>1663861084.8668809</v>
      </c>
      <c r="AK33" s="20">
        <v>19204123864.855099</v>
      </c>
    </row>
    <row r="34" spans="1:37" x14ac:dyDescent="0.25">
      <c r="A34" s="20" t="s">
        <v>13</v>
      </c>
      <c r="B34" s="20">
        <v>99214.651162148191</v>
      </c>
      <c r="C34" s="20">
        <v>248478.89979509689</v>
      </c>
      <c r="D34" s="20">
        <v>562655.95843881334</v>
      </c>
      <c r="E34" s="20">
        <v>1186914.185659525</v>
      </c>
      <c r="F34" s="20">
        <v>2394628.923416852</v>
      </c>
      <c r="G34" s="20">
        <v>4737799.713254014</v>
      </c>
      <c r="K34" s="20" t="s">
        <v>13</v>
      </c>
      <c r="L34" s="20">
        <v>99214.651162148191</v>
      </c>
      <c r="M34" s="20">
        <v>248478.89979509689</v>
      </c>
      <c r="N34" s="20">
        <v>559365.82530249457</v>
      </c>
      <c r="O34" s="20">
        <v>1169364.098237921</v>
      </c>
      <c r="P34" s="20">
        <v>2356277.771109683</v>
      </c>
      <c r="Q34" s="20">
        <v>4624333.6748130489</v>
      </c>
      <c r="U34" s="20" t="s">
        <v>13</v>
      </c>
      <c r="V34" s="20">
        <v>99214.651162148191</v>
      </c>
      <c r="W34" s="20">
        <v>247956.53233798829</v>
      </c>
      <c r="X34" s="20">
        <v>559326.78137378569</v>
      </c>
      <c r="Y34" s="20">
        <v>1169491.6245885631</v>
      </c>
      <c r="Z34" s="20">
        <v>2318332.3515206161</v>
      </c>
      <c r="AA34" s="20">
        <v>4515568.4321717303</v>
      </c>
      <c r="AE34" s="20" t="s">
        <v>13</v>
      </c>
      <c r="AF34" s="20">
        <v>99214.651162148191</v>
      </c>
      <c r="AG34" s="20">
        <v>248909.53720996459</v>
      </c>
      <c r="AH34" s="20">
        <v>559405.43423641287</v>
      </c>
      <c r="AI34" s="20">
        <v>1151989.4285611869</v>
      </c>
      <c r="AJ34" s="20">
        <v>2240308.5156450458</v>
      </c>
      <c r="AK34" s="20">
        <v>4146531.5237668529</v>
      </c>
    </row>
    <row r="35" spans="1:37" x14ac:dyDescent="0.25">
      <c r="A35" s="20" t="s">
        <v>51</v>
      </c>
      <c r="B35" s="20">
        <v>77917.024970400002</v>
      </c>
      <c r="C35" s="20">
        <v>319515.51994667959</v>
      </c>
      <c r="D35" s="20">
        <v>978255.80646860471</v>
      </c>
      <c r="E35" s="20">
        <v>2459515.4754348188</v>
      </c>
      <c r="F35" s="20">
        <v>5472972.8219055263</v>
      </c>
      <c r="G35" s="20">
        <v>11494119.252236649</v>
      </c>
      <c r="K35" s="20" t="s">
        <v>51</v>
      </c>
      <c r="L35" s="20">
        <v>77917.024970400002</v>
      </c>
      <c r="M35" s="20">
        <v>319515.51994667959</v>
      </c>
      <c r="N35" s="20">
        <v>964405.16513126821</v>
      </c>
      <c r="O35" s="20">
        <v>2381038.7794570611</v>
      </c>
      <c r="P35" s="20">
        <v>5289843.2661091937</v>
      </c>
      <c r="Q35" s="20">
        <v>10934307.383645469</v>
      </c>
      <c r="U35" s="20" t="s">
        <v>51</v>
      </c>
      <c r="V35" s="20">
        <v>77917.024970400002</v>
      </c>
      <c r="W35" s="20">
        <v>317352.00746506831</v>
      </c>
      <c r="X35" s="20">
        <v>964337.84931608906</v>
      </c>
      <c r="Y35" s="20">
        <v>2380906.78961983</v>
      </c>
      <c r="Z35" s="20">
        <v>5115178.3100091182</v>
      </c>
      <c r="AA35" s="20">
        <v>10417831.59774892</v>
      </c>
      <c r="AE35" s="20" t="s">
        <v>51</v>
      </c>
      <c r="AF35" s="20">
        <v>77917.024970400002</v>
      </c>
      <c r="AG35" s="20">
        <v>321445.46649980242</v>
      </c>
      <c r="AH35" s="20">
        <v>964473.45507450099</v>
      </c>
      <c r="AI35" s="20">
        <v>2305622.3069628929</v>
      </c>
      <c r="AJ35" s="20">
        <v>4766637.6851486294</v>
      </c>
      <c r="AK35" s="20">
        <v>8764796.979867341</v>
      </c>
    </row>
    <row r="36" spans="1:37" x14ac:dyDescent="0.25">
      <c r="A36" s="20" t="s">
        <v>0</v>
      </c>
      <c r="B36" s="20">
        <v>0.97033136301899992</v>
      </c>
      <c r="C36" s="20">
        <v>1.0742089903204051</v>
      </c>
      <c r="D36" s="20">
        <v>1.0753958359537259</v>
      </c>
      <c r="E36" s="20">
        <v>1.003321162439345</v>
      </c>
      <c r="F36" s="20">
        <v>0.89786244426317463</v>
      </c>
      <c r="G36" s="20">
        <v>0.78305831478572197</v>
      </c>
      <c r="K36" s="20" t="s">
        <v>0</v>
      </c>
      <c r="L36" s="20">
        <v>0.97033136301899992</v>
      </c>
      <c r="M36" s="20">
        <v>1.0742089903204051</v>
      </c>
      <c r="N36" s="20">
        <v>1.075366473049741</v>
      </c>
      <c r="O36" s="20">
        <v>1.0057246547813961</v>
      </c>
      <c r="P36" s="20">
        <v>0.89804259493054095</v>
      </c>
      <c r="Q36" s="20">
        <v>0.78327615000753092</v>
      </c>
      <c r="U36" s="20" t="s">
        <v>0</v>
      </c>
      <c r="V36" s="20">
        <v>0.97033136301899992</v>
      </c>
      <c r="W36" s="20">
        <v>1.073113040507867</v>
      </c>
      <c r="X36" s="20">
        <v>1.075291412096764</v>
      </c>
      <c r="Y36" s="20">
        <v>1.0033228900202309</v>
      </c>
      <c r="Z36" s="20">
        <v>0.89926375406155623</v>
      </c>
      <c r="AA36" s="20">
        <v>0.78549517339420716</v>
      </c>
      <c r="AE36" s="20" t="s">
        <v>0</v>
      </c>
      <c r="AF36" s="20">
        <v>0.97033136301899992</v>
      </c>
      <c r="AG36" s="20">
        <v>1.0753207996371921</v>
      </c>
      <c r="AH36" s="20">
        <v>1.0754426202107621</v>
      </c>
      <c r="AI36" s="20">
        <v>1.007191999226976</v>
      </c>
      <c r="AJ36" s="20">
        <v>0.90562050228192326</v>
      </c>
      <c r="AK36" s="20">
        <v>0.80321813759241678</v>
      </c>
    </row>
    <row r="37" spans="1:37" x14ac:dyDescent="0.25">
      <c r="A37" s="20" t="s">
        <v>1</v>
      </c>
      <c r="B37" s="20">
        <v>1.4521797769697999</v>
      </c>
      <c r="C37" s="20">
        <v>2.995264939542452</v>
      </c>
      <c r="D37" s="20">
        <v>5.5717656274006409</v>
      </c>
      <c r="E37" s="20">
        <v>9.6590579466367057</v>
      </c>
      <c r="F37" s="20">
        <v>16.020714401796159</v>
      </c>
      <c r="G37" s="20">
        <v>25.896268962917631</v>
      </c>
      <c r="K37" s="20" t="s">
        <v>1</v>
      </c>
      <c r="L37" s="20">
        <v>1.4521797769697999</v>
      </c>
      <c r="M37" s="20">
        <v>2.995264939542452</v>
      </c>
      <c r="N37" s="20">
        <v>5.5717873799623332</v>
      </c>
      <c r="O37" s="20">
        <v>9.6572654871013501</v>
      </c>
      <c r="P37" s="20">
        <v>16.021537165969988</v>
      </c>
      <c r="Q37" s="20">
        <v>25.897677077285429</v>
      </c>
      <c r="U37" s="20" t="s">
        <v>1</v>
      </c>
      <c r="V37" s="20">
        <v>1.4521797769697999</v>
      </c>
      <c r="W37" s="20">
        <v>2.9960768386625571</v>
      </c>
      <c r="X37" s="20">
        <v>5.5713984672697734</v>
      </c>
      <c r="Y37" s="20">
        <v>9.6583186713290914</v>
      </c>
      <c r="Z37" s="20">
        <v>16.018522076697781</v>
      </c>
      <c r="AA37" s="20">
        <v>25.89322581187745</v>
      </c>
      <c r="AE37" s="20" t="s">
        <v>1</v>
      </c>
      <c r="AF37" s="20">
        <v>1.4521797769697999</v>
      </c>
      <c r="AG37" s="20">
        <v>2.9944412914194309</v>
      </c>
      <c r="AH37" s="20">
        <v>5.572181920615618</v>
      </c>
      <c r="AI37" s="20">
        <v>9.6569150452662615</v>
      </c>
      <c r="AJ37" s="20">
        <v>16.0176711907271</v>
      </c>
      <c r="AK37" s="20">
        <v>25.888712608488589</v>
      </c>
    </row>
    <row r="38" spans="1:37" x14ac:dyDescent="0.25">
      <c r="A38" s="20" t="s">
        <v>2</v>
      </c>
      <c r="B38" s="20">
        <v>2.4225111399888002</v>
      </c>
      <c r="C38" s="20">
        <v>4.0694739298628573</v>
      </c>
      <c r="D38" s="20">
        <v>6.647161463354367</v>
      </c>
      <c r="E38" s="20">
        <v>10.662379109076049</v>
      </c>
      <c r="F38" s="20">
        <v>16.918576846059331</v>
      </c>
      <c r="G38" s="20">
        <v>26.679327277703351</v>
      </c>
      <c r="K38" s="20" t="s">
        <v>2</v>
      </c>
      <c r="L38" s="20">
        <v>2.4225111399888002</v>
      </c>
      <c r="M38" s="20">
        <v>4.0694739298628573</v>
      </c>
      <c r="N38" s="20">
        <v>6.6471538530120737</v>
      </c>
      <c r="O38" s="20">
        <v>10.66299014188275</v>
      </c>
      <c r="P38" s="20">
        <v>16.919579760900529</v>
      </c>
      <c r="Q38" s="20">
        <v>26.68095322729296</v>
      </c>
      <c r="U38" s="20" t="s">
        <v>2</v>
      </c>
      <c r="V38" s="20">
        <v>2.4225111399888002</v>
      </c>
      <c r="W38" s="20">
        <v>4.0691898791704251</v>
      </c>
      <c r="X38" s="20">
        <v>6.6466898793665372</v>
      </c>
      <c r="Y38" s="20">
        <v>10.66164156134932</v>
      </c>
      <c r="Z38" s="20">
        <v>16.917785830759339</v>
      </c>
      <c r="AA38" s="20">
        <v>26.67872098527166</v>
      </c>
      <c r="AE38" s="20" t="s">
        <v>2</v>
      </c>
      <c r="AF38" s="20">
        <v>2.4225111399888002</v>
      </c>
      <c r="AG38" s="20">
        <v>4.0697620910566226</v>
      </c>
      <c r="AH38" s="20">
        <v>6.6476245408263797</v>
      </c>
      <c r="AI38" s="20">
        <v>10.664107044493241</v>
      </c>
      <c r="AJ38" s="20">
        <v>16.92329169300902</v>
      </c>
      <c r="AK38" s="20">
        <v>26.691930746080999</v>
      </c>
    </row>
    <row r="39" spans="1:37" x14ac:dyDescent="0.25">
      <c r="A39" s="20" t="s">
        <v>3</v>
      </c>
      <c r="B39" s="20">
        <v>1.496581304402675</v>
      </c>
      <c r="C39" s="20">
        <v>2.7883446950570132</v>
      </c>
      <c r="D39" s="20">
        <v>5.1811299998751288</v>
      </c>
      <c r="E39" s="20">
        <v>9.6270848340853554</v>
      </c>
      <c r="F39" s="20">
        <v>17.843172419293531</v>
      </c>
      <c r="G39" s="20">
        <v>33.070677462896171</v>
      </c>
      <c r="K39" s="20" t="s">
        <v>3</v>
      </c>
      <c r="L39" s="20">
        <v>1.496581304402675</v>
      </c>
      <c r="M39" s="20">
        <v>2.7883446950570132</v>
      </c>
      <c r="N39" s="20">
        <v>5.1812916987831477</v>
      </c>
      <c r="O39" s="20">
        <v>9.6022956593427171</v>
      </c>
      <c r="P39" s="20">
        <v>17.840509187884539</v>
      </c>
      <c r="Q39" s="20">
        <v>33.063277972955561</v>
      </c>
      <c r="U39" s="20" t="s">
        <v>3</v>
      </c>
      <c r="V39" s="20">
        <v>1.496581304402675</v>
      </c>
      <c r="W39" s="20">
        <v>2.7919489611687291</v>
      </c>
      <c r="X39" s="20">
        <v>5.1812916987831477</v>
      </c>
      <c r="Y39" s="20">
        <v>9.6263314306866228</v>
      </c>
      <c r="Z39" s="20">
        <v>17.812929748752321</v>
      </c>
      <c r="AA39" s="20">
        <v>32.964207405616641</v>
      </c>
      <c r="AE39" s="20" t="s">
        <v>3</v>
      </c>
      <c r="AF39" s="20">
        <v>1.496581304402675</v>
      </c>
      <c r="AG39" s="20">
        <v>2.7846957786269382</v>
      </c>
      <c r="AH39" s="20">
        <v>5.1812916987831477</v>
      </c>
      <c r="AI39" s="20">
        <v>9.5879584554662696</v>
      </c>
      <c r="AJ39" s="20">
        <v>17.686957340703771</v>
      </c>
      <c r="AK39" s="20">
        <v>32.231235074058418</v>
      </c>
    </row>
    <row r="40" spans="1:37" x14ac:dyDescent="0.25">
      <c r="A40" s="20" t="s">
        <v>18</v>
      </c>
      <c r="B40" s="20">
        <v>45393.773600747983</v>
      </c>
      <c r="C40" s="20">
        <v>109970.4914349871</v>
      </c>
      <c r="D40" s="20">
        <v>201880.6555296492</v>
      </c>
      <c r="E40" s="20">
        <v>313124.21026164462</v>
      </c>
      <c r="F40" s="20">
        <v>437912.28820736828</v>
      </c>
      <c r="G40" s="20">
        <v>574930.28595032159</v>
      </c>
      <c r="K40" s="20" t="s">
        <v>18</v>
      </c>
      <c r="L40" s="20">
        <v>45393.773600747983</v>
      </c>
      <c r="M40" s="20">
        <v>109970.4914349871</v>
      </c>
      <c r="N40" s="20">
        <v>202180.47743507181</v>
      </c>
      <c r="O40" s="20">
        <v>313938.70483061328</v>
      </c>
      <c r="P40" s="20">
        <v>439097.53031888121</v>
      </c>
      <c r="Q40" s="20">
        <v>577928.00321657246</v>
      </c>
      <c r="U40" s="20" t="s">
        <v>18</v>
      </c>
      <c r="V40" s="20">
        <v>45393.773600747983</v>
      </c>
      <c r="W40" s="20">
        <v>110016.0402496614</v>
      </c>
      <c r="X40" s="20">
        <v>202180.47743507181</v>
      </c>
      <c r="Y40" s="20">
        <v>313943.21538569732</v>
      </c>
      <c r="Z40" s="20">
        <v>438564.48204289417</v>
      </c>
      <c r="AA40" s="20">
        <v>576399.9723992123</v>
      </c>
      <c r="AE40" s="20" t="s">
        <v>18</v>
      </c>
      <c r="AF40" s="20">
        <v>45393.773600747983</v>
      </c>
      <c r="AG40" s="20">
        <v>109888.4179177875</v>
      </c>
      <c r="AH40" s="20">
        <v>202180.47743507181</v>
      </c>
      <c r="AI40" s="20">
        <v>313516.19245169312</v>
      </c>
      <c r="AJ40" s="20">
        <v>434968.80016570131</v>
      </c>
      <c r="AK40" s="20">
        <v>560444.79680418654</v>
      </c>
    </row>
    <row r="41" spans="1:37" x14ac:dyDescent="0.25">
      <c r="A41" s="20" t="s">
        <v>19</v>
      </c>
      <c r="B41" s="20">
        <v>59185.639391343168</v>
      </c>
      <c r="C41" s="20">
        <v>141378.67531042109</v>
      </c>
      <c r="D41" s="20">
        <v>258287.6031266647</v>
      </c>
      <c r="E41" s="20">
        <v>398653.64465952798</v>
      </c>
      <c r="F41" s="20">
        <v>554762.7063530935</v>
      </c>
      <c r="G41" s="20">
        <v>731971.67899513105</v>
      </c>
      <c r="K41" s="20" t="s">
        <v>19</v>
      </c>
      <c r="L41" s="20">
        <v>59185.639391343168</v>
      </c>
      <c r="M41" s="20">
        <v>141378.67531042109</v>
      </c>
      <c r="N41" s="20">
        <v>256129.34794039809</v>
      </c>
      <c r="O41" s="20">
        <v>391653.58754311159</v>
      </c>
      <c r="P41" s="20">
        <v>544923.98548727902</v>
      </c>
      <c r="Q41" s="20">
        <v>713403.54318174708</v>
      </c>
      <c r="U41" s="20" t="s">
        <v>19</v>
      </c>
      <c r="V41" s="20">
        <v>59185.639391343168</v>
      </c>
      <c r="W41" s="20">
        <v>140755.33521040331</v>
      </c>
      <c r="X41" s="20">
        <v>256129.34794039809</v>
      </c>
      <c r="Y41" s="20">
        <v>391659.21467685862</v>
      </c>
      <c r="Z41" s="20">
        <v>535522.69466095429</v>
      </c>
      <c r="AA41" s="20">
        <v>696032.38745976472</v>
      </c>
      <c r="AE41" s="20" t="s">
        <v>19</v>
      </c>
      <c r="AF41" s="20">
        <v>59185.639391343168</v>
      </c>
      <c r="AG41" s="20">
        <v>141947.51465739001</v>
      </c>
      <c r="AH41" s="20">
        <v>256129.34794039809</v>
      </c>
      <c r="AI41" s="20">
        <v>384927.16090461361</v>
      </c>
      <c r="AJ41" s="20">
        <v>516266.11739217152</v>
      </c>
      <c r="AK41" s="20">
        <v>637388.77615645214</v>
      </c>
    </row>
    <row r="42" spans="1:37" x14ac:dyDescent="0.25">
      <c r="A42" s="20" t="s">
        <v>7</v>
      </c>
      <c r="B42" s="20">
        <v>17.39819</v>
      </c>
      <c r="C42" s="20">
        <v>18.142510000000001</v>
      </c>
      <c r="D42" s="20">
        <v>18.467829999999999</v>
      </c>
      <c r="E42" s="20">
        <v>18.746179999999999</v>
      </c>
      <c r="F42" s="20">
        <v>18.77139</v>
      </c>
      <c r="G42" s="20">
        <v>18.62368</v>
      </c>
      <c r="K42" s="20" t="s">
        <v>7</v>
      </c>
      <c r="L42" s="20">
        <v>17.39819</v>
      </c>
      <c r="M42" s="20">
        <v>18.115749999999998</v>
      </c>
      <c r="N42" s="20">
        <v>18.783930000000002</v>
      </c>
      <c r="O42" s="20">
        <v>19.455220000000001</v>
      </c>
      <c r="P42" s="20">
        <v>19.808800000000002</v>
      </c>
      <c r="Q42" s="20">
        <v>19.994959999999999</v>
      </c>
      <c r="U42" s="20" t="s">
        <v>7</v>
      </c>
      <c r="V42" s="20">
        <v>17.39819</v>
      </c>
      <c r="W42" s="20">
        <v>18.31606</v>
      </c>
      <c r="X42" s="20">
        <v>18.960840000000001</v>
      </c>
      <c r="Y42" s="20">
        <v>19.620480000000001</v>
      </c>
      <c r="Z42" s="20">
        <v>20.564869999999999</v>
      </c>
      <c r="AA42" s="20">
        <v>20.97579</v>
      </c>
      <c r="AE42" s="20" t="s">
        <v>7</v>
      </c>
      <c r="AF42" s="20">
        <v>17.39819</v>
      </c>
      <c r="AG42" s="20">
        <v>17.954029999999999</v>
      </c>
      <c r="AH42" s="20">
        <v>18.92239</v>
      </c>
      <c r="AI42" s="20">
        <v>20.179099999999998</v>
      </c>
      <c r="AJ42" s="20">
        <v>21.695489999999999</v>
      </c>
      <c r="AK42" s="20">
        <v>23.121759999999998</v>
      </c>
    </row>
    <row r="43" spans="1:37" x14ac:dyDescent="0.25">
      <c r="A43" s="20" t="s">
        <v>52</v>
      </c>
      <c r="B43" s="20">
        <v>27.706927562000001</v>
      </c>
      <c r="C43" s="20">
        <v>28.361780297999999</v>
      </c>
      <c r="D43" s="20">
        <v>28.647996834000001</v>
      </c>
      <c r="E43" s="20">
        <v>28.892889164</v>
      </c>
      <c r="F43" s="20">
        <v>28.915068922</v>
      </c>
      <c r="G43" s="20">
        <v>28.785113664000001</v>
      </c>
      <c r="K43" s="20" t="s">
        <v>52</v>
      </c>
      <c r="L43" s="20">
        <v>27.706927562000001</v>
      </c>
      <c r="M43" s="20">
        <v>28.338236850000001</v>
      </c>
      <c r="N43" s="20">
        <v>28.926101614</v>
      </c>
      <c r="O43" s="20">
        <v>29.516702555999998</v>
      </c>
      <c r="P43" s="20">
        <v>29.827782240000001</v>
      </c>
      <c r="Q43" s="20">
        <v>29.991565808000001</v>
      </c>
      <c r="U43" s="20" t="s">
        <v>52</v>
      </c>
      <c r="V43" s="20">
        <v>27.706927562000001</v>
      </c>
      <c r="W43" s="20">
        <v>28.514469588000001</v>
      </c>
      <c r="X43" s="20">
        <v>29.081747031999999</v>
      </c>
      <c r="Y43" s="20">
        <v>29.662098304000001</v>
      </c>
      <c r="Z43" s="20">
        <v>30.492972626</v>
      </c>
      <c r="AA43" s="20">
        <v>30.854500042000002</v>
      </c>
      <c r="AE43" s="20" t="s">
        <v>52</v>
      </c>
      <c r="AF43" s="20">
        <v>27.706927562000001</v>
      </c>
      <c r="AG43" s="20">
        <v>28.195955594000001</v>
      </c>
      <c r="AH43" s="20">
        <v>29.047918721999999</v>
      </c>
      <c r="AI43" s="20">
        <v>30.153572180000001</v>
      </c>
      <c r="AJ43" s="20">
        <v>31.487692102</v>
      </c>
      <c r="AK43" s="20">
        <v>32.742524447999998</v>
      </c>
    </row>
    <row r="44" spans="1:37" x14ac:dyDescent="0.25">
      <c r="A44" s="20" t="s">
        <v>4</v>
      </c>
      <c r="B44" s="20">
        <v>0.92311634638663587</v>
      </c>
      <c r="C44" s="20">
        <v>0.95122942450071424</v>
      </c>
      <c r="D44" s="20">
        <v>0.96078943915232329</v>
      </c>
      <c r="E44" s="20">
        <v>0.97044553354850793</v>
      </c>
      <c r="F44" s="20">
        <v>0.97044553354850793</v>
      </c>
      <c r="G44" s="20">
        <v>0.96078943915232329</v>
      </c>
      <c r="K44" s="20" t="s">
        <v>4</v>
      </c>
      <c r="L44" s="20">
        <v>0.92311634638663587</v>
      </c>
      <c r="M44" s="20">
        <v>0.95122942450071424</v>
      </c>
      <c r="N44" s="20">
        <v>0.97044553354850793</v>
      </c>
      <c r="O44" s="20">
        <v>0.98019867330675492</v>
      </c>
      <c r="P44" s="20">
        <v>0.99004983374916744</v>
      </c>
      <c r="Q44" s="20">
        <v>0.99004983374916744</v>
      </c>
      <c r="U44" s="20" t="s">
        <v>4</v>
      </c>
      <c r="V44" s="20">
        <v>0.92311634638663587</v>
      </c>
      <c r="W44" s="20">
        <v>0.96078943915232329</v>
      </c>
      <c r="X44" s="20">
        <v>0.97044553354850793</v>
      </c>
      <c r="Y44" s="20">
        <v>0.99004983374916744</v>
      </c>
      <c r="Z44" s="20">
        <v>1</v>
      </c>
      <c r="AA44" s="20">
        <v>1</v>
      </c>
      <c r="AE44" s="20" t="s">
        <v>4</v>
      </c>
      <c r="AF44" s="20">
        <v>0.92311634638663587</v>
      </c>
      <c r="AG44" s="20">
        <v>0.94176453358424828</v>
      </c>
      <c r="AH44" s="20">
        <v>0.97044553354850793</v>
      </c>
      <c r="AI44" s="20">
        <v>0.99004983374916744</v>
      </c>
      <c r="AJ44" s="20">
        <v>1</v>
      </c>
      <c r="AK44" s="20">
        <v>0.97044553354850793</v>
      </c>
    </row>
    <row r="45" spans="1:37" x14ac:dyDescent="0.25">
      <c r="A45" s="20" t="s">
        <v>5</v>
      </c>
      <c r="B45" s="20">
        <v>1</v>
      </c>
      <c r="C45" s="20">
        <v>1</v>
      </c>
      <c r="D45" s="20">
        <v>1</v>
      </c>
      <c r="E45" s="20">
        <v>1</v>
      </c>
      <c r="F45" s="20">
        <v>1</v>
      </c>
      <c r="G45" s="20">
        <v>1</v>
      </c>
      <c r="K45" s="20" t="s">
        <v>5</v>
      </c>
      <c r="L45" s="20">
        <v>1</v>
      </c>
      <c r="M45" s="20">
        <v>1</v>
      </c>
      <c r="N45" s="20">
        <v>1</v>
      </c>
      <c r="O45" s="20">
        <v>1</v>
      </c>
      <c r="P45" s="20">
        <v>1</v>
      </c>
      <c r="Q45" s="20">
        <v>1</v>
      </c>
      <c r="U45" s="20" t="s">
        <v>5</v>
      </c>
      <c r="V45" s="20">
        <v>1</v>
      </c>
      <c r="W45" s="20">
        <v>1</v>
      </c>
      <c r="X45" s="20">
        <v>1</v>
      </c>
      <c r="Y45" s="20">
        <v>1</v>
      </c>
      <c r="Z45" s="20">
        <v>1</v>
      </c>
      <c r="AA45" s="20">
        <v>1</v>
      </c>
      <c r="AE45" s="20" t="s">
        <v>5</v>
      </c>
      <c r="AF45" s="20">
        <v>1</v>
      </c>
      <c r="AG45" s="20">
        <v>1</v>
      </c>
      <c r="AH45" s="20">
        <v>1</v>
      </c>
      <c r="AI45" s="20">
        <v>1</v>
      </c>
      <c r="AJ45" s="20">
        <v>1</v>
      </c>
      <c r="AK45" s="20">
        <v>1</v>
      </c>
    </row>
    <row r="46" spans="1:37" x14ac:dyDescent="0.25">
      <c r="A46" s="20" t="s">
        <v>20</v>
      </c>
      <c r="B46" s="20">
        <v>1</v>
      </c>
      <c r="C46" s="20">
        <v>0.94627095271536965</v>
      </c>
      <c r="D46" s="20">
        <v>0.93947441413050536</v>
      </c>
      <c r="E46" s="20">
        <v>0.93231395090361513</v>
      </c>
      <c r="F46" s="20">
        <v>0.92479939883583451</v>
      </c>
      <c r="G46" s="20">
        <v>0.93231395090361513</v>
      </c>
      <c r="K46" s="20" t="s">
        <v>20</v>
      </c>
      <c r="L46" s="20">
        <v>1</v>
      </c>
      <c r="M46" s="20">
        <v>0.94627095271536965</v>
      </c>
      <c r="N46" s="20">
        <v>0.92479939883583451</v>
      </c>
      <c r="O46" s="20">
        <v>0.90022563327805616</v>
      </c>
      <c r="P46" s="20">
        <v>0.89139111669784621</v>
      </c>
      <c r="Q46" s="20">
        <v>0.88225365744265238</v>
      </c>
      <c r="U46" s="20" t="s">
        <v>20</v>
      </c>
      <c r="V46" s="20">
        <v>1</v>
      </c>
      <c r="W46" s="20">
        <v>0.93947441413050536</v>
      </c>
      <c r="X46" s="20">
        <v>0.92479939883583451</v>
      </c>
      <c r="Y46" s="20">
        <v>0.90022563327805616</v>
      </c>
      <c r="Z46" s="20">
        <v>0.86311515559253815</v>
      </c>
      <c r="AA46" s="20">
        <v>0.84289864993793617</v>
      </c>
      <c r="AE46" s="20" t="s">
        <v>20</v>
      </c>
      <c r="AF46" s="20">
        <v>1</v>
      </c>
      <c r="AG46" s="20">
        <v>0.95269766517752652</v>
      </c>
      <c r="AH46" s="20">
        <v>0.92479939883583451</v>
      </c>
      <c r="AI46" s="20">
        <v>0.87282505847383773</v>
      </c>
      <c r="AJ46" s="20">
        <v>0.81076508762715238</v>
      </c>
      <c r="AK46" s="20">
        <v>0.72910433227696836</v>
      </c>
    </row>
    <row r="47" spans="1:37" x14ac:dyDescent="0.25">
      <c r="A47" s="20" t="s">
        <v>21</v>
      </c>
      <c r="B47" s="20">
        <v>1</v>
      </c>
      <c r="C47" s="20">
        <v>0.99356517912022047</v>
      </c>
      <c r="D47" s="20">
        <v>0.99120776832621305</v>
      </c>
      <c r="E47" s="20">
        <v>0.98848865179879042</v>
      </c>
      <c r="F47" s="20">
        <v>0.98540782953795247</v>
      </c>
      <c r="G47" s="20">
        <v>0.98848865179879042</v>
      </c>
      <c r="K47" s="20" t="s">
        <v>21</v>
      </c>
      <c r="L47" s="20">
        <v>1</v>
      </c>
      <c r="M47" s="20">
        <v>0.99356517912022047</v>
      </c>
      <c r="N47" s="20">
        <v>0.98540782953795247</v>
      </c>
      <c r="O47" s="20">
        <v>0.97405330480158026</v>
      </c>
      <c r="P47" s="20">
        <v>0.96957624782154495</v>
      </c>
      <c r="Q47" s="20">
        <v>0.96476277921532627</v>
      </c>
      <c r="U47" s="20" t="s">
        <v>21</v>
      </c>
      <c r="V47" s="20">
        <v>1</v>
      </c>
      <c r="W47" s="20">
        <v>0.99120776832621305</v>
      </c>
      <c r="X47" s="20">
        <v>0.98540782953795247</v>
      </c>
      <c r="Y47" s="20">
        <v>0.97405330480158026</v>
      </c>
      <c r="Z47" s="20">
        <v>0.95414178358867729</v>
      </c>
      <c r="AA47" s="20">
        <v>0.94223331790392795</v>
      </c>
      <c r="AE47" s="20" t="s">
        <v>21</v>
      </c>
      <c r="AF47" s="20">
        <v>1</v>
      </c>
      <c r="AG47" s="20">
        <v>0.99556088418081246</v>
      </c>
      <c r="AH47" s="20">
        <v>0.98540782953795247</v>
      </c>
      <c r="AI47" s="20">
        <v>0.95961542839364711</v>
      </c>
      <c r="AJ47" s="20">
        <v>0.92207897326159938</v>
      </c>
      <c r="AK47" s="20">
        <v>0.86537970249071072</v>
      </c>
    </row>
    <row r="48" spans="1:37" x14ac:dyDescent="0.25">
      <c r="A48" s="20" t="s">
        <v>10</v>
      </c>
      <c r="B48" s="20">
        <v>0.95158196281263507</v>
      </c>
      <c r="C48" s="20">
        <v>0.14705743534954799</v>
      </c>
      <c r="D48" s="20">
        <v>1.8655633209266179E-2</v>
      </c>
      <c r="E48" s="20">
        <v>1.9995690333124592E-3</v>
      </c>
      <c r="F48" s="20">
        <v>1.932463736042894E-4</v>
      </c>
      <c r="G48" s="20">
        <v>1.7532501064614178E-5</v>
      </c>
      <c r="K48" s="20" t="s">
        <v>10</v>
      </c>
      <c r="L48" s="20">
        <v>0.95158196281263507</v>
      </c>
      <c r="M48" s="20">
        <v>0.14705743534954799</v>
      </c>
      <c r="N48" s="20">
        <v>1.8683339516643641E-2</v>
      </c>
      <c r="O48" s="20">
        <v>2.0047702859289532E-3</v>
      </c>
      <c r="P48" s="20">
        <v>1.9376940925791439E-4</v>
      </c>
      <c r="Q48" s="20">
        <v>1.7623916463048229E-5</v>
      </c>
      <c r="U48" s="20" t="s">
        <v>10</v>
      </c>
      <c r="V48" s="20">
        <v>0.95158196281263507</v>
      </c>
      <c r="W48" s="20">
        <v>0.14711834525166639</v>
      </c>
      <c r="X48" s="20">
        <v>1.8683339516643641E-2</v>
      </c>
      <c r="Y48" s="20">
        <v>2.0047990897262111E-3</v>
      </c>
      <c r="Z48" s="20">
        <v>1.9353418031124061E-4</v>
      </c>
      <c r="AA48" s="20">
        <v>1.757731915797176E-5</v>
      </c>
      <c r="AE48" s="20" t="s">
        <v>10</v>
      </c>
      <c r="AF48" s="20">
        <v>0.95158196281263507</v>
      </c>
      <c r="AG48" s="20">
        <v>0.14694768298969221</v>
      </c>
      <c r="AH48" s="20">
        <v>1.8683339516643641E-2</v>
      </c>
      <c r="AI48" s="20">
        <v>2.0020721787836321E-3</v>
      </c>
      <c r="AJ48" s="20">
        <v>1.9194744136347871E-4</v>
      </c>
      <c r="AK48" s="20">
        <v>1.7090766022849448E-5</v>
      </c>
    </row>
    <row r="49" spans="1:37" x14ac:dyDescent="0.25">
      <c r="A49" s="20" t="s">
        <v>12</v>
      </c>
      <c r="B49" s="20">
        <v>0.8649398558400595</v>
      </c>
      <c r="C49" s="20">
        <v>1.6932691590800579</v>
      </c>
      <c r="D49" s="20">
        <v>2.5352347361198748</v>
      </c>
      <c r="E49" s="20">
        <v>3.2068812457308029</v>
      </c>
      <c r="F49" s="20">
        <v>3.6573533522935531</v>
      </c>
      <c r="G49" s="20">
        <v>3.9548176663493111</v>
      </c>
      <c r="K49" s="20" t="s">
        <v>12</v>
      </c>
      <c r="L49" s="20">
        <v>0.8649398558400595</v>
      </c>
      <c r="M49" s="20">
        <v>1.6932691590800579</v>
      </c>
      <c r="N49" s="20">
        <v>2.5140502756525609</v>
      </c>
      <c r="O49" s="20">
        <v>3.1505708314491221</v>
      </c>
      <c r="P49" s="20">
        <v>3.5924901624489851</v>
      </c>
      <c r="Q49" s="20">
        <v>3.8544946707291028</v>
      </c>
      <c r="U49" s="20" t="s">
        <v>12</v>
      </c>
      <c r="V49" s="20">
        <v>0.8649398558400595</v>
      </c>
      <c r="W49" s="20">
        <v>1.6858035171460071</v>
      </c>
      <c r="X49" s="20">
        <v>2.5140502756525618</v>
      </c>
      <c r="Y49" s="20">
        <v>3.1506160976844169</v>
      </c>
      <c r="Z49" s="20">
        <v>3.5305107933858082</v>
      </c>
      <c r="AA49" s="20">
        <v>3.760638917145148</v>
      </c>
      <c r="AE49" s="20" t="s">
        <v>12</v>
      </c>
      <c r="AF49" s="20">
        <v>0.8649398558400595</v>
      </c>
      <c r="AG49" s="20">
        <v>1.700082054451858</v>
      </c>
      <c r="AH49" s="20">
        <v>2.5140502756525609</v>
      </c>
      <c r="AI49" s="20">
        <v>3.096461577145913</v>
      </c>
      <c r="AJ49" s="20">
        <v>3.4035590235188971</v>
      </c>
      <c r="AK49" s="20">
        <v>3.4437895134643188</v>
      </c>
    </row>
    <row r="50" spans="1:37" x14ac:dyDescent="0.25">
      <c r="A50" s="20" t="s">
        <v>11</v>
      </c>
      <c r="B50" s="20">
        <v>44640.248784480689</v>
      </c>
      <c r="C50" s="20">
        <v>760139.79576695571</v>
      </c>
      <c r="D50" s="20">
        <v>10932966.547291171</v>
      </c>
      <c r="E50" s="20">
        <v>146481372.68331319</v>
      </c>
      <c r="F50" s="20">
        <v>1881625215.019026</v>
      </c>
      <c r="G50" s="20">
        <v>23940190463.74939</v>
      </c>
      <c r="K50" s="20" t="s">
        <v>11</v>
      </c>
      <c r="L50" s="20">
        <v>44640.248784480689</v>
      </c>
      <c r="M50" s="20">
        <v>760139.79576695571</v>
      </c>
      <c r="N50" s="20">
        <v>10761894.81082711</v>
      </c>
      <c r="O50" s="20">
        <v>141778610.99824861</v>
      </c>
      <c r="P50" s="20">
        <v>1814015597.986886</v>
      </c>
      <c r="Q50" s="20">
        <v>22661031956.57188</v>
      </c>
      <c r="U50" s="20" t="s">
        <v>11</v>
      </c>
      <c r="V50" s="20">
        <v>44640.248784480689</v>
      </c>
      <c r="W50" s="20">
        <v>753910.17984424951</v>
      </c>
      <c r="X50" s="20">
        <v>10761143.626834881</v>
      </c>
      <c r="Y50" s="20">
        <v>141440030.38360071</v>
      </c>
      <c r="Z50" s="20">
        <v>1758861370.6481569</v>
      </c>
      <c r="AA50" s="20">
        <v>21711518146.08065</v>
      </c>
      <c r="AE50" s="20" t="s">
        <v>11</v>
      </c>
      <c r="AF50" s="20">
        <v>44640.248784480689</v>
      </c>
      <c r="AG50" s="20">
        <v>766094.4662982967</v>
      </c>
      <c r="AH50" s="20">
        <v>10762656.865212839</v>
      </c>
      <c r="AI50" s="20">
        <v>137663789.06859079</v>
      </c>
      <c r="AJ50" s="20">
        <v>1663861084.8668809</v>
      </c>
      <c r="AK50" s="20">
        <v>19204123864.855099</v>
      </c>
    </row>
    <row r="51" spans="1:37" x14ac:dyDescent="0.25">
      <c r="A51" s="20" t="s">
        <v>13</v>
      </c>
      <c r="B51" s="20">
        <v>99214.651162148191</v>
      </c>
      <c r="C51" s="20">
        <v>248478.89979509689</v>
      </c>
      <c r="D51" s="20">
        <v>562655.95843881334</v>
      </c>
      <c r="E51" s="20">
        <v>1186914.185659525</v>
      </c>
      <c r="F51" s="20">
        <v>2394628.923416852</v>
      </c>
      <c r="G51" s="20">
        <v>4737799.713254014</v>
      </c>
      <c r="K51" s="20" t="s">
        <v>13</v>
      </c>
      <c r="L51" s="20">
        <v>99214.651162148191</v>
      </c>
      <c r="M51" s="20">
        <v>248478.89979509689</v>
      </c>
      <c r="N51" s="20">
        <v>559365.82530249457</v>
      </c>
      <c r="O51" s="20">
        <v>1169364.098237921</v>
      </c>
      <c r="P51" s="20">
        <v>2356277.771109683</v>
      </c>
      <c r="Q51" s="20">
        <v>4624333.6748130489</v>
      </c>
      <c r="U51" s="20" t="s">
        <v>13</v>
      </c>
      <c r="V51" s="20">
        <v>99214.651162148191</v>
      </c>
      <c r="W51" s="20">
        <v>247956.53233798829</v>
      </c>
      <c r="X51" s="20">
        <v>559326.78137378569</v>
      </c>
      <c r="Y51" s="20">
        <v>1169491.6245885631</v>
      </c>
      <c r="Z51" s="20">
        <v>2318332.3515206161</v>
      </c>
      <c r="AA51" s="20">
        <v>4515568.4321717303</v>
      </c>
      <c r="AE51" s="20" t="s">
        <v>13</v>
      </c>
      <c r="AF51" s="20">
        <v>99214.651162148191</v>
      </c>
      <c r="AG51" s="20">
        <v>248909.53720996459</v>
      </c>
      <c r="AH51" s="20">
        <v>559405.43423641287</v>
      </c>
      <c r="AI51" s="20">
        <v>1151989.4285611869</v>
      </c>
      <c r="AJ51" s="20">
        <v>2240308.5156450458</v>
      </c>
      <c r="AK51" s="20">
        <v>4146531.5237668529</v>
      </c>
    </row>
    <row r="52" spans="1:37" x14ac:dyDescent="0.25">
      <c r="A52" s="20" t="s">
        <v>22</v>
      </c>
      <c r="B52" s="20">
        <v>18427.26254075639</v>
      </c>
      <c r="C52" s="20">
        <v>78515.190280982439</v>
      </c>
      <c r="D52" s="20">
        <v>147168.9550286546</v>
      </c>
      <c r="E52" s="20">
        <v>230672.29651787801</v>
      </c>
      <c r="F52" s="20">
        <v>323488.959603614</v>
      </c>
      <c r="G52" s="20">
        <v>430824.92795246019</v>
      </c>
      <c r="K52" s="20" t="s">
        <v>22</v>
      </c>
      <c r="L52" s="20">
        <v>18427.26254075639</v>
      </c>
      <c r="M52" s="20">
        <v>78515.190280982439</v>
      </c>
      <c r="N52" s="20">
        <v>145085.42850926501</v>
      </c>
      <c r="O52" s="20">
        <v>223299.35109896341</v>
      </c>
      <c r="P52" s="20">
        <v>312646.2560455252</v>
      </c>
      <c r="Q52" s="20">
        <v>409816.96907516592</v>
      </c>
      <c r="U52" s="20" t="s">
        <v>22</v>
      </c>
      <c r="V52" s="20">
        <v>18427.26254075639</v>
      </c>
      <c r="W52" s="20">
        <v>77988.989673238335</v>
      </c>
      <c r="X52" s="20">
        <v>145085.42850926501</v>
      </c>
      <c r="Y52" s="20">
        <v>223315.21613436291</v>
      </c>
      <c r="Z52" s="20">
        <v>302355.06946239242</v>
      </c>
      <c r="AA52" s="20">
        <v>390492.16802785348</v>
      </c>
      <c r="AE52" s="20" t="s">
        <v>22</v>
      </c>
      <c r="AF52" s="20">
        <v>18427.26254075639</v>
      </c>
      <c r="AG52" s="20">
        <v>78983.847042603476</v>
      </c>
      <c r="AH52" s="20">
        <v>145085.42850926501</v>
      </c>
      <c r="AI52" s="20">
        <v>216203.9725729757</v>
      </c>
      <c r="AJ52" s="20">
        <v>281661.37957178382</v>
      </c>
      <c r="AK52" s="20">
        <v>328368.78917626513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-0.249977111117893"/>
  </sheetPr>
  <dimension ref="A1:AK5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20"/>
  </cols>
  <sheetData>
    <row r="1" spans="1:37" x14ac:dyDescent="0.25">
      <c r="A1" s="20" t="s">
        <v>49</v>
      </c>
      <c r="B1" s="20" t="s">
        <v>58</v>
      </c>
    </row>
    <row r="2" spans="1:37" x14ac:dyDescent="0.25">
      <c r="A2" s="20" t="s">
        <v>33</v>
      </c>
      <c r="B2" s="20">
        <v>0.27500000000000002</v>
      </c>
    </row>
    <row r="3" spans="1:37" x14ac:dyDescent="0.25">
      <c r="A3" s="20" t="s">
        <v>14</v>
      </c>
      <c r="B3" s="20">
        <v>0.75</v>
      </c>
    </row>
    <row r="4" spans="1:37" x14ac:dyDescent="0.25">
      <c r="A4" s="20" t="s">
        <v>23</v>
      </c>
      <c r="B4" s="20">
        <v>0.4</v>
      </c>
    </row>
    <row r="5" spans="1:37" x14ac:dyDescent="0.25">
      <c r="A5" s="20" t="s">
        <v>16</v>
      </c>
      <c r="B5" s="20">
        <v>0.1893549842288946</v>
      </c>
    </row>
    <row r="6" spans="1:37" x14ac:dyDescent="0.25">
      <c r="A6" s="20" t="s">
        <v>17</v>
      </c>
      <c r="B6" s="20">
        <v>0.2556026411779832</v>
      </c>
    </row>
    <row r="7" spans="1:37" x14ac:dyDescent="0.25">
      <c r="A7" s="20" t="s">
        <v>15</v>
      </c>
      <c r="B7" s="20">
        <v>2000</v>
      </c>
      <c r="C7" s="20">
        <v>2020</v>
      </c>
      <c r="D7" s="20">
        <v>2040</v>
      </c>
      <c r="E7" s="20">
        <v>2060</v>
      </c>
      <c r="F7" s="20">
        <v>2080</v>
      </c>
      <c r="G7" s="20">
        <v>2100</v>
      </c>
      <c r="K7" s="20" t="s">
        <v>15</v>
      </c>
      <c r="L7" s="20">
        <v>2000</v>
      </c>
      <c r="M7" s="20">
        <v>2020</v>
      </c>
      <c r="N7" s="20">
        <v>2040</v>
      </c>
      <c r="O7" s="20">
        <v>2060</v>
      </c>
      <c r="P7" s="20">
        <v>2080</v>
      </c>
      <c r="Q7" s="20">
        <v>2100</v>
      </c>
      <c r="U7" s="20" t="s">
        <v>15</v>
      </c>
      <c r="V7" s="20">
        <v>2000</v>
      </c>
      <c r="W7" s="20">
        <v>2020</v>
      </c>
      <c r="X7" s="20">
        <v>2040</v>
      </c>
      <c r="Y7" s="20">
        <v>2060</v>
      </c>
      <c r="Z7" s="20">
        <v>2080</v>
      </c>
      <c r="AA7" s="20">
        <v>2100</v>
      </c>
      <c r="AE7" s="20" t="s">
        <v>15</v>
      </c>
      <c r="AF7" s="20">
        <v>2000</v>
      </c>
      <c r="AG7" s="20">
        <v>2020</v>
      </c>
      <c r="AH7" s="20">
        <v>2040</v>
      </c>
      <c r="AI7" s="20">
        <v>2060</v>
      </c>
      <c r="AJ7" s="20">
        <v>2080</v>
      </c>
      <c r="AK7" s="20">
        <v>2100</v>
      </c>
    </row>
    <row r="8" spans="1:37" x14ac:dyDescent="0.25">
      <c r="A8" s="20" t="s">
        <v>11</v>
      </c>
      <c r="B8" s="20">
        <v>98314.918069602179</v>
      </c>
      <c r="C8" s="20">
        <v>1835665.023618266</v>
      </c>
      <c r="D8" s="20">
        <v>26637870.332862519</v>
      </c>
      <c r="E8" s="20">
        <v>360236310.49789071</v>
      </c>
      <c r="F8" s="20">
        <v>4661110569.2037601</v>
      </c>
      <c r="G8" s="20">
        <v>58763441031.024643</v>
      </c>
      <c r="K8" s="20" t="s">
        <v>11</v>
      </c>
      <c r="L8" s="20">
        <v>98314.918069602179</v>
      </c>
      <c r="M8" s="20">
        <v>1835665.023618266</v>
      </c>
      <c r="N8" s="20">
        <v>26637870.332862519</v>
      </c>
      <c r="O8" s="20">
        <v>360236310.49789071</v>
      </c>
      <c r="P8" s="20">
        <v>4661110569.2037601</v>
      </c>
      <c r="Q8" s="20">
        <v>58763441031.024643</v>
      </c>
      <c r="U8" s="20" t="s">
        <v>11</v>
      </c>
      <c r="V8" s="20">
        <v>98314.918069602179</v>
      </c>
      <c r="W8" s="20">
        <v>1835665.023618266</v>
      </c>
      <c r="X8" s="20">
        <v>26637870.332862519</v>
      </c>
      <c r="Y8" s="20">
        <v>360236310.49789071</v>
      </c>
      <c r="Z8" s="20">
        <v>4661110569.2037601</v>
      </c>
      <c r="AA8" s="20">
        <v>58763441031.024643</v>
      </c>
      <c r="AE8" s="20" t="s">
        <v>11</v>
      </c>
      <c r="AF8" s="20">
        <v>98314.918069602179</v>
      </c>
      <c r="AG8" s="20">
        <v>1835665.023618266</v>
      </c>
      <c r="AH8" s="20">
        <v>26637870.332862519</v>
      </c>
      <c r="AI8" s="20">
        <v>360236310.49789071</v>
      </c>
      <c r="AJ8" s="20">
        <v>4661110569.2037601</v>
      </c>
      <c r="AK8" s="20">
        <v>58763441031.024643</v>
      </c>
    </row>
    <row r="9" spans="1:37" x14ac:dyDescent="0.25">
      <c r="A9" s="20" t="s">
        <v>13</v>
      </c>
      <c r="B9" s="20">
        <v>218508.64558133611</v>
      </c>
      <c r="C9" s="20">
        <v>549474.34585613373</v>
      </c>
      <c r="D9" s="20">
        <v>1247677.7911299639</v>
      </c>
      <c r="E9" s="20">
        <v>2640215.561972721</v>
      </c>
      <c r="F9" s="20">
        <v>5345523.7355968291</v>
      </c>
      <c r="G9" s="20">
        <v>10545253.698855219</v>
      </c>
      <c r="K9" s="20" t="s">
        <v>13</v>
      </c>
      <c r="L9" s="20">
        <v>218508.64558133611</v>
      </c>
      <c r="M9" s="20">
        <v>549474.34585613373</v>
      </c>
      <c r="N9" s="20">
        <v>1247677.7911299639</v>
      </c>
      <c r="O9" s="20">
        <v>2640215.561972721</v>
      </c>
      <c r="P9" s="20">
        <v>5345523.7355968291</v>
      </c>
      <c r="Q9" s="20">
        <v>10545253.698855219</v>
      </c>
      <c r="U9" s="20" t="s">
        <v>13</v>
      </c>
      <c r="V9" s="20">
        <v>218508.64558133611</v>
      </c>
      <c r="W9" s="20">
        <v>549474.34585613373</v>
      </c>
      <c r="X9" s="20">
        <v>1247677.7911299639</v>
      </c>
      <c r="Y9" s="20">
        <v>2640215.561972721</v>
      </c>
      <c r="Z9" s="20">
        <v>5345523.7355968291</v>
      </c>
      <c r="AA9" s="20">
        <v>10545253.698855219</v>
      </c>
      <c r="AE9" s="20" t="s">
        <v>13</v>
      </c>
      <c r="AF9" s="20">
        <v>218508.64558133611</v>
      </c>
      <c r="AG9" s="20">
        <v>549474.34585613373</v>
      </c>
      <c r="AH9" s="20">
        <v>1247677.7911299639</v>
      </c>
      <c r="AI9" s="20">
        <v>2640215.561972721</v>
      </c>
      <c r="AJ9" s="20">
        <v>5345523.7355968291</v>
      </c>
      <c r="AK9" s="20">
        <v>10545253.698855219</v>
      </c>
    </row>
    <row r="10" spans="1:37" x14ac:dyDescent="0.25">
      <c r="A10" s="20" t="s">
        <v>51</v>
      </c>
      <c r="B10" s="20">
        <v>171603.1190412</v>
      </c>
      <c r="C10" s="20">
        <v>728722.75872792688</v>
      </c>
      <c r="D10" s="20">
        <v>2220864.332727877</v>
      </c>
      <c r="E10" s="20">
        <v>5578375.7357485928</v>
      </c>
      <c r="F10" s="20">
        <v>12439808.27365339</v>
      </c>
      <c r="G10" s="20">
        <v>25885810.18812114</v>
      </c>
      <c r="K10" s="20" t="s">
        <v>51</v>
      </c>
      <c r="L10" s="20">
        <v>171603.1190412</v>
      </c>
      <c r="M10" s="20">
        <v>728722.75872792688</v>
      </c>
      <c r="N10" s="20">
        <v>2220864.332727877</v>
      </c>
      <c r="O10" s="20">
        <v>5578375.7357485928</v>
      </c>
      <c r="P10" s="20">
        <v>12439808.27365339</v>
      </c>
      <c r="Q10" s="20">
        <v>25885810.18812114</v>
      </c>
      <c r="U10" s="20" t="s">
        <v>51</v>
      </c>
      <c r="V10" s="20">
        <v>171603.1190412</v>
      </c>
      <c r="W10" s="20">
        <v>728722.75872792688</v>
      </c>
      <c r="X10" s="20">
        <v>2220864.332727877</v>
      </c>
      <c r="Y10" s="20">
        <v>5578375.7357485928</v>
      </c>
      <c r="Z10" s="20">
        <v>12439808.27365339</v>
      </c>
      <c r="AA10" s="20">
        <v>25885810.18812114</v>
      </c>
      <c r="AE10" s="20" t="s">
        <v>51</v>
      </c>
      <c r="AF10" s="20">
        <v>171603.1190412</v>
      </c>
      <c r="AG10" s="20">
        <v>728722.75872792688</v>
      </c>
      <c r="AH10" s="20">
        <v>2220864.332727877</v>
      </c>
      <c r="AI10" s="20">
        <v>5578375.7357485928</v>
      </c>
      <c r="AJ10" s="20">
        <v>12439808.27365339</v>
      </c>
      <c r="AK10" s="20">
        <v>25885810.18812114</v>
      </c>
    </row>
    <row r="11" spans="1:37" x14ac:dyDescent="0.25">
      <c r="A11" s="20" t="s">
        <v>0</v>
      </c>
      <c r="B11" s="20">
        <v>2.1370411467945001</v>
      </c>
      <c r="C11" s="20">
        <v>2.3732702195405939</v>
      </c>
      <c r="D11" s="20">
        <v>2.379894599123348</v>
      </c>
      <c r="E11" s="20">
        <v>2.2240788244080152</v>
      </c>
      <c r="F11" s="20">
        <v>1.988641786107898</v>
      </c>
      <c r="G11" s="20">
        <v>1.7325223299399359</v>
      </c>
      <c r="K11" s="20" t="s">
        <v>0</v>
      </c>
      <c r="L11" s="20">
        <v>2.1370411467945001</v>
      </c>
      <c r="M11" s="20">
        <v>2.3732702195405939</v>
      </c>
      <c r="N11" s="20">
        <v>2.379894599123348</v>
      </c>
      <c r="O11" s="20">
        <v>2.2240788244080152</v>
      </c>
      <c r="P11" s="20">
        <v>1.988641786107898</v>
      </c>
      <c r="Q11" s="20">
        <v>1.7325223299399359</v>
      </c>
      <c r="U11" s="20" t="s">
        <v>0</v>
      </c>
      <c r="V11" s="20">
        <v>2.1370411467945001</v>
      </c>
      <c r="W11" s="20">
        <v>2.3732702195405939</v>
      </c>
      <c r="X11" s="20">
        <v>2.379894599123348</v>
      </c>
      <c r="Y11" s="20">
        <v>2.2240788244080152</v>
      </c>
      <c r="Z11" s="20">
        <v>1.988641786107898</v>
      </c>
      <c r="AA11" s="20">
        <v>1.7325223299399359</v>
      </c>
      <c r="AE11" s="20" t="s">
        <v>0</v>
      </c>
      <c r="AF11" s="20">
        <v>2.1370411467945001</v>
      </c>
      <c r="AG11" s="20">
        <v>2.3732702195405939</v>
      </c>
      <c r="AH11" s="20">
        <v>2.379894599123348</v>
      </c>
      <c r="AI11" s="20">
        <v>2.2240788244080152</v>
      </c>
      <c r="AJ11" s="20">
        <v>1.988641786107898</v>
      </c>
      <c r="AK11" s="20">
        <v>1.7325223299399359</v>
      </c>
    </row>
    <row r="12" spans="1:37" x14ac:dyDescent="0.25">
      <c r="A12" s="20" t="s">
        <v>1</v>
      </c>
      <c r="B12" s="20">
        <v>3.1982558270318999</v>
      </c>
      <c r="C12" s="20">
        <v>6.5912004538537703</v>
      </c>
      <c r="D12" s="20">
        <v>12.26569236775306</v>
      </c>
      <c r="E12" s="20">
        <v>21.271667424770332</v>
      </c>
      <c r="F12" s="20">
        <v>35.295954783753068</v>
      </c>
      <c r="G12" s="20">
        <v>57.064265151023697</v>
      </c>
      <c r="K12" s="20" t="s">
        <v>1</v>
      </c>
      <c r="L12" s="20">
        <v>3.1982558270318999</v>
      </c>
      <c r="M12" s="20">
        <v>6.5912004538537703</v>
      </c>
      <c r="N12" s="20">
        <v>12.26569236775306</v>
      </c>
      <c r="O12" s="20">
        <v>21.271667424770332</v>
      </c>
      <c r="P12" s="20">
        <v>35.295954783753068</v>
      </c>
      <c r="Q12" s="20">
        <v>57.064265151023697</v>
      </c>
      <c r="U12" s="20" t="s">
        <v>1</v>
      </c>
      <c r="V12" s="20">
        <v>3.1982558270318999</v>
      </c>
      <c r="W12" s="20">
        <v>6.5912004538537703</v>
      </c>
      <c r="X12" s="20">
        <v>12.26569236775306</v>
      </c>
      <c r="Y12" s="20">
        <v>21.271667424770332</v>
      </c>
      <c r="Z12" s="20">
        <v>35.295954783753068</v>
      </c>
      <c r="AA12" s="20">
        <v>57.064265151023697</v>
      </c>
      <c r="AE12" s="20" t="s">
        <v>1</v>
      </c>
      <c r="AF12" s="20">
        <v>3.1982558270318999</v>
      </c>
      <c r="AG12" s="20">
        <v>6.5912004538537703</v>
      </c>
      <c r="AH12" s="20">
        <v>12.26569236775306</v>
      </c>
      <c r="AI12" s="20">
        <v>21.271667424770332</v>
      </c>
      <c r="AJ12" s="20">
        <v>35.295954783753068</v>
      </c>
      <c r="AK12" s="20">
        <v>57.064265151023697</v>
      </c>
    </row>
    <row r="13" spans="1:37" x14ac:dyDescent="0.25">
      <c r="A13" s="20" t="s">
        <v>2</v>
      </c>
      <c r="B13" s="20">
        <v>5.3352969738263996</v>
      </c>
      <c r="C13" s="20">
        <v>8.9644706733943647</v>
      </c>
      <c r="D13" s="20">
        <v>14.64558696687641</v>
      </c>
      <c r="E13" s="20">
        <v>23.49574624917835</v>
      </c>
      <c r="F13" s="20">
        <v>37.284596569860973</v>
      </c>
      <c r="G13" s="20">
        <v>58.796787480963637</v>
      </c>
      <c r="K13" s="20" t="s">
        <v>2</v>
      </c>
      <c r="L13" s="20">
        <v>5.3352969738263996</v>
      </c>
      <c r="M13" s="20">
        <v>8.9644706733943647</v>
      </c>
      <c r="N13" s="20">
        <v>14.64558696687641</v>
      </c>
      <c r="O13" s="20">
        <v>23.49574624917835</v>
      </c>
      <c r="P13" s="20">
        <v>37.284596569860973</v>
      </c>
      <c r="Q13" s="20">
        <v>58.796787480963637</v>
      </c>
      <c r="U13" s="20" t="s">
        <v>2</v>
      </c>
      <c r="V13" s="20">
        <v>5.3352969738263996</v>
      </c>
      <c r="W13" s="20">
        <v>8.9644706733943647</v>
      </c>
      <c r="X13" s="20">
        <v>14.64558696687641</v>
      </c>
      <c r="Y13" s="20">
        <v>23.49574624917835</v>
      </c>
      <c r="Z13" s="20">
        <v>37.284596569860973</v>
      </c>
      <c r="AA13" s="20">
        <v>58.796787480963637</v>
      </c>
      <c r="AE13" s="20" t="s">
        <v>2</v>
      </c>
      <c r="AF13" s="20">
        <v>5.3352969738263996</v>
      </c>
      <c r="AG13" s="20">
        <v>8.9644706733943647</v>
      </c>
      <c r="AH13" s="20">
        <v>14.64558696687641</v>
      </c>
      <c r="AI13" s="20">
        <v>23.49574624917835</v>
      </c>
      <c r="AJ13" s="20">
        <v>37.284596569860973</v>
      </c>
      <c r="AK13" s="20">
        <v>58.796787480963637</v>
      </c>
    </row>
    <row r="14" spans="1:37" x14ac:dyDescent="0.25">
      <c r="A14" s="20" t="s">
        <v>3</v>
      </c>
      <c r="B14" s="20">
        <v>1.496581304402675</v>
      </c>
      <c r="C14" s="20">
        <v>2.777265057971217</v>
      </c>
      <c r="D14" s="20">
        <v>5.1538805005361237</v>
      </c>
      <c r="E14" s="20">
        <v>9.5642596797045769</v>
      </c>
      <c r="F14" s="20">
        <v>17.748774580882721</v>
      </c>
      <c r="G14" s="20">
        <v>32.937102261188201</v>
      </c>
      <c r="K14" s="20" t="s">
        <v>3</v>
      </c>
      <c r="L14" s="20">
        <v>1.496581304402675</v>
      </c>
      <c r="M14" s="20">
        <v>2.777265057971217</v>
      </c>
      <c r="N14" s="20">
        <v>5.1538805005361237</v>
      </c>
      <c r="O14" s="20">
        <v>9.5642596797045769</v>
      </c>
      <c r="P14" s="20">
        <v>17.748774580882721</v>
      </c>
      <c r="Q14" s="20">
        <v>32.937102261188201</v>
      </c>
      <c r="U14" s="20" t="s">
        <v>3</v>
      </c>
      <c r="V14" s="20">
        <v>1.496581304402675</v>
      </c>
      <c r="W14" s="20">
        <v>2.777265057971217</v>
      </c>
      <c r="X14" s="20">
        <v>5.1538805005361237</v>
      </c>
      <c r="Y14" s="20">
        <v>9.5642596797045769</v>
      </c>
      <c r="Z14" s="20">
        <v>17.748774580882721</v>
      </c>
      <c r="AA14" s="20">
        <v>32.937102261188201</v>
      </c>
      <c r="AE14" s="20" t="s">
        <v>3</v>
      </c>
      <c r="AF14" s="20">
        <v>1.496581304402675</v>
      </c>
      <c r="AG14" s="20">
        <v>2.777265057971217</v>
      </c>
      <c r="AH14" s="20">
        <v>5.1538805005361237</v>
      </c>
      <c r="AI14" s="20">
        <v>9.5642596797045769</v>
      </c>
      <c r="AJ14" s="20">
        <v>17.748774580882721</v>
      </c>
      <c r="AK14" s="20">
        <v>32.937102261188201</v>
      </c>
    </row>
    <row r="15" spans="1:37" x14ac:dyDescent="0.25">
      <c r="A15" s="20" t="s">
        <v>18</v>
      </c>
      <c r="B15" s="20">
        <v>44533.81267978299</v>
      </c>
      <c r="C15" s="20">
        <v>108568.4832299315</v>
      </c>
      <c r="D15" s="20">
        <v>196923.44014454001</v>
      </c>
      <c r="E15" s="20">
        <v>302761.75679711433</v>
      </c>
      <c r="F15" s="20">
        <v>420847.23599471513</v>
      </c>
      <c r="G15" s="20">
        <v>551864.36227689253</v>
      </c>
      <c r="K15" s="20" t="s">
        <v>18</v>
      </c>
      <c r="L15" s="20">
        <v>44533.81267978299</v>
      </c>
      <c r="M15" s="20">
        <v>108568.4832299315</v>
      </c>
      <c r="N15" s="20">
        <v>196923.44014454001</v>
      </c>
      <c r="O15" s="20">
        <v>302761.75679711433</v>
      </c>
      <c r="P15" s="20">
        <v>420847.23599471513</v>
      </c>
      <c r="Q15" s="20">
        <v>551864.36227689253</v>
      </c>
      <c r="U15" s="20" t="s">
        <v>18</v>
      </c>
      <c r="V15" s="20">
        <v>44533.81267978299</v>
      </c>
      <c r="W15" s="20">
        <v>108568.4832299315</v>
      </c>
      <c r="X15" s="20">
        <v>196923.44014454001</v>
      </c>
      <c r="Y15" s="20">
        <v>302761.75679711433</v>
      </c>
      <c r="Z15" s="20">
        <v>420847.23599471513</v>
      </c>
      <c r="AA15" s="20">
        <v>551864.36227689253</v>
      </c>
      <c r="AE15" s="20" t="s">
        <v>18</v>
      </c>
      <c r="AF15" s="20">
        <v>44533.81267978299</v>
      </c>
      <c r="AG15" s="20">
        <v>108568.4832299315</v>
      </c>
      <c r="AH15" s="20">
        <v>196923.44014454001</v>
      </c>
      <c r="AI15" s="20">
        <v>302761.75679711433</v>
      </c>
      <c r="AJ15" s="20">
        <v>420847.23599471513</v>
      </c>
      <c r="AK15" s="20">
        <v>551864.36227689253</v>
      </c>
    </row>
    <row r="16" spans="1:37" x14ac:dyDescent="0.25">
      <c r="A16" s="20" t="s">
        <v>19</v>
      </c>
      <c r="B16" s="20">
        <v>59855.314921334641</v>
      </c>
      <c r="C16" s="20">
        <v>145920.60197013541</v>
      </c>
      <c r="D16" s="20">
        <v>264673.3754865533</v>
      </c>
      <c r="E16" s="20">
        <v>406924.51889381098</v>
      </c>
      <c r="F16" s="20">
        <v>565636.36321379628</v>
      </c>
      <c r="G16" s="20">
        <v>741728.88442000479</v>
      </c>
      <c r="K16" s="20" t="s">
        <v>19</v>
      </c>
      <c r="L16" s="20">
        <v>59855.314921334641</v>
      </c>
      <c r="M16" s="20">
        <v>145920.60197013541</v>
      </c>
      <c r="N16" s="20">
        <v>264673.3754865533</v>
      </c>
      <c r="O16" s="20">
        <v>406924.51889381098</v>
      </c>
      <c r="P16" s="20">
        <v>565636.36321379628</v>
      </c>
      <c r="Q16" s="20">
        <v>741728.88442000479</v>
      </c>
      <c r="U16" s="20" t="s">
        <v>19</v>
      </c>
      <c r="V16" s="20">
        <v>59855.314921334641</v>
      </c>
      <c r="W16" s="20">
        <v>145920.60197013541</v>
      </c>
      <c r="X16" s="20">
        <v>264673.3754865533</v>
      </c>
      <c r="Y16" s="20">
        <v>406924.51889381098</v>
      </c>
      <c r="Z16" s="20">
        <v>565636.36321379628</v>
      </c>
      <c r="AA16" s="20">
        <v>741728.88442000479</v>
      </c>
      <c r="AE16" s="20" t="s">
        <v>19</v>
      </c>
      <c r="AF16" s="20">
        <v>59855.314921334641</v>
      </c>
      <c r="AG16" s="20">
        <v>145920.60197013541</v>
      </c>
      <c r="AH16" s="20">
        <v>264673.3754865533</v>
      </c>
      <c r="AI16" s="20">
        <v>406924.51889381098</v>
      </c>
      <c r="AJ16" s="20">
        <v>565636.36321379628</v>
      </c>
      <c r="AK16" s="20">
        <v>741728.88442000479</v>
      </c>
    </row>
    <row r="17" spans="1:37" x14ac:dyDescent="0.25">
      <c r="A17" s="20" t="s">
        <v>7</v>
      </c>
      <c r="B17" s="20">
        <v>16.019739999999999</v>
      </c>
      <c r="C17" s="20">
        <v>16.019739999999999</v>
      </c>
      <c r="D17" s="20">
        <v>16.019739999999999</v>
      </c>
      <c r="E17" s="20">
        <v>16.019739999999999</v>
      </c>
      <c r="F17" s="20">
        <v>16.019739999999999</v>
      </c>
      <c r="G17" s="20">
        <v>16.019739999999999</v>
      </c>
      <c r="K17" s="20" t="s">
        <v>7</v>
      </c>
      <c r="L17" s="20">
        <v>16.019739999999999</v>
      </c>
      <c r="M17" s="20">
        <v>16.019739999999999</v>
      </c>
      <c r="N17" s="20">
        <v>16.019739999999999</v>
      </c>
      <c r="O17" s="20">
        <v>16.019739999999999</v>
      </c>
      <c r="P17" s="20">
        <v>16.019739999999999</v>
      </c>
      <c r="Q17" s="20">
        <v>16.019739999999999</v>
      </c>
      <c r="U17" s="20" t="s">
        <v>7</v>
      </c>
      <c r="V17" s="20">
        <v>16.019739999999999</v>
      </c>
      <c r="W17" s="20">
        <v>16.019739999999999</v>
      </c>
      <c r="X17" s="20">
        <v>16.019739999999999</v>
      </c>
      <c r="Y17" s="20">
        <v>16.019739999999999</v>
      </c>
      <c r="Z17" s="20">
        <v>16.019739999999999</v>
      </c>
      <c r="AA17" s="20">
        <v>16.019739999999999</v>
      </c>
      <c r="AE17" s="20" t="s">
        <v>7</v>
      </c>
      <c r="AF17" s="20">
        <v>16.019739999999999</v>
      </c>
      <c r="AG17" s="20">
        <v>16.019739999999999</v>
      </c>
      <c r="AH17" s="20">
        <v>16.019739999999999</v>
      </c>
      <c r="AI17" s="20">
        <v>16.019739999999999</v>
      </c>
      <c r="AJ17" s="20">
        <v>16.019739999999999</v>
      </c>
      <c r="AK17" s="20">
        <v>16.019739999999999</v>
      </c>
    </row>
    <row r="18" spans="1:37" x14ac:dyDescent="0.25">
      <c r="A18" s="20" t="s">
        <v>52</v>
      </c>
      <c r="B18" s="20">
        <v>26.494167252</v>
      </c>
      <c r="C18" s="20">
        <v>26.494167252</v>
      </c>
      <c r="D18" s="20">
        <v>26.494167252</v>
      </c>
      <c r="E18" s="20">
        <v>26.494167252</v>
      </c>
      <c r="F18" s="20">
        <v>26.494167252</v>
      </c>
      <c r="G18" s="20">
        <v>26.494167252</v>
      </c>
      <c r="K18" s="20" t="s">
        <v>52</v>
      </c>
      <c r="L18" s="20">
        <v>26.494167252</v>
      </c>
      <c r="M18" s="20">
        <v>26.494167252</v>
      </c>
      <c r="N18" s="20">
        <v>26.494167252</v>
      </c>
      <c r="O18" s="20">
        <v>26.494167252</v>
      </c>
      <c r="P18" s="20">
        <v>26.494167252</v>
      </c>
      <c r="Q18" s="20">
        <v>26.494167252</v>
      </c>
      <c r="U18" s="20" t="s">
        <v>52</v>
      </c>
      <c r="V18" s="20">
        <v>26.494167252</v>
      </c>
      <c r="W18" s="20">
        <v>26.494167252</v>
      </c>
      <c r="X18" s="20">
        <v>26.494167252</v>
      </c>
      <c r="Y18" s="20">
        <v>26.494167252</v>
      </c>
      <c r="Z18" s="20">
        <v>26.494167252</v>
      </c>
      <c r="AA18" s="20">
        <v>26.494167252</v>
      </c>
      <c r="AE18" s="20" t="s">
        <v>52</v>
      </c>
      <c r="AF18" s="20">
        <v>26.494167252</v>
      </c>
      <c r="AG18" s="20">
        <v>26.494167252</v>
      </c>
      <c r="AH18" s="20">
        <v>26.494167252</v>
      </c>
      <c r="AI18" s="20">
        <v>26.494167252</v>
      </c>
      <c r="AJ18" s="20">
        <v>26.494167252</v>
      </c>
      <c r="AK18" s="20">
        <v>26.494167252</v>
      </c>
    </row>
    <row r="19" spans="1:37" x14ac:dyDescent="0.25">
      <c r="A19" s="20" t="s">
        <v>4</v>
      </c>
      <c r="B19" s="20">
        <v>0.86070797642505747</v>
      </c>
      <c r="C19" s="20">
        <v>0.86070797642505747</v>
      </c>
      <c r="D19" s="20">
        <v>0.86070797642505747</v>
      </c>
      <c r="E19" s="20">
        <v>0.86070797642505747</v>
      </c>
      <c r="F19" s="20">
        <v>0.86070797642505747</v>
      </c>
      <c r="G19" s="20">
        <v>0.86070797642505747</v>
      </c>
      <c r="K19" s="20" t="s">
        <v>4</v>
      </c>
      <c r="L19" s="20">
        <v>0.86070797642505747</v>
      </c>
      <c r="M19" s="20">
        <v>0.86070797642505747</v>
      </c>
      <c r="N19" s="20">
        <v>0.86070797642505747</v>
      </c>
      <c r="O19" s="20">
        <v>0.86070797642505747</v>
      </c>
      <c r="P19" s="20">
        <v>0.86070797642505747</v>
      </c>
      <c r="Q19" s="20">
        <v>0.86070797642505747</v>
      </c>
      <c r="U19" s="20" t="s">
        <v>4</v>
      </c>
      <c r="V19" s="20">
        <v>0.86070797642505747</v>
      </c>
      <c r="W19" s="20">
        <v>0.86070797642505747</v>
      </c>
      <c r="X19" s="20">
        <v>0.86070797642505747</v>
      </c>
      <c r="Y19" s="20">
        <v>0.86070797642505747</v>
      </c>
      <c r="Z19" s="20">
        <v>0.86070797642505747</v>
      </c>
      <c r="AA19" s="20">
        <v>0.86070797642505747</v>
      </c>
      <c r="AE19" s="20" t="s">
        <v>4</v>
      </c>
      <c r="AF19" s="20">
        <v>0.86070797642505747</v>
      </c>
      <c r="AG19" s="20">
        <v>0.86070797642505747</v>
      </c>
      <c r="AH19" s="20">
        <v>0.86070797642505747</v>
      </c>
      <c r="AI19" s="20">
        <v>0.86070797642505747</v>
      </c>
      <c r="AJ19" s="20">
        <v>0.86070797642505747</v>
      </c>
      <c r="AK19" s="20">
        <v>0.86070797642505747</v>
      </c>
    </row>
    <row r="20" spans="1:37" x14ac:dyDescent="0.25">
      <c r="A20" s="20" t="s">
        <v>5</v>
      </c>
      <c r="B20" s="20">
        <v>1</v>
      </c>
      <c r="C20" s="20">
        <v>1</v>
      </c>
      <c r="D20" s="20">
        <v>1</v>
      </c>
      <c r="E20" s="20">
        <v>1</v>
      </c>
      <c r="F20" s="20">
        <v>1</v>
      </c>
      <c r="G20" s="20">
        <v>1</v>
      </c>
      <c r="K20" s="20" t="s">
        <v>5</v>
      </c>
      <c r="L20" s="20">
        <v>1</v>
      </c>
      <c r="M20" s="20">
        <v>1</v>
      </c>
      <c r="N20" s="20">
        <v>1</v>
      </c>
      <c r="O20" s="20">
        <v>1</v>
      </c>
      <c r="P20" s="20">
        <v>1</v>
      </c>
      <c r="Q20" s="20">
        <v>1</v>
      </c>
      <c r="U20" s="20" t="s">
        <v>5</v>
      </c>
      <c r="V20" s="20">
        <v>1</v>
      </c>
      <c r="W20" s="20">
        <v>1</v>
      </c>
      <c r="X20" s="20">
        <v>1</v>
      </c>
      <c r="Y20" s="20">
        <v>1</v>
      </c>
      <c r="Z20" s="20">
        <v>1</v>
      </c>
      <c r="AA20" s="20">
        <v>1</v>
      </c>
      <c r="AE20" s="20" t="s">
        <v>5</v>
      </c>
      <c r="AF20" s="20">
        <v>1</v>
      </c>
      <c r="AG20" s="20">
        <v>1</v>
      </c>
      <c r="AH20" s="20">
        <v>1</v>
      </c>
      <c r="AI20" s="20">
        <v>1</v>
      </c>
      <c r="AJ20" s="20">
        <v>1</v>
      </c>
      <c r="AK20" s="20">
        <v>1</v>
      </c>
    </row>
    <row r="21" spans="1:37" x14ac:dyDescent="0.25">
      <c r="A21" s="20" t="s">
        <v>20</v>
      </c>
      <c r="B21" s="20">
        <v>1</v>
      </c>
      <c r="C21" s="20">
        <v>0.99257987162312367</v>
      </c>
      <c r="D21" s="20">
        <v>0.99257987162312367</v>
      </c>
      <c r="E21" s="20">
        <v>0.99257987162312367</v>
      </c>
      <c r="F21" s="20">
        <v>0.99257987162312367</v>
      </c>
      <c r="G21" s="20">
        <v>0.99257987162312367</v>
      </c>
      <c r="K21" s="20" t="s">
        <v>20</v>
      </c>
      <c r="L21" s="20">
        <v>1</v>
      </c>
      <c r="M21" s="20">
        <v>0.99257987162312367</v>
      </c>
      <c r="N21" s="20">
        <v>0.99257987162312367</v>
      </c>
      <c r="O21" s="20">
        <v>0.99257987162312367</v>
      </c>
      <c r="P21" s="20">
        <v>0.99257987162312367</v>
      </c>
      <c r="Q21" s="20">
        <v>0.99257987162312367</v>
      </c>
      <c r="U21" s="20" t="s">
        <v>20</v>
      </c>
      <c r="V21" s="20">
        <v>1</v>
      </c>
      <c r="W21" s="20">
        <v>0.99257987162312367</v>
      </c>
      <c r="X21" s="20">
        <v>0.99257987162312367</v>
      </c>
      <c r="Y21" s="20">
        <v>0.99257987162312367</v>
      </c>
      <c r="Z21" s="20">
        <v>0.99257987162312367</v>
      </c>
      <c r="AA21" s="20">
        <v>0.99257987162312367</v>
      </c>
      <c r="AE21" s="20" t="s">
        <v>20</v>
      </c>
      <c r="AF21" s="20">
        <v>1</v>
      </c>
      <c r="AG21" s="20">
        <v>0.99257987162312367</v>
      </c>
      <c r="AH21" s="20">
        <v>0.99257987162312367</v>
      </c>
      <c r="AI21" s="20">
        <v>0.99257987162312367</v>
      </c>
      <c r="AJ21" s="20">
        <v>0.99257987162312367</v>
      </c>
      <c r="AK21" s="20">
        <v>0.99257987162312367</v>
      </c>
    </row>
    <row r="22" spans="1:37" x14ac:dyDescent="0.25">
      <c r="A22" s="20" t="s">
        <v>21</v>
      </c>
      <c r="B22" s="20">
        <v>1</v>
      </c>
      <c r="C22" s="20">
        <v>0.99687617775686799</v>
      </c>
      <c r="D22" s="20">
        <v>0.99687617775686799</v>
      </c>
      <c r="E22" s="20">
        <v>0.99687617775686799</v>
      </c>
      <c r="F22" s="20">
        <v>0.99687617775686799</v>
      </c>
      <c r="G22" s="20">
        <v>0.99687617775686799</v>
      </c>
      <c r="K22" s="20" t="s">
        <v>21</v>
      </c>
      <c r="L22" s="20">
        <v>1</v>
      </c>
      <c r="M22" s="20">
        <v>0.99687617775686799</v>
      </c>
      <c r="N22" s="20">
        <v>0.99687617775686799</v>
      </c>
      <c r="O22" s="20">
        <v>0.99687617775686799</v>
      </c>
      <c r="P22" s="20">
        <v>0.99687617775686799</v>
      </c>
      <c r="Q22" s="20">
        <v>0.99687617775686799</v>
      </c>
      <c r="U22" s="20" t="s">
        <v>21</v>
      </c>
      <c r="V22" s="20">
        <v>1</v>
      </c>
      <c r="W22" s="20">
        <v>0.99687617775686799</v>
      </c>
      <c r="X22" s="20">
        <v>0.99687617775686799</v>
      </c>
      <c r="Y22" s="20">
        <v>0.99687617775686799</v>
      </c>
      <c r="Z22" s="20">
        <v>0.99687617775686799</v>
      </c>
      <c r="AA22" s="20">
        <v>0.99687617775686799</v>
      </c>
      <c r="AE22" s="20" t="s">
        <v>21</v>
      </c>
      <c r="AF22" s="20">
        <v>1</v>
      </c>
      <c r="AG22" s="20">
        <v>0.99687617775686799</v>
      </c>
      <c r="AH22" s="20">
        <v>0.99687617775686799</v>
      </c>
      <c r="AI22" s="20">
        <v>0.99687617775686799</v>
      </c>
      <c r="AJ22" s="20">
        <v>0.99687617775686799</v>
      </c>
      <c r="AK22" s="20">
        <v>0.99687617775686799</v>
      </c>
    </row>
    <row r="23" spans="1:37" x14ac:dyDescent="0.25">
      <c r="A23" s="20" t="s">
        <v>10</v>
      </c>
      <c r="B23" s="20">
        <v>0.9608349778317743</v>
      </c>
      <c r="C23" s="20">
        <v>0.13932305569886</v>
      </c>
      <c r="D23" s="20">
        <v>1.7463090348007259E-2</v>
      </c>
      <c r="E23" s="20">
        <v>1.855364188453436E-3</v>
      </c>
      <c r="F23" s="20">
        <v>1.782202705668649E-4</v>
      </c>
      <c r="G23" s="20">
        <v>1.6149885043394011E-5</v>
      </c>
      <c r="K23" s="20" t="s">
        <v>10</v>
      </c>
      <c r="L23" s="20">
        <v>0.9608349778317743</v>
      </c>
      <c r="M23" s="20">
        <v>0.13932305569886</v>
      </c>
      <c r="N23" s="20">
        <v>1.7463090348007259E-2</v>
      </c>
      <c r="O23" s="20">
        <v>1.855364188453436E-3</v>
      </c>
      <c r="P23" s="20">
        <v>1.782202705668649E-4</v>
      </c>
      <c r="Q23" s="20">
        <v>1.6149885043394011E-5</v>
      </c>
      <c r="U23" s="20" t="s">
        <v>10</v>
      </c>
      <c r="V23" s="20">
        <v>0.9608349778317743</v>
      </c>
      <c r="W23" s="20">
        <v>0.13932305569886</v>
      </c>
      <c r="X23" s="20">
        <v>1.7463090348007259E-2</v>
      </c>
      <c r="Y23" s="20">
        <v>1.855364188453436E-3</v>
      </c>
      <c r="Z23" s="20">
        <v>1.782202705668649E-4</v>
      </c>
      <c r="AA23" s="20">
        <v>1.6149885043394011E-5</v>
      </c>
      <c r="AE23" s="20" t="s">
        <v>10</v>
      </c>
      <c r="AF23" s="20">
        <v>0.9608349778317743</v>
      </c>
      <c r="AG23" s="20">
        <v>0.13932305569886</v>
      </c>
      <c r="AH23" s="20">
        <v>1.7463090348007259E-2</v>
      </c>
      <c r="AI23" s="20">
        <v>1.855364188453436E-3</v>
      </c>
      <c r="AJ23" s="20">
        <v>1.782202705668649E-4</v>
      </c>
      <c r="AK23" s="20">
        <v>1.6149885043394011E-5</v>
      </c>
    </row>
    <row r="24" spans="1:37" x14ac:dyDescent="0.25">
      <c r="A24" s="20" t="s">
        <v>12</v>
      </c>
      <c r="B24" s="20">
        <v>0.87335037830633655</v>
      </c>
      <c r="C24" s="20">
        <v>1.744917625570511</v>
      </c>
      <c r="D24" s="20">
        <v>2.59382754205655</v>
      </c>
      <c r="E24" s="20">
        <v>3.2682647081242728</v>
      </c>
      <c r="F24" s="20">
        <v>3.7231729549910311</v>
      </c>
      <c r="G24" s="20">
        <v>4.0012308255207856</v>
      </c>
      <c r="K24" s="20" t="s">
        <v>12</v>
      </c>
      <c r="L24" s="20">
        <v>0.87335037830633655</v>
      </c>
      <c r="M24" s="20">
        <v>1.744917625570511</v>
      </c>
      <c r="N24" s="20">
        <v>2.59382754205655</v>
      </c>
      <c r="O24" s="20">
        <v>3.2682647081242728</v>
      </c>
      <c r="P24" s="20">
        <v>3.7231729549910311</v>
      </c>
      <c r="Q24" s="20">
        <v>4.0012308255207856</v>
      </c>
      <c r="U24" s="20" t="s">
        <v>12</v>
      </c>
      <c r="V24" s="20">
        <v>0.87335037830633655</v>
      </c>
      <c r="W24" s="20">
        <v>1.744917625570511</v>
      </c>
      <c r="X24" s="20">
        <v>2.59382754205655</v>
      </c>
      <c r="Y24" s="20">
        <v>3.2682647081242728</v>
      </c>
      <c r="Z24" s="20">
        <v>3.7231729549910311</v>
      </c>
      <c r="AA24" s="20">
        <v>4.0012308255207856</v>
      </c>
      <c r="AE24" s="20" t="s">
        <v>12</v>
      </c>
      <c r="AF24" s="20">
        <v>0.87335037830633655</v>
      </c>
      <c r="AG24" s="20">
        <v>1.744917625570511</v>
      </c>
      <c r="AH24" s="20">
        <v>2.59382754205655</v>
      </c>
      <c r="AI24" s="20">
        <v>3.2682647081242728</v>
      </c>
      <c r="AJ24" s="20">
        <v>3.7231729549910311</v>
      </c>
      <c r="AK24" s="20">
        <v>4.0012308255207856</v>
      </c>
    </row>
    <row r="25" spans="1:37" x14ac:dyDescent="0.25">
      <c r="A25" s="20" t="s">
        <v>11</v>
      </c>
      <c r="B25" s="20">
        <v>98314.918069602179</v>
      </c>
      <c r="C25" s="20">
        <v>1835665.023618266</v>
      </c>
      <c r="D25" s="20">
        <v>26637870.332862519</v>
      </c>
      <c r="E25" s="20">
        <v>360236310.49789071</v>
      </c>
      <c r="F25" s="20">
        <v>4661110569.2037601</v>
      </c>
      <c r="G25" s="20">
        <v>58763441031.024643</v>
      </c>
      <c r="K25" s="20" t="s">
        <v>11</v>
      </c>
      <c r="L25" s="20">
        <v>98314.918069602179</v>
      </c>
      <c r="M25" s="20">
        <v>1835665.023618266</v>
      </c>
      <c r="N25" s="20">
        <v>26637870.332862519</v>
      </c>
      <c r="O25" s="20">
        <v>360236310.49789071</v>
      </c>
      <c r="P25" s="20">
        <v>4661110569.2037601</v>
      </c>
      <c r="Q25" s="20">
        <v>58763441031.024643</v>
      </c>
      <c r="U25" s="20" t="s">
        <v>11</v>
      </c>
      <c r="V25" s="20">
        <v>98314.918069602179</v>
      </c>
      <c r="W25" s="20">
        <v>1835665.023618266</v>
      </c>
      <c r="X25" s="20">
        <v>26637870.332862519</v>
      </c>
      <c r="Y25" s="20">
        <v>360236310.49789071</v>
      </c>
      <c r="Z25" s="20">
        <v>4661110569.2037601</v>
      </c>
      <c r="AA25" s="20">
        <v>58763441031.024643</v>
      </c>
      <c r="AE25" s="20" t="s">
        <v>11</v>
      </c>
      <c r="AF25" s="20">
        <v>98314.918069602179</v>
      </c>
      <c r="AG25" s="20">
        <v>1835665.023618266</v>
      </c>
      <c r="AH25" s="20">
        <v>26637870.332862519</v>
      </c>
      <c r="AI25" s="20">
        <v>360236310.49789071</v>
      </c>
      <c r="AJ25" s="20">
        <v>4661110569.2037601</v>
      </c>
      <c r="AK25" s="20">
        <v>58763441031.024643</v>
      </c>
    </row>
    <row r="26" spans="1:37" x14ac:dyDescent="0.25">
      <c r="A26" s="20" t="s">
        <v>13</v>
      </c>
      <c r="B26" s="20">
        <v>218508.64558133611</v>
      </c>
      <c r="C26" s="20">
        <v>549474.34585613373</v>
      </c>
      <c r="D26" s="20">
        <v>1247677.7911299639</v>
      </c>
      <c r="E26" s="20">
        <v>2640215.561972721</v>
      </c>
      <c r="F26" s="20">
        <v>5345523.7355968291</v>
      </c>
      <c r="G26" s="20">
        <v>10545253.698855219</v>
      </c>
      <c r="K26" s="20" t="s">
        <v>13</v>
      </c>
      <c r="L26" s="20">
        <v>218508.64558133611</v>
      </c>
      <c r="M26" s="20">
        <v>549474.34585613373</v>
      </c>
      <c r="N26" s="20">
        <v>1247677.7911299639</v>
      </c>
      <c r="O26" s="20">
        <v>2640215.561972721</v>
      </c>
      <c r="P26" s="20">
        <v>5345523.7355968291</v>
      </c>
      <c r="Q26" s="20">
        <v>10545253.698855219</v>
      </c>
      <c r="U26" s="20" t="s">
        <v>13</v>
      </c>
      <c r="V26" s="20">
        <v>218508.64558133611</v>
      </c>
      <c r="W26" s="20">
        <v>549474.34585613373</v>
      </c>
      <c r="X26" s="20">
        <v>1247677.7911299639</v>
      </c>
      <c r="Y26" s="20">
        <v>2640215.561972721</v>
      </c>
      <c r="Z26" s="20">
        <v>5345523.7355968291</v>
      </c>
      <c r="AA26" s="20">
        <v>10545253.698855219</v>
      </c>
      <c r="AE26" s="20" t="s">
        <v>13</v>
      </c>
      <c r="AF26" s="20">
        <v>218508.64558133611</v>
      </c>
      <c r="AG26" s="20">
        <v>549474.34585613373</v>
      </c>
      <c r="AH26" s="20">
        <v>1247677.7911299639</v>
      </c>
      <c r="AI26" s="20">
        <v>2640215.561972721</v>
      </c>
      <c r="AJ26" s="20">
        <v>5345523.7355968291</v>
      </c>
      <c r="AK26" s="20">
        <v>10545253.698855219</v>
      </c>
    </row>
    <row r="27" spans="1:37" x14ac:dyDescent="0.25">
      <c r="A27" s="20" t="s">
        <v>22</v>
      </c>
      <c r="B27" s="20">
        <v>18427.262540756401</v>
      </c>
      <c r="C27" s="20">
        <v>81290.104600453633</v>
      </c>
      <c r="D27" s="20">
        <v>151640.51381148171</v>
      </c>
      <c r="E27" s="20">
        <v>237420.66655761871</v>
      </c>
      <c r="F27" s="20">
        <v>333644.70634259499</v>
      </c>
      <c r="G27" s="20">
        <v>440258.92054905329</v>
      </c>
      <c r="K27" s="20" t="s">
        <v>22</v>
      </c>
      <c r="L27" s="20">
        <v>18427.262540756401</v>
      </c>
      <c r="M27" s="20">
        <v>81290.104600453633</v>
      </c>
      <c r="N27" s="20">
        <v>151640.51381148171</v>
      </c>
      <c r="O27" s="20">
        <v>237420.66655761871</v>
      </c>
      <c r="P27" s="20">
        <v>333644.70634259499</v>
      </c>
      <c r="Q27" s="20">
        <v>440258.92054905329</v>
      </c>
      <c r="U27" s="20" t="s">
        <v>22</v>
      </c>
      <c r="V27" s="20">
        <v>18427.262540756401</v>
      </c>
      <c r="W27" s="20">
        <v>81290.104600453633</v>
      </c>
      <c r="X27" s="20">
        <v>151640.51381148171</v>
      </c>
      <c r="Y27" s="20">
        <v>237420.66655761871</v>
      </c>
      <c r="Z27" s="20">
        <v>333644.70634259499</v>
      </c>
      <c r="AA27" s="20">
        <v>440258.92054905329</v>
      </c>
      <c r="AE27" s="20" t="s">
        <v>22</v>
      </c>
      <c r="AF27" s="20">
        <v>18427.262540756401</v>
      </c>
      <c r="AG27" s="20">
        <v>81290.104600453633</v>
      </c>
      <c r="AH27" s="20">
        <v>151640.51381148171</v>
      </c>
      <c r="AI27" s="20">
        <v>237420.66655761871</v>
      </c>
      <c r="AJ27" s="20">
        <v>333644.70634259499</v>
      </c>
      <c r="AK27" s="20">
        <v>440258.92054905329</v>
      </c>
    </row>
    <row r="32" spans="1:37" x14ac:dyDescent="0.25">
      <c r="A32" s="20" t="s">
        <v>15</v>
      </c>
      <c r="B32" s="20">
        <v>2000</v>
      </c>
      <c r="C32" s="20">
        <v>2020</v>
      </c>
      <c r="D32" s="20">
        <v>2040</v>
      </c>
      <c r="E32" s="20">
        <v>2060</v>
      </c>
      <c r="F32" s="20">
        <v>2080</v>
      </c>
      <c r="G32" s="20">
        <v>2100</v>
      </c>
      <c r="K32" s="20" t="s">
        <v>15</v>
      </c>
      <c r="L32" s="20">
        <v>2000</v>
      </c>
      <c r="M32" s="20">
        <v>2020</v>
      </c>
      <c r="N32" s="20">
        <v>2040</v>
      </c>
      <c r="O32" s="20">
        <v>2060</v>
      </c>
      <c r="P32" s="20">
        <v>2080</v>
      </c>
      <c r="Q32" s="20">
        <v>2100</v>
      </c>
      <c r="U32" s="20" t="s">
        <v>15</v>
      </c>
      <c r="V32" s="20">
        <v>2000</v>
      </c>
      <c r="W32" s="20">
        <v>2020</v>
      </c>
      <c r="X32" s="20">
        <v>2040</v>
      </c>
      <c r="Y32" s="20">
        <v>2060</v>
      </c>
      <c r="Z32" s="20">
        <v>2080</v>
      </c>
      <c r="AA32" s="20">
        <v>2100</v>
      </c>
      <c r="AE32" s="20" t="s">
        <v>15</v>
      </c>
      <c r="AF32" s="20">
        <v>2000</v>
      </c>
      <c r="AG32" s="20">
        <v>2020</v>
      </c>
      <c r="AH32" s="20">
        <v>2040</v>
      </c>
      <c r="AI32" s="20">
        <v>2060</v>
      </c>
      <c r="AJ32" s="20">
        <v>2080</v>
      </c>
      <c r="AK32" s="20">
        <v>2100</v>
      </c>
    </row>
    <row r="33" spans="1:37" x14ac:dyDescent="0.25">
      <c r="A33" s="20" t="s">
        <v>11</v>
      </c>
      <c r="B33" s="20">
        <v>98314.918069602179</v>
      </c>
      <c r="C33" s="20">
        <v>1811722.275243432</v>
      </c>
      <c r="D33" s="20">
        <v>25983693.339934569</v>
      </c>
      <c r="E33" s="20">
        <v>348963792.57052338</v>
      </c>
      <c r="F33" s="20">
        <v>4513157286.1587753</v>
      </c>
      <c r="G33" s="20">
        <v>57105437539.063019</v>
      </c>
      <c r="K33" s="20" t="s">
        <v>11</v>
      </c>
      <c r="L33" s="20">
        <v>98314.918069602179</v>
      </c>
      <c r="M33" s="20">
        <v>1811722.275243432</v>
      </c>
      <c r="N33" s="20">
        <v>25822931.91040631</v>
      </c>
      <c r="O33" s="20">
        <v>343352595.79559457</v>
      </c>
      <c r="P33" s="20">
        <v>4381015018.1798458</v>
      </c>
      <c r="Q33" s="20">
        <v>54742591387.860153</v>
      </c>
      <c r="U33" s="20" t="s">
        <v>11</v>
      </c>
      <c r="V33" s="20">
        <v>98314.918069602179</v>
      </c>
      <c r="W33" s="20">
        <v>1802266.1534887271</v>
      </c>
      <c r="X33" s="20">
        <v>25764510.809647981</v>
      </c>
      <c r="Y33" s="20">
        <v>341502414.15781212</v>
      </c>
      <c r="Z33" s="20">
        <v>4275564657.468925</v>
      </c>
      <c r="AA33" s="20">
        <v>53354623463.137306</v>
      </c>
      <c r="AE33" s="20" t="s">
        <v>11</v>
      </c>
      <c r="AF33" s="20">
        <v>98314.918069602179</v>
      </c>
      <c r="AG33" s="20">
        <v>1811722.275243432</v>
      </c>
      <c r="AH33" s="20">
        <v>25652199.40150794</v>
      </c>
      <c r="AI33" s="20">
        <v>333808399.78414792</v>
      </c>
      <c r="AJ33" s="20">
        <v>4085027518.6146088</v>
      </c>
      <c r="AK33" s="20">
        <v>48781136757.068802</v>
      </c>
    </row>
    <row r="34" spans="1:37" x14ac:dyDescent="0.25">
      <c r="A34" s="20" t="s">
        <v>13</v>
      </c>
      <c r="B34" s="20">
        <v>218508.64558133611</v>
      </c>
      <c r="C34" s="20">
        <v>551576.35827365937</v>
      </c>
      <c r="D34" s="20">
        <v>1252232.7132337899</v>
      </c>
      <c r="E34" s="20">
        <v>2647026.8296155441</v>
      </c>
      <c r="F34" s="20">
        <v>5356824.2830403382</v>
      </c>
      <c r="G34" s="20">
        <v>10570468.395822009</v>
      </c>
      <c r="K34" s="20" t="s">
        <v>13</v>
      </c>
      <c r="L34" s="20">
        <v>218508.64558133611</v>
      </c>
      <c r="M34" s="20">
        <v>551576.35827365937</v>
      </c>
      <c r="N34" s="20">
        <v>1251798.908807527</v>
      </c>
      <c r="O34" s="20">
        <v>2642183.8244921281</v>
      </c>
      <c r="P34" s="20">
        <v>5326130.287338309</v>
      </c>
      <c r="Q34" s="20">
        <v>10477827.723845011</v>
      </c>
      <c r="U34" s="20" t="s">
        <v>13</v>
      </c>
      <c r="V34" s="20">
        <v>218508.64558133611</v>
      </c>
      <c r="W34" s="20">
        <v>551864.31085194973</v>
      </c>
      <c r="X34" s="20">
        <v>1252093.1963671029</v>
      </c>
      <c r="Y34" s="20">
        <v>2637211.9321862669</v>
      </c>
      <c r="Z34" s="20">
        <v>5281930.7982297866</v>
      </c>
      <c r="AA34" s="20">
        <v>10378845.58361263</v>
      </c>
      <c r="AE34" s="20" t="s">
        <v>13</v>
      </c>
      <c r="AF34" s="20">
        <v>218508.64558133611</v>
      </c>
      <c r="AG34" s="20">
        <v>551576.35827365937</v>
      </c>
      <c r="AH34" s="20">
        <v>1250899.1399767781</v>
      </c>
      <c r="AI34" s="20">
        <v>2619042.6629021191</v>
      </c>
      <c r="AJ34" s="20">
        <v>5171417.9598145625</v>
      </c>
      <c r="AK34" s="20">
        <v>9890490.2445214521</v>
      </c>
    </row>
    <row r="35" spans="1:37" x14ac:dyDescent="0.25">
      <c r="A35" s="20" t="s">
        <v>51</v>
      </c>
      <c r="B35" s="20">
        <v>171603.1190412</v>
      </c>
      <c r="C35" s="20">
        <v>729176.00364956271</v>
      </c>
      <c r="D35" s="20">
        <v>2221941.639612494</v>
      </c>
      <c r="E35" s="20">
        <v>5582837.6051943628</v>
      </c>
      <c r="F35" s="20">
        <v>12467372.543011559</v>
      </c>
      <c r="G35" s="20">
        <v>25995962.975919139</v>
      </c>
      <c r="K35" s="20" t="s">
        <v>51</v>
      </c>
      <c r="L35" s="20">
        <v>171603.1190412</v>
      </c>
      <c r="M35" s="20">
        <v>729176.00364956271</v>
      </c>
      <c r="N35" s="20">
        <v>2217180.121035581</v>
      </c>
      <c r="O35" s="20">
        <v>5551417.7121938271</v>
      </c>
      <c r="P35" s="20">
        <v>12303586.51421538</v>
      </c>
      <c r="Q35" s="20">
        <v>25511158.00418346</v>
      </c>
      <c r="U35" s="20" t="s">
        <v>51</v>
      </c>
      <c r="V35" s="20">
        <v>171603.1190412</v>
      </c>
      <c r="W35" s="20">
        <v>728197.11918464117</v>
      </c>
      <c r="X35" s="20">
        <v>2217046.0175717021</v>
      </c>
      <c r="Y35" s="20">
        <v>5528643.4489931231</v>
      </c>
      <c r="Z35" s="20">
        <v>12086362.7484686</v>
      </c>
      <c r="AA35" s="20">
        <v>25017489.22078089</v>
      </c>
      <c r="AE35" s="20" t="s">
        <v>51</v>
      </c>
      <c r="AF35" s="20">
        <v>171603.1190412</v>
      </c>
      <c r="AG35" s="20">
        <v>729176.00364956271</v>
      </c>
      <c r="AH35" s="20">
        <v>2210746.1374999122</v>
      </c>
      <c r="AI35" s="20">
        <v>5439652.366195322</v>
      </c>
      <c r="AJ35" s="20">
        <v>11561645.59194736</v>
      </c>
      <c r="AK35" s="20">
        <v>22672783.052077919</v>
      </c>
    </row>
    <row r="36" spans="1:37" x14ac:dyDescent="0.25">
      <c r="A36" s="20" t="s">
        <v>0</v>
      </c>
      <c r="B36" s="20">
        <v>2.1370411467945001</v>
      </c>
      <c r="C36" s="20">
        <v>2.3651288584642529</v>
      </c>
      <c r="D36" s="20">
        <v>2.364471542846756</v>
      </c>
      <c r="E36" s="20">
        <v>2.205407373418371</v>
      </c>
      <c r="F36" s="20">
        <v>1.9710307036106649</v>
      </c>
      <c r="G36" s="20">
        <v>1.714841842418539</v>
      </c>
      <c r="K36" s="20" t="s">
        <v>0</v>
      </c>
      <c r="L36" s="20">
        <v>2.1370411467945001</v>
      </c>
      <c r="M36" s="20">
        <v>2.3651288584642529</v>
      </c>
      <c r="N36" s="20">
        <v>2.361617388305508</v>
      </c>
      <c r="O36" s="20">
        <v>2.194655693505239</v>
      </c>
      <c r="P36" s="20">
        <v>1.9606128850435049</v>
      </c>
      <c r="Q36" s="20">
        <v>1.705208468943723</v>
      </c>
      <c r="U36" s="20" t="s">
        <v>0</v>
      </c>
      <c r="V36" s="20">
        <v>2.1370411467945001</v>
      </c>
      <c r="W36" s="20">
        <v>2.362485587147241</v>
      </c>
      <c r="X36" s="20">
        <v>2.3562745291803902</v>
      </c>
      <c r="Y36" s="20">
        <v>2.1966801744443032</v>
      </c>
      <c r="Z36" s="20">
        <v>1.9578461398881399</v>
      </c>
      <c r="AA36" s="20">
        <v>1.702820527977976</v>
      </c>
      <c r="AE36" s="20" t="s">
        <v>0</v>
      </c>
      <c r="AF36" s="20">
        <v>2.1370411467945001</v>
      </c>
      <c r="AG36" s="20">
        <v>2.3651288584642529</v>
      </c>
      <c r="AH36" s="20">
        <v>2.358803928667331</v>
      </c>
      <c r="AI36" s="20">
        <v>2.1941344234210889</v>
      </c>
      <c r="AJ36" s="20">
        <v>1.960803793746442</v>
      </c>
      <c r="AK36" s="20">
        <v>1.7149393441669001</v>
      </c>
    </row>
    <row r="37" spans="1:37" x14ac:dyDescent="0.25">
      <c r="A37" s="20" t="s">
        <v>1</v>
      </c>
      <c r="B37" s="20">
        <v>3.1982558270318999</v>
      </c>
      <c r="C37" s="20">
        <v>6.5972317189890139</v>
      </c>
      <c r="D37" s="20">
        <v>12.273815891798071</v>
      </c>
      <c r="E37" s="20">
        <v>21.274076317777869</v>
      </c>
      <c r="F37" s="20">
        <v>35.283551637487783</v>
      </c>
      <c r="G37" s="20">
        <v>57.030393032060708</v>
      </c>
      <c r="K37" s="20" t="s">
        <v>1</v>
      </c>
      <c r="L37" s="20">
        <v>3.1982558270318999</v>
      </c>
      <c r="M37" s="20">
        <v>6.5972317189890139</v>
      </c>
      <c r="N37" s="20">
        <v>12.275930300262919</v>
      </c>
      <c r="O37" s="20">
        <v>21.280883703420709</v>
      </c>
      <c r="P37" s="20">
        <v>35.285096802125153</v>
      </c>
      <c r="Q37" s="20">
        <v>57.0236445325868</v>
      </c>
      <c r="U37" s="20" t="s">
        <v>1</v>
      </c>
      <c r="V37" s="20">
        <v>3.1982558270318999</v>
      </c>
      <c r="W37" s="20">
        <v>6.5991899014093436</v>
      </c>
      <c r="X37" s="20">
        <v>12.27881626984172</v>
      </c>
      <c r="Y37" s="20">
        <v>21.275539074083081</v>
      </c>
      <c r="Z37" s="20">
        <v>35.281950659462233</v>
      </c>
      <c r="AA37" s="20">
        <v>57.016160311787708</v>
      </c>
      <c r="AE37" s="20" t="s">
        <v>1</v>
      </c>
      <c r="AF37" s="20">
        <v>3.1982558270318999</v>
      </c>
      <c r="AG37" s="20">
        <v>6.5972317189890139</v>
      </c>
      <c r="AH37" s="20">
        <v>12.278014561219541</v>
      </c>
      <c r="AI37" s="20">
        <v>21.28012872536895</v>
      </c>
      <c r="AJ37" s="20">
        <v>35.282958135770699</v>
      </c>
      <c r="AK37" s="20">
        <v>57.013387624548059</v>
      </c>
    </row>
    <row r="38" spans="1:37" x14ac:dyDescent="0.25">
      <c r="A38" s="20" t="s">
        <v>2</v>
      </c>
      <c r="B38" s="20">
        <v>5.3352969738263996</v>
      </c>
      <c r="C38" s="20">
        <v>8.9623605774532678</v>
      </c>
      <c r="D38" s="20">
        <v>14.63828743464482</v>
      </c>
      <c r="E38" s="20">
        <v>23.47948369119624</v>
      </c>
      <c r="F38" s="20">
        <v>37.254582341098441</v>
      </c>
      <c r="G38" s="20">
        <v>58.745234874479237</v>
      </c>
      <c r="K38" s="20" t="s">
        <v>2</v>
      </c>
      <c r="L38" s="20">
        <v>5.3352969738263996</v>
      </c>
      <c r="M38" s="20">
        <v>8.9623605774532678</v>
      </c>
      <c r="N38" s="20">
        <v>14.63754768856843</v>
      </c>
      <c r="O38" s="20">
        <v>23.475539396925949</v>
      </c>
      <c r="P38" s="20">
        <v>37.245709687168663</v>
      </c>
      <c r="Q38" s="20">
        <v>58.728853001530517</v>
      </c>
      <c r="U38" s="20" t="s">
        <v>2</v>
      </c>
      <c r="V38" s="20">
        <v>5.3352969738263996</v>
      </c>
      <c r="W38" s="20">
        <v>8.9616754885565868</v>
      </c>
      <c r="X38" s="20">
        <v>14.635090799022111</v>
      </c>
      <c r="Y38" s="20">
        <v>23.472219248527381</v>
      </c>
      <c r="Z38" s="20">
        <v>37.239796799350373</v>
      </c>
      <c r="AA38" s="20">
        <v>58.718980839765692</v>
      </c>
      <c r="AE38" s="20" t="s">
        <v>2</v>
      </c>
      <c r="AF38" s="20">
        <v>5.3352969738263996</v>
      </c>
      <c r="AG38" s="20">
        <v>8.9623605774532678</v>
      </c>
      <c r="AH38" s="20">
        <v>14.636818489886871</v>
      </c>
      <c r="AI38" s="20">
        <v>23.47426314879004</v>
      </c>
      <c r="AJ38" s="20">
        <v>37.243761929517142</v>
      </c>
      <c r="AK38" s="20">
        <v>58.72832696871496</v>
      </c>
    </row>
    <row r="39" spans="1:37" x14ac:dyDescent="0.25">
      <c r="A39" s="20" t="s">
        <v>3</v>
      </c>
      <c r="B39" s="20">
        <v>1.496581304402675</v>
      </c>
      <c r="C39" s="20">
        <v>2.7893751731027412</v>
      </c>
      <c r="D39" s="20">
        <v>5.1909340710528236</v>
      </c>
      <c r="E39" s="20">
        <v>9.6463250164994019</v>
      </c>
      <c r="F39" s="20">
        <v>17.901066468854602</v>
      </c>
      <c r="G39" s="20">
        <v>33.256940448588253</v>
      </c>
      <c r="K39" s="20" t="s">
        <v>3</v>
      </c>
      <c r="L39" s="20">
        <v>1.496581304402675</v>
      </c>
      <c r="M39" s="20">
        <v>2.7893751731027412</v>
      </c>
      <c r="N39" s="20">
        <v>5.198102944639591</v>
      </c>
      <c r="O39" s="20">
        <v>9.6966844350110808</v>
      </c>
      <c r="P39" s="20">
        <v>17.996972819722242</v>
      </c>
      <c r="Q39" s="20">
        <v>33.440864018174643</v>
      </c>
      <c r="U39" s="20" t="s">
        <v>3</v>
      </c>
      <c r="V39" s="20">
        <v>1.496581304402675</v>
      </c>
      <c r="W39" s="20">
        <v>2.793324935953589</v>
      </c>
      <c r="X39" s="20">
        <v>5.2111144596180834</v>
      </c>
      <c r="Y39" s="20">
        <v>9.6853148317165356</v>
      </c>
      <c r="Z39" s="20">
        <v>18.02079843796</v>
      </c>
      <c r="AA39" s="20">
        <v>33.483364438583479</v>
      </c>
      <c r="AE39" s="20" t="s">
        <v>3</v>
      </c>
      <c r="AF39" s="20">
        <v>1.496581304402675</v>
      </c>
      <c r="AG39" s="20">
        <v>2.7893751731027412</v>
      </c>
      <c r="AH39" s="20">
        <v>5.2051865829120976</v>
      </c>
      <c r="AI39" s="20">
        <v>9.6986440293794871</v>
      </c>
      <c r="AJ39" s="20">
        <v>17.99412988096924</v>
      </c>
      <c r="AK39" s="20">
        <v>33.245133606894179</v>
      </c>
    </row>
    <row r="40" spans="1:37" x14ac:dyDescent="0.25">
      <c r="A40" s="20" t="s">
        <v>18</v>
      </c>
      <c r="B40" s="20">
        <v>44533.81267978299</v>
      </c>
      <c r="C40" s="20">
        <v>109694.09059044671</v>
      </c>
      <c r="D40" s="20">
        <v>200717.50839750489</v>
      </c>
      <c r="E40" s="20">
        <v>310320.54182170308</v>
      </c>
      <c r="F40" s="20">
        <v>432048.19461095228</v>
      </c>
      <c r="G40" s="20">
        <v>564938.57863628573</v>
      </c>
      <c r="K40" s="20" t="s">
        <v>18</v>
      </c>
      <c r="L40" s="20">
        <v>44533.81267978299</v>
      </c>
      <c r="M40" s="20">
        <v>109694.09059044671</v>
      </c>
      <c r="N40" s="20">
        <v>201291.00295234181</v>
      </c>
      <c r="O40" s="20">
        <v>312103.75297874463</v>
      </c>
      <c r="P40" s="20">
        <v>436984.60608204338</v>
      </c>
      <c r="Q40" s="20">
        <v>575220.6404486713</v>
      </c>
      <c r="U40" s="20" t="s">
        <v>18</v>
      </c>
      <c r="V40" s="20">
        <v>44533.81267978299</v>
      </c>
      <c r="W40" s="20">
        <v>109998.5291920717</v>
      </c>
      <c r="X40" s="20">
        <v>201294.21517473421</v>
      </c>
      <c r="Y40" s="20">
        <v>312848.12745140941</v>
      </c>
      <c r="Z40" s="20">
        <v>439298.20846104249</v>
      </c>
      <c r="AA40" s="20">
        <v>578045.00165528245</v>
      </c>
      <c r="AE40" s="20" t="s">
        <v>18</v>
      </c>
      <c r="AF40" s="20">
        <v>44533.81267978299</v>
      </c>
      <c r="AG40" s="20">
        <v>109694.09059044671</v>
      </c>
      <c r="AH40" s="20">
        <v>201802.02048236891</v>
      </c>
      <c r="AI40" s="20">
        <v>314505.16006426449</v>
      </c>
      <c r="AJ40" s="20">
        <v>440453.14539247059</v>
      </c>
      <c r="AK40" s="20">
        <v>577000.98128180858</v>
      </c>
    </row>
    <row r="41" spans="1:37" x14ac:dyDescent="0.25">
      <c r="A41" s="20" t="s">
        <v>19</v>
      </c>
      <c r="B41" s="20">
        <v>59855.314921334641</v>
      </c>
      <c r="C41" s="20">
        <v>145588.021336493</v>
      </c>
      <c r="D41" s="20">
        <v>264075.46231411688</v>
      </c>
      <c r="E41" s="20">
        <v>406450.65149148571</v>
      </c>
      <c r="F41" s="20">
        <v>565886.70909268258</v>
      </c>
      <c r="G41" s="20">
        <v>743265.58516761567</v>
      </c>
      <c r="K41" s="20" t="s">
        <v>19</v>
      </c>
      <c r="L41" s="20">
        <v>59855.314921334641</v>
      </c>
      <c r="M41" s="20">
        <v>145588.021336493</v>
      </c>
      <c r="N41" s="20">
        <v>263646.28912114102</v>
      </c>
      <c r="O41" s="20">
        <v>405054.01599262317</v>
      </c>
      <c r="P41" s="20">
        <v>561789.83955390519</v>
      </c>
      <c r="Q41" s="20">
        <v>735941.53982055164</v>
      </c>
      <c r="U41" s="20" t="s">
        <v>19</v>
      </c>
      <c r="V41" s="20">
        <v>59855.314921334641</v>
      </c>
      <c r="W41" s="20">
        <v>145359.8458490179</v>
      </c>
      <c r="X41" s="20">
        <v>263650.49641556159</v>
      </c>
      <c r="Y41" s="20">
        <v>404119.15102981642</v>
      </c>
      <c r="Z41" s="20">
        <v>556518.43893110624</v>
      </c>
      <c r="AA41" s="20">
        <v>728603.10250313743</v>
      </c>
      <c r="AE41" s="20" t="s">
        <v>19</v>
      </c>
      <c r="AF41" s="20">
        <v>59855.314921334641</v>
      </c>
      <c r="AG41" s="20">
        <v>145588.021336493</v>
      </c>
      <c r="AH41" s="20">
        <v>263114.97514533828</v>
      </c>
      <c r="AI41" s="20">
        <v>400411.79894420091</v>
      </c>
      <c r="AJ41" s="20">
        <v>543702.38642127661</v>
      </c>
      <c r="AK41" s="20">
        <v>692812.95410519303</v>
      </c>
    </row>
    <row r="42" spans="1:37" x14ac:dyDescent="0.25">
      <c r="A42" s="20" t="s">
        <v>7</v>
      </c>
      <c r="B42" s="20">
        <v>16.019739999999999</v>
      </c>
      <c r="C42" s="20">
        <v>16.609369999999998</v>
      </c>
      <c r="D42" s="20">
        <v>16.96264</v>
      </c>
      <c r="E42" s="20">
        <v>17.221920000000001</v>
      </c>
      <c r="F42" s="20">
        <v>17.214169999999999</v>
      </c>
      <c r="G42" s="20">
        <v>17.119350000000001</v>
      </c>
      <c r="K42" s="20" t="s">
        <v>7</v>
      </c>
      <c r="L42" s="20">
        <v>16.019739999999999</v>
      </c>
      <c r="M42" s="20">
        <v>16.610320000000002</v>
      </c>
      <c r="N42" s="20">
        <v>17.204160000000002</v>
      </c>
      <c r="O42" s="20">
        <v>17.840479999999999</v>
      </c>
      <c r="P42" s="20">
        <v>18.162960000000002</v>
      </c>
      <c r="Q42" s="20">
        <v>18.315390000000001</v>
      </c>
      <c r="U42" s="20" t="s">
        <v>7</v>
      </c>
      <c r="V42" s="20">
        <v>16.019739999999999</v>
      </c>
      <c r="W42" s="20">
        <v>16.80425</v>
      </c>
      <c r="X42" s="20">
        <v>17.36627</v>
      </c>
      <c r="Y42" s="20">
        <v>17.966239999999999</v>
      </c>
      <c r="Z42" s="20">
        <v>18.792439999999999</v>
      </c>
      <c r="AA42" s="20">
        <v>19.200099999999999</v>
      </c>
      <c r="AE42" s="20" t="s">
        <v>7</v>
      </c>
      <c r="AF42" s="20">
        <v>16.019739999999999</v>
      </c>
      <c r="AG42" s="20">
        <v>16.511040000000001</v>
      </c>
      <c r="AH42" s="20">
        <v>17.407769999999999</v>
      </c>
      <c r="AI42" s="20">
        <v>18.60061</v>
      </c>
      <c r="AJ42" s="20">
        <v>19.922999999999998</v>
      </c>
      <c r="AK42" s="20">
        <v>21.237359999999999</v>
      </c>
    </row>
    <row r="43" spans="1:37" x14ac:dyDescent="0.25">
      <c r="A43" s="20" t="s">
        <v>52</v>
      </c>
      <c r="B43" s="20">
        <v>26.494167252</v>
      </c>
      <c r="C43" s="20">
        <v>27.012923726</v>
      </c>
      <c r="D43" s="20">
        <v>27.323730672</v>
      </c>
      <c r="E43" s="20">
        <v>27.551845216</v>
      </c>
      <c r="F43" s="20">
        <v>27.545026765999999</v>
      </c>
      <c r="G43" s="20">
        <v>27.461604130000001</v>
      </c>
      <c r="K43" s="20" t="s">
        <v>52</v>
      </c>
      <c r="L43" s="20">
        <v>26.494167252</v>
      </c>
      <c r="M43" s="20">
        <v>27.013759535999998</v>
      </c>
      <c r="N43" s="20">
        <v>27.536219968000001</v>
      </c>
      <c r="O43" s="20">
        <v>28.096054303999999</v>
      </c>
      <c r="P43" s="20">
        <v>28.379772207999999</v>
      </c>
      <c r="Q43" s="20">
        <v>28.513880122</v>
      </c>
      <c r="U43" s="20" t="s">
        <v>52</v>
      </c>
      <c r="V43" s="20">
        <v>26.494167252</v>
      </c>
      <c r="W43" s="20">
        <v>27.184379150000002</v>
      </c>
      <c r="X43" s="20">
        <v>27.678844346000002</v>
      </c>
      <c r="Y43" s="20">
        <v>28.206697951999999</v>
      </c>
      <c r="Z43" s="20">
        <v>28.933588711999999</v>
      </c>
      <c r="AA43" s="20">
        <v>29.292247979999999</v>
      </c>
      <c r="AE43" s="20" t="s">
        <v>52</v>
      </c>
      <c r="AF43" s="20">
        <v>26.494167252</v>
      </c>
      <c r="AG43" s="20">
        <v>26.926412991999999</v>
      </c>
      <c r="AH43" s="20">
        <v>27.715356046</v>
      </c>
      <c r="AI43" s="20">
        <v>28.764816677999999</v>
      </c>
      <c r="AJ43" s="20">
        <v>29.928255400000001</v>
      </c>
      <c r="AK43" s="20">
        <v>31.084629327999998</v>
      </c>
    </row>
    <row r="44" spans="1:37" x14ac:dyDescent="0.25">
      <c r="A44" s="20" t="s">
        <v>4</v>
      </c>
      <c r="B44" s="20">
        <v>0.86070797642505747</v>
      </c>
      <c r="C44" s="20">
        <v>0.88692043671715748</v>
      </c>
      <c r="D44" s="20">
        <v>0.90483741803595918</v>
      </c>
      <c r="E44" s="20">
        <v>0.91393118527122841</v>
      </c>
      <c r="F44" s="20">
        <v>0.91393118527122841</v>
      </c>
      <c r="G44" s="20">
        <v>0.91393118527122841</v>
      </c>
      <c r="K44" s="20" t="s">
        <v>4</v>
      </c>
      <c r="L44" s="20">
        <v>0.86070797642505747</v>
      </c>
      <c r="M44" s="20">
        <v>0.88692043671715748</v>
      </c>
      <c r="N44" s="20">
        <v>0.91393118527122841</v>
      </c>
      <c r="O44" s="20">
        <v>0.94176453358424828</v>
      </c>
      <c r="P44" s="20">
        <v>0.95122942450071424</v>
      </c>
      <c r="Q44" s="20">
        <v>0.96078943915232329</v>
      </c>
      <c r="U44" s="20" t="s">
        <v>4</v>
      </c>
      <c r="V44" s="20">
        <v>0.86070797642505747</v>
      </c>
      <c r="W44" s="20">
        <v>0.895834135296528</v>
      </c>
      <c r="X44" s="20">
        <v>0.92311634638663587</v>
      </c>
      <c r="Y44" s="20">
        <v>0.94176453358424828</v>
      </c>
      <c r="Z44" s="20">
        <v>0.97044553354850793</v>
      </c>
      <c r="AA44" s="20">
        <v>0.98019867330675492</v>
      </c>
      <c r="AE44" s="20" t="s">
        <v>4</v>
      </c>
      <c r="AF44" s="20">
        <v>0.86070797642505747</v>
      </c>
      <c r="AG44" s="20">
        <v>0.88692043671715748</v>
      </c>
      <c r="AH44" s="20">
        <v>0.92311634638663587</v>
      </c>
      <c r="AI44" s="20">
        <v>0.96078943915232329</v>
      </c>
      <c r="AJ44" s="20">
        <v>0.99004983374916744</v>
      </c>
      <c r="AK44" s="20">
        <v>1</v>
      </c>
    </row>
    <row r="45" spans="1:37" x14ac:dyDescent="0.25">
      <c r="A45" s="20" t="s">
        <v>5</v>
      </c>
      <c r="B45" s="20">
        <v>1</v>
      </c>
      <c r="C45" s="20">
        <v>1</v>
      </c>
      <c r="D45" s="20">
        <v>1</v>
      </c>
      <c r="E45" s="20">
        <v>1</v>
      </c>
      <c r="F45" s="20">
        <v>1</v>
      </c>
      <c r="G45" s="20">
        <v>1</v>
      </c>
      <c r="K45" s="20" t="s">
        <v>5</v>
      </c>
      <c r="L45" s="20">
        <v>1</v>
      </c>
      <c r="M45" s="20">
        <v>1</v>
      </c>
      <c r="N45" s="20">
        <v>1</v>
      </c>
      <c r="O45" s="20">
        <v>1</v>
      </c>
      <c r="P45" s="20">
        <v>1</v>
      </c>
      <c r="Q45" s="20">
        <v>1</v>
      </c>
      <c r="U45" s="20" t="s">
        <v>5</v>
      </c>
      <c r="V45" s="20">
        <v>1</v>
      </c>
      <c r="W45" s="20">
        <v>1</v>
      </c>
      <c r="X45" s="20">
        <v>1</v>
      </c>
      <c r="Y45" s="20">
        <v>1</v>
      </c>
      <c r="Z45" s="20">
        <v>1</v>
      </c>
      <c r="AA45" s="20">
        <v>1</v>
      </c>
      <c r="AE45" s="20" t="s">
        <v>5</v>
      </c>
      <c r="AF45" s="20">
        <v>1</v>
      </c>
      <c r="AG45" s="20">
        <v>1</v>
      </c>
      <c r="AH45" s="20">
        <v>1</v>
      </c>
      <c r="AI45" s="20">
        <v>1</v>
      </c>
      <c r="AJ45" s="20">
        <v>1</v>
      </c>
      <c r="AK45" s="20">
        <v>1</v>
      </c>
    </row>
    <row r="46" spans="1:37" x14ac:dyDescent="0.25">
      <c r="A46" s="20" t="s">
        <v>20</v>
      </c>
      <c r="B46" s="20">
        <v>1</v>
      </c>
      <c r="C46" s="20">
        <v>0.98300570279749855</v>
      </c>
      <c r="D46" s="20">
        <v>0.97451937357749729</v>
      </c>
      <c r="E46" s="20">
        <v>0.96966048781639314</v>
      </c>
      <c r="F46" s="20">
        <v>0.96966048781639314</v>
      </c>
      <c r="G46" s="20">
        <v>0.97451937357749729</v>
      </c>
      <c r="K46" s="20" t="s">
        <v>20</v>
      </c>
      <c r="L46" s="20">
        <v>1</v>
      </c>
      <c r="M46" s="20">
        <v>0.98300570279749855</v>
      </c>
      <c r="N46" s="20">
        <v>0.96966048781639314</v>
      </c>
      <c r="O46" s="20">
        <v>0.9587427485556127</v>
      </c>
      <c r="P46" s="20">
        <v>0.94627095271536965</v>
      </c>
      <c r="Q46" s="20">
        <v>0.93947441413050536</v>
      </c>
      <c r="U46" s="20" t="s">
        <v>20</v>
      </c>
      <c r="V46" s="20">
        <v>1</v>
      </c>
      <c r="W46" s="20">
        <v>0.97896909001135057</v>
      </c>
      <c r="X46" s="20">
        <v>0.96966048781639314</v>
      </c>
      <c r="Y46" s="20">
        <v>0.95269766517752652</v>
      </c>
      <c r="Z46" s="20">
        <v>0.92479939883583451</v>
      </c>
      <c r="AA46" s="20">
        <v>0.91693862656807257</v>
      </c>
      <c r="AE46" s="20" t="s">
        <v>20</v>
      </c>
      <c r="AF46" s="20">
        <v>1</v>
      </c>
      <c r="AG46" s="20">
        <v>0.98300570279749855</v>
      </c>
      <c r="AH46" s="20">
        <v>0.96439833420871968</v>
      </c>
      <c r="AI46" s="20">
        <v>0.93231395090361513</v>
      </c>
      <c r="AJ46" s="20">
        <v>0.88225365744265238</v>
      </c>
      <c r="AK46" s="20">
        <v>0.83241565308735976</v>
      </c>
    </row>
    <row r="47" spans="1:37" x14ac:dyDescent="0.25">
      <c r="A47" s="20" t="s">
        <v>21</v>
      </c>
      <c r="B47" s="20">
        <v>1</v>
      </c>
      <c r="C47" s="20">
        <v>0.99977488244563673</v>
      </c>
      <c r="D47" s="20">
        <v>0.99985329417805535</v>
      </c>
      <c r="E47" s="20">
        <v>0.99933476497980267</v>
      </c>
      <c r="F47" s="20">
        <v>0.99933476497980267</v>
      </c>
      <c r="G47" s="20">
        <v>0.99985329417805535</v>
      </c>
      <c r="K47" s="20" t="s">
        <v>21</v>
      </c>
      <c r="L47" s="20">
        <v>1</v>
      </c>
      <c r="M47" s="20">
        <v>0.99977488244563673</v>
      </c>
      <c r="N47" s="20">
        <v>0.99933476497980267</v>
      </c>
      <c r="O47" s="20">
        <v>0.99718729527581951</v>
      </c>
      <c r="P47" s="20">
        <v>0.99356517912022047</v>
      </c>
      <c r="Q47" s="20">
        <v>0.99120776832621305</v>
      </c>
      <c r="U47" s="20" t="s">
        <v>21</v>
      </c>
      <c r="V47" s="20">
        <v>1</v>
      </c>
      <c r="W47" s="20">
        <v>1</v>
      </c>
      <c r="X47" s="20">
        <v>0.99933476497980267</v>
      </c>
      <c r="Y47" s="20">
        <v>0.99556088418081246</v>
      </c>
      <c r="Z47" s="20">
        <v>0.98540782953795247</v>
      </c>
      <c r="AA47" s="20">
        <v>0.98197288977586894</v>
      </c>
      <c r="AE47" s="20" t="s">
        <v>21</v>
      </c>
      <c r="AF47" s="20">
        <v>1</v>
      </c>
      <c r="AG47" s="20">
        <v>0.99977488244563673</v>
      </c>
      <c r="AH47" s="20">
        <v>0.99844694181596516</v>
      </c>
      <c r="AI47" s="20">
        <v>0.98848865179879042</v>
      </c>
      <c r="AJ47" s="20">
        <v>0.96476277921532627</v>
      </c>
      <c r="AK47" s="20">
        <v>0.93581367348848743</v>
      </c>
    </row>
    <row r="48" spans="1:37" x14ac:dyDescent="0.25">
      <c r="A48" s="20" t="s">
        <v>10</v>
      </c>
      <c r="B48" s="20">
        <v>0.9608349778317743</v>
      </c>
      <c r="C48" s="20">
        <v>0.14076751777771179</v>
      </c>
      <c r="D48" s="20">
        <v>1.7799546773100181E-2</v>
      </c>
      <c r="E48" s="20">
        <v>1.9016854252939201E-3</v>
      </c>
      <c r="F48" s="20">
        <v>1.8296364940948879E-4</v>
      </c>
      <c r="G48" s="20">
        <v>1.653249190419131E-5</v>
      </c>
      <c r="K48" s="20" t="s">
        <v>10</v>
      </c>
      <c r="L48" s="20">
        <v>0.9608349778317743</v>
      </c>
      <c r="M48" s="20">
        <v>0.14076751777771179</v>
      </c>
      <c r="N48" s="20">
        <v>1.7850404036297771E-2</v>
      </c>
      <c r="O48" s="20">
        <v>1.9126131796979959E-3</v>
      </c>
      <c r="P48" s="20">
        <v>1.8505411956768719E-4</v>
      </c>
      <c r="Q48" s="20">
        <v>1.683338851507951E-5</v>
      </c>
      <c r="U48" s="20" t="s">
        <v>10</v>
      </c>
      <c r="V48" s="20">
        <v>0.9608349778317743</v>
      </c>
      <c r="W48" s="20">
        <v>0.14115819576260419</v>
      </c>
      <c r="X48" s="20">
        <v>1.785068889486929E-2</v>
      </c>
      <c r="Y48" s="20">
        <v>1.917174805162162E-3</v>
      </c>
      <c r="Z48" s="20">
        <v>1.8603388326031249E-4</v>
      </c>
      <c r="AA48" s="20">
        <v>1.691604126804874E-5</v>
      </c>
      <c r="AE48" s="20" t="s">
        <v>10</v>
      </c>
      <c r="AF48" s="20">
        <v>0.9608349778317743</v>
      </c>
      <c r="AG48" s="20">
        <v>0.14076751777771179</v>
      </c>
      <c r="AH48" s="20">
        <v>1.7895720862419279E-2</v>
      </c>
      <c r="AI48" s="20">
        <v>1.927329320717608E-3</v>
      </c>
      <c r="AJ48" s="20">
        <v>1.865229756311351E-4</v>
      </c>
      <c r="AK48" s="20">
        <v>1.6885488816817791E-5</v>
      </c>
    </row>
    <row r="49" spans="1:37" x14ac:dyDescent="0.25">
      <c r="A49" s="20" t="s">
        <v>12</v>
      </c>
      <c r="B49" s="20">
        <v>0.87335037830633655</v>
      </c>
      <c r="C49" s="20">
        <v>1.7409406284794151</v>
      </c>
      <c r="D49" s="20">
        <v>2.5879679286686419</v>
      </c>
      <c r="E49" s="20">
        <v>3.2644587833509009</v>
      </c>
      <c r="F49" s="20">
        <v>3.724820799907449</v>
      </c>
      <c r="G49" s="20">
        <v>4.0095205045802036</v>
      </c>
      <c r="K49" s="20" t="s">
        <v>12</v>
      </c>
      <c r="L49" s="20">
        <v>0.87335037830633655</v>
      </c>
      <c r="M49" s="20">
        <v>1.7409406284794151</v>
      </c>
      <c r="N49" s="20">
        <v>2.5837619852253062</v>
      </c>
      <c r="O49" s="20">
        <v>3.2532415322413968</v>
      </c>
      <c r="P49" s="20">
        <v>3.6978540862042539</v>
      </c>
      <c r="Q49" s="20">
        <v>3.9700111951468799</v>
      </c>
      <c r="U49" s="20" t="s">
        <v>12</v>
      </c>
      <c r="V49" s="20">
        <v>0.87335037830633655</v>
      </c>
      <c r="W49" s="20">
        <v>1.7382121074587851</v>
      </c>
      <c r="X49" s="20">
        <v>2.5838032171630689</v>
      </c>
      <c r="Y49" s="20">
        <v>3.2457330484245239</v>
      </c>
      <c r="Z49" s="20">
        <v>3.663156288272353</v>
      </c>
      <c r="AA49" s="20">
        <v>3.93042424872703</v>
      </c>
      <c r="AE49" s="20" t="s">
        <v>12</v>
      </c>
      <c r="AF49" s="20">
        <v>0.87335037830633655</v>
      </c>
      <c r="AG49" s="20">
        <v>1.7409406284794151</v>
      </c>
      <c r="AH49" s="20">
        <v>2.5785550511263131</v>
      </c>
      <c r="AI49" s="20">
        <v>3.2159569906560068</v>
      </c>
      <c r="AJ49" s="20">
        <v>3.5787975320155399</v>
      </c>
      <c r="AK49" s="20">
        <v>3.737355530455666</v>
      </c>
    </row>
    <row r="50" spans="1:37" x14ac:dyDescent="0.25">
      <c r="A50" s="20" t="s">
        <v>11</v>
      </c>
      <c r="B50" s="20">
        <v>98314.918069602179</v>
      </c>
      <c r="C50" s="20">
        <v>1811722.275243432</v>
      </c>
      <c r="D50" s="20">
        <v>25983693.339934569</v>
      </c>
      <c r="E50" s="20">
        <v>348963792.57052338</v>
      </c>
      <c r="F50" s="20">
        <v>4513157286.1587753</v>
      </c>
      <c r="G50" s="20">
        <v>57105437539.063019</v>
      </c>
      <c r="K50" s="20" t="s">
        <v>11</v>
      </c>
      <c r="L50" s="20">
        <v>98314.918069602179</v>
      </c>
      <c r="M50" s="20">
        <v>1811722.275243432</v>
      </c>
      <c r="N50" s="20">
        <v>25822931.91040631</v>
      </c>
      <c r="O50" s="20">
        <v>343352595.79559457</v>
      </c>
      <c r="P50" s="20">
        <v>4381015018.1798458</v>
      </c>
      <c r="Q50" s="20">
        <v>54742591387.860153</v>
      </c>
      <c r="U50" s="20" t="s">
        <v>11</v>
      </c>
      <c r="V50" s="20">
        <v>98314.918069602179</v>
      </c>
      <c r="W50" s="20">
        <v>1802266.1534887271</v>
      </c>
      <c r="X50" s="20">
        <v>25764510.809647981</v>
      </c>
      <c r="Y50" s="20">
        <v>341502414.15781212</v>
      </c>
      <c r="Z50" s="20">
        <v>4275564657.468925</v>
      </c>
      <c r="AA50" s="20">
        <v>53354623463.137306</v>
      </c>
      <c r="AE50" s="20" t="s">
        <v>11</v>
      </c>
      <c r="AF50" s="20">
        <v>98314.918069602179</v>
      </c>
      <c r="AG50" s="20">
        <v>1811722.275243432</v>
      </c>
      <c r="AH50" s="20">
        <v>25652199.40150794</v>
      </c>
      <c r="AI50" s="20">
        <v>333808399.78414792</v>
      </c>
      <c r="AJ50" s="20">
        <v>4085027518.6146088</v>
      </c>
      <c r="AK50" s="20">
        <v>48781136757.068802</v>
      </c>
    </row>
    <row r="51" spans="1:37" x14ac:dyDescent="0.25">
      <c r="A51" s="20" t="s">
        <v>13</v>
      </c>
      <c r="B51" s="20">
        <v>218508.64558133611</v>
      </c>
      <c r="C51" s="20">
        <v>551576.35827365937</v>
      </c>
      <c r="D51" s="20">
        <v>1252232.7132337899</v>
      </c>
      <c r="E51" s="20">
        <v>2647026.8296155441</v>
      </c>
      <c r="F51" s="20">
        <v>5356824.2830403382</v>
      </c>
      <c r="G51" s="20">
        <v>10570468.395822009</v>
      </c>
      <c r="K51" s="20" t="s">
        <v>13</v>
      </c>
      <c r="L51" s="20">
        <v>218508.64558133611</v>
      </c>
      <c r="M51" s="20">
        <v>551576.35827365937</v>
      </c>
      <c r="N51" s="20">
        <v>1251798.908807527</v>
      </c>
      <c r="O51" s="20">
        <v>2642183.8244921281</v>
      </c>
      <c r="P51" s="20">
        <v>5326130.287338309</v>
      </c>
      <c r="Q51" s="20">
        <v>10477827.723845011</v>
      </c>
      <c r="U51" s="20" t="s">
        <v>13</v>
      </c>
      <c r="V51" s="20">
        <v>218508.64558133611</v>
      </c>
      <c r="W51" s="20">
        <v>551864.31085194973</v>
      </c>
      <c r="X51" s="20">
        <v>1252093.1963671029</v>
      </c>
      <c r="Y51" s="20">
        <v>2637211.9321862669</v>
      </c>
      <c r="Z51" s="20">
        <v>5281930.7982297866</v>
      </c>
      <c r="AA51" s="20">
        <v>10378845.58361263</v>
      </c>
      <c r="AE51" s="20" t="s">
        <v>13</v>
      </c>
      <c r="AF51" s="20">
        <v>218508.64558133611</v>
      </c>
      <c r="AG51" s="20">
        <v>551576.35827365937</v>
      </c>
      <c r="AH51" s="20">
        <v>1250899.1399767781</v>
      </c>
      <c r="AI51" s="20">
        <v>2619042.6629021191</v>
      </c>
      <c r="AJ51" s="20">
        <v>5171417.9598145625</v>
      </c>
      <c r="AK51" s="20">
        <v>9890490.2445214521</v>
      </c>
    </row>
    <row r="52" spans="1:37" x14ac:dyDescent="0.25">
      <c r="A52" s="20" t="s">
        <v>22</v>
      </c>
      <c r="B52" s="20">
        <v>18427.262540756401</v>
      </c>
      <c r="C52" s="20">
        <v>81359.815569567771</v>
      </c>
      <c r="D52" s="20">
        <v>151789.7260545496</v>
      </c>
      <c r="E52" s="20">
        <v>237775.14355171609</v>
      </c>
      <c r="F52" s="20">
        <v>334653.39723478322</v>
      </c>
      <c r="G52" s="20">
        <v>442520.36835778481</v>
      </c>
      <c r="K52" s="20" t="s">
        <v>22</v>
      </c>
      <c r="L52" s="20">
        <v>18427.262540756401</v>
      </c>
      <c r="M52" s="20">
        <v>81359.815569567771</v>
      </c>
      <c r="N52" s="20">
        <v>151472.1023089916</v>
      </c>
      <c r="O52" s="20">
        <v>236476.68402118879</v>
      </c>
      <c r="P52" s="20">
        <v>330335.6713445583</v>
      </c>
      <c r="Q52" s="20">
        <v>434388.83445448207</v>
      </c>
      <c r="U52" s="20" t="s">
        <v>22</v>
      </c>
      <c r="V52" s="20">
        <v>18427.262540756401</v>
      </c>
      <c r="W52" s="20">
        <v>81256.805171588319</v>
      </c>
      <c r="X52" s="20">
        <v>151488.36778790879</v>
      </c>
      <c r="Y52" s="20">
        <v>235539.86908758039</v>
      </c>
      <c r="Z52" s="20">
        <v>324555.01337965002</v>
      </c>
      <c r="AA52" s="20">
        <v>426054.55447275977</v>
      </c>
      <c r="AE52" s="20" t="s">
        <v>22</v>
      </c>
      <c r="AF52" s="20">
        <v>18427.262540756401</v>
      </c>
      <c r="AG52" s="20">
        <v>81359.815569567771</v>
      </c>
      <c r="AH52" s="20">
        <v>151040.07329375579</v>
      </c>
      <c r="AI52" s="20">
        <v>231728.35422847781</v>
      </c>
      <c r="AJ52" s="20">
        <v>310431.73387874931</v>
      </c>
      <c r="AK52" s="20">
        <v>386062.13087180041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AK5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20"/>
  </cols>
  <sheetData>
    <row r="1" spans="1:37" x14ac:dyDescent="0.25">
      <c r="A1" s="20" t="s">
        <v>49</v>
      </c>
      <c r="B1" s="20" t="s">
        <v>59</v>
      </c>
    </row>
    <row r="2" spans="1:37" x14ac:dyDescent="0.25">
      <c r="A2" s="20" t="s">
        <v>33</v>
      </c>
      <c r="B2" s="20">
        <v>0.27500000000000002</v>
      </c>
    </row>
    <row r="3" spans="1:37" x14ac:dyDescent="0.25">
      <c r="A3" s="20" t="s">
        <v>14</v>
      </c>
      <c r="B3" s="20">
        <v>0.75</v>
      </c>
    </row>
    <row r="4" spans="1:37" x14ac:dyDescent="0.25">
      <c r="A4" s="20" t="s">
        <v>23</v>
      </c>
      <c r="B4" s="20">
        <v>0.4</v>
      </c>
    </row>
    <row r="5" spans="1:37" x14ac:dyDescent="0.25">
      <c r="A5" s="20" t="s">
        <v>16</v>
      </c>
      <c r="B5" s="20">
        <v>0.1893549842288946</v>
      </c>
    </row>
    <row r="6" spans="1:37" x14ac:dyDescent="0.25">
      <c r="A6" s="20" t="s">
        <v>17</v>
      </c>
      <c r="B6" s="20">
        <v>0.2556026411779832</v>
      </c>
    </row>
    <row r="7" spans="1:37" x14ac:dyDescent="0.25">
      <c r="A7" s="20" t="s">
        <v>15</v>
      </c>
      <c r="B7" s="20">
        <v>2000</v>
      </c>
      <c r="C7" s="20">
        <v>2020</v>
      </c>
      <c r="D7" s="20">
        <v>2040</v>
      </c>
      <c r="E7" s="20">
        <v>2060</v>
      </c>
      <c r="F7" s="20">
        <v>2080</v>
      </c>
      <c r="G7" s="20">
        <v>2100</v>
      </c>
      <c r="K7" s="20" t="s">
        <v>15</v>
      </c>
      <c r="L7" s="20">
        <v>2000</v>
      </c>
      <c r="M7" s="20">
        <v>2020</v>
      </c>
      <c r="N7" s="20">
        <v>2040</v>
      </c>
      <c r="O7" s="20">
        <v>2060</v>
      </c>
      <c r="P7" s="20">
        <v>2080</v>
      </c>
      <c r="Q7" s="20">
        <v>2100</v>
      </c>
      <c r="U7" s="20" t="s">
        <v>15</v>
      </c>
      <c r="V7" s="20">
        <v>2000</v>
      </c>
      <c r="W7" s="20">
        <v>2020</v>
      </c>
      <c r="X7" s="20">
        <v>2040</v>
      </c>
      <c r="Y7" s="20">
        <v>2060</v>
      </c>
      <c r="Z7" s="20">
        <v>2080</v>
      </c>
      <c r="AA7" s="20">
        <v>2100</v>
      </c>
      <c r="AE7" s="20" t="s">
        <v>15</v>
      </c>
      <c r="AF7" s="20">
        <v>2000</v>
      </c>
      <c r="AG7" s="20">
        <v>2020</v>
      </c>
      <c r="AH7" s="20">
        <v>2040</v>
      </c>
      <c r="AI7" s="20">
        <v>2060</v>
      </c>
      <c r="AJ7" s="20">
        <v>2080</v>
      </c>
      <c r="AK7" s="20">
        <v>2100</v>
      </c>
    </row>
    <row r="8" spans="1:37" x14ac:dyDescent="0.25">
      <c r="A8" s="20" t="s">
        <v>11</v>
      </c>
      <c r="B8" s="20">
        <v>37969.680209174563</v>
      </c>
      <c r="C8" s="20">
        <v>628775.50252712914</v>
      </c>
      <c r="D8" s="20">
        <v>9124344.632216081</v>
      </c>
      <c r="E8" s="20">
        <v>123392756.43840639</v>
      </c>
      <c r="F8" s="20">
        <v>1596583310.558887</v>
      </c>
      <c r="G8" s="20">
        <v>20128406702.26202</v>
      </c>
      <c r="K8" s="20" t="s">
        <v>11</v>
      </c>
      <c r="L8" s="20">
        <v>37969.680209174563</v>
      </c>
      <c r="M8" s="20">
        <v>628775.50252712914</v>
      </c>
      <c r="N8" s="20">
        <v>9124344.632216081</v>
      </c>
      <c r="O8" s="20">
        <v>123392756.43840639</v>
      </c>
      <c r="P8" s="20">
        <v>1596583310.558887</v>
      </c>
      <c r="Q8" s="20">
        <v>20128406702.26202</v>
      </c>
      <c r="U8" s="20" t="s">
        <v>11</v>
      </c>
      <c r="V8" s="20">
        <v>37969.680209174563</v>
      </c>
      <c r="W8" s="20">
        <v>628775.50252712914</v>
      </c>
      <c r="X8" s="20">
        <v>9124344.632216081</v>
      </c>
      <c r="Y8" s="20">
        <v>123392756.43840639</v>
      </c>
      <c r="Z8" s="20">
        <v>1596583310.558887</v>
      </c>
      <c r="AA8" s="20">
        <v>20128406702.26202</v>
      </c>
      <c r="AE8" s="20" t="s">
        <v>11</v>
      </c>
      <c r="AF8" s="20">
        <v>37969.680209174563</v>
      </c>
      <c r="AG8" s="20">
        <v>628775.50252712914</v>
      </c>
      <c r="AH8" s="20">
        <v>9124344.632216081</v>
      </c>
      <c r="AI8" s="20">
        <v>123392756.43840639</v>
      </c>
      <c r="AJ8" s="20">
        <v>1596583310.558887</v>
      </c>
      <c r="AK8" s="20">
        <v>20128406702.26202</v>
      </c>
    </row>
    <row r="9" spans="1:37" x14ac:dyDescent="0.25">
      <c r="A9" s="20" t="s">
        <v>13</v>
      </c>
      <c r="B9" s="20">
        <v>84389.058736635779</v>
      </c>
      <c r="C9" s="20">
        <v>212209.55685008591</v>
      </c>
      <c r="D9" s="20">
        <v>481858.98603664187</v>
      </c>
      <c r="E9" s="20">
        <v>1019663.5723219489</v>
      </c>
      <c r="F9" s="20">
        <v>2064466.215060795</v>
      </c>
      <c r="G9" s="20">
        <v>4072626.194802749</v>
      </c>
      <c r="K9" s="20" t="s">
        <v>13</v>
      </c>
      <c r="L9" s="20">
        <v>84389.058736635779</v>
      </c>
      <c r="M9" s="20">
        <v>212209.55685008591</v>
      </c>
      <c r="N9" s="20">
        <v>481858.98603664187</v>
      </c>
      <c r="O9" s="20">
        <v>1019663.5723219489</v>
      </c>
      <c r="P9" s="20">
        <v>2064466.215060795</v>
      </c>
      <c r="Q9" s="20">
        <v>4072626.194802749</v>
      </c>
      <c r="U9" s="20" t="s">
        <v>13</v>
      </c>
      <c r="V9" s="20">
        <v>84389.058736635779</v>
      </c>
      <c r="W9" s="20">
        <v>212209.55685008591</v>
      </c>
      <c r="X9" s="20">
        <v>481858.98603664187</v>
      </c>
      <c r="Y9" s="20">
        <v>1019663.5723219489</v>
      </c>
      <c r="Z9" s="20">
        <v>2064466.215060795</v>
      </c>
      <c r="AA9" s="20">
        <v>4072626.194802749</v>
      </c>
      <c r="AE9" s="20" t="s">
        <v>13</v>
      </c>
      <c r="AF9" s="20">
        <v>84389.058736635779</v>
      </c>
      <c r="AG9" s="20">
        <v>212209.55685008591</v>
      </c>
      <c r="AH9" s="20">
        <v>481858.98603664187</v>
      </c>
      <c r="AI9" s="20">
        <v>1019663.5723219489</v>
      </c>
      <c r="AJ9" s="20">
        <v>2064466.215060795</v>
      </c>
      <c r="AK9" s="20">
        <v>4072626.194802749</v>
      </c>
    </row>
    <row r="10" spans="1:37" x14ac:dyDescent="0.25">
      <c r="A10" s="20" t="s">
        <v>51</v>
      </c>
      <c r="B10" s="20">
        <v>66273.9254716</v>
      </c>
      <c r="C10" s="20">
        <v>269099.93327886891</v>
      </c>
      <c r="D10" s="20">
        <v>832242.62991389912</v>
      </c>
      <c r="E10" s="20">
        <v>2109939.835179253</v>
      </c>
      <c r="F10" s="20">
        <v>4731086.6213628966</v>
      </c>
      <c r="G10" s="20">
        <v>9875579.0157334059</v>
      </c>
      <c r="K10" s="20" t="s">
        <v>51</v>
      </c>
      <c r="L10" s="20">
        <v>66273.9254716</v>
      </c>
      <c r="M10" s="20">
        <v>269099.93327886891</v>
      </c>
      <c r="N10" s="20">
        <v>832242.62991389912</v>
      </c>
      <c r="O10" s="20">
        <v>2109939.835179253</v>
      </c>
      <c r="P10" s="20">
        <v>4731086.6213628966</v>
      </c>
      <c r="Q10" s="20">
        <v>9875579.0157334059</v>
      </c>
      <c r="U10" s="20" t="s">
        <v>51</v>
      </c>
      <c r="V10" s="20">
        <v>66273.9254716</v>
      </c>
      <c r="W10" s="20">
        <v>269099.93327886891</v>
      </c>
      <c r="X10" s="20">
        <v>832242.62991389912</v>
      </c>
      <c r="Y10" s="20">
        <v>2109939.835179253</v>
      </c>
      <c r="Z10" s="20">
        <v>4731086.6213628966</v>
      </c>
      <c r="AA10" s="20">
        <v>9875579.0157334059</v>
      </c>
      <c r="AE10" s="20" t="s">
        <v>51</v>
      </c>
      <c r="AF10" s="20">
        <v>66273.9254716</v>
      </c>
      <c r="AG10" s="20">
        <v>269099.93327886891</v>
      </c>
      <c r="AH10" s="20">
        <v>832242.62991389912</v>
      </c>
      <c r="AI10" s="20">
        <v>2109939.835179253</v>
      </c>
      <c r="AJ10" s="20">
        <v>4731086.6213628966</v>
      </c>
      <c r="AK10" s="20">
        <v>9875579.0157334059</v>
      </c>
    </row>
    <row r="11" spans="1:37" x14ac:dyDescent="0.25">
      <c r="A11" s="20" t="s">
        <v>0</v>
      </c>
      <c r="B11" s="20">
        <v>0.82533526478849994</v>
      </c>
      <c r="C11" s="20">
        <v>0.91656803520009766</v>
      </c>
      <c r="D11" s="20">
        <v>0.91912640151194525</v>
      </c>
      <c r="E11" s="20">
        <v>0.85894962210093528</v>
      </c>
      <c r="F11" s="20">
        <v>0.76802273908891994</v>
      </c>
      <c r="G11" s="20">
        <v>0.66910820976834895</v>
      </c>
      <c r="K11" s="20" t="s">
        <v>0</v>
      </c>
      <c r="L11" s="20">
        <v>0.82533526478849994</v>
      </c>
      <c r="M11" s="20">
        <v>0.91656803520009766</v>
      </c>
      <c r="N11" s="20">
        <v>0.91912640151194525</v>
      </c>
      <c r="O11" s="20">
        <v>0.85894962210093528</v>
      </c>
      <c r="P11" s="20">
        <v>0.76802273908891994</v>
      </c>
      <c r="Q11" s="20">
        <v>0.66910820976834895</v>
      </c>
      <c r="U11" s="20" t="s">
        <v>0</v>
      </c>
      <c r="V11" s="20">
        <v>0.82533526478849994</v>
      </c>
      <c r="W11" s="20">
        <v>0.91656803520009766</v>
      </c>
      <c r="X11" s="20">
        <v>0.91912640151194525</v>
      </c>
      <c r="Y11" s="20">
        <v>0.85894962210093528</v>
      </c>
      <c r="Z11" s="20">
        <v>0.76802273908891994</v>
      </c>
      <c r="AA11" s="20">
        <v>0.66910820976834895</v>
      </c>
      <c r="AE11" s="20" t="s">
        <v>0</v>
      </c>
      <c r="AF11" s="20">
        <v>0.82533526478849994</v>
      </c>
      <c r="AG11" s="20">
        <v>0.91656803520009766</v>
      </c>
      <c r="AH11" s="20">
        <v>0.91912640151194525</v>
      </c>
      <c r="AI11" s="20">
        <v>0.85894962210093528</v>
      </c>
      <c r="AJ11" s="20">
        <v>0.76802273908891994</v>
      </c>
      <c r="AK11" s="20">
        <v>0.66910820976834895</v>
      </c>
    </row>
    <row r="12" spans="1:37" x14ac:dyDescent="0.25">
      <c r="A12" s="20" t="s">
        <v>1</v>
      </c>
      <c r="B12" s="20">
        <v>1.2351813271467</v>
      </c>
      <c r="C12" s="20">
        <v>2.545552377414563</v>
      </c>
      <c r="D12" s="20">
        <v>4.7370676382803527</v>
      </c>
      <c r="E12" s="20">
        <v>8.215217237557459</v>
      </c>
      <c r="F12" s="20">
        <v>13.63146246908134</v>
      </c>
      <c r="G12" s="20">
        <v>22.038485528940669</v>
      </c>
      <c r="K12" s="20" t="s">
        <v>1</v>
      </c>
      <c r="L12" s="20">
        <v>1.2351813271467</v>
      </c>
      <c r="M12" s="20">
        <v>2.545552377414563</v>
      </c>
      <c r="N12" s="20">
        <v>4.7370676382803527</v>
      </c>
      <c r="O12" s="20">
        <v>8.215217237557459</v>
      </c>
      <c r="P12" s="20">
        <v>13.63146246908134</v>
      </c>
      <c r="Q12" s="20">
        <v>22.038485528940669</v>
      </c>
      <c r="U12" s="20" t="s">
        <v>1</v>
      </c>
      <c r="V12" s="20">
        <v>1.2351813271467</v>
      </c>
      <c r="W12" s="20">
        <v>2.545552377414563</v>
      </c>
      <c r="X12" s="20">
        <v>4.7370676382803527</v>
      </c>
      <c r="Y12" s="20">
        <v>8.215217237557459</v>
      </c>
      <c r="Z12" s="20">
        <v>13.63146246908134</v>
      </c>
      <c r="AA12" s="20">
        <v>22.038485528940669</v>
      </c>
      <c r="AE12" s="20" t="s">
        <v>1</v>
      </c>
      <c r="AF12" s="20">
        <v>1.2351813271467</v>
      </c>
      <c r="AG12" s="20">
        <v>2.545552377414563</v>
      </c>
      <c r="AH12" s="20">
        <v>4.7370676382803527</v>
      </c>
      <c r="AI12" s="20">
        <v>8.215217237557459</v>
      </c>
      <c r="AJ12" s="20">
        <v>13.63146246908134</v>
      </c>
      <c r="AK12" s="20">
        <v>22.038485528940669</v>
      </c>
    </row>
    <row r="13" spans="1:37" x14ac:dyDescent="0.25">
      <c r="A13" s="20" t="s">
        <v>2</v>
      </c>
      <c r="B13" s="20">
        <v>2.0605165919352002</v>
      </c>
      <c r="C13" s="20">
        <v>3.4621204126146612</v>
      </c>
      <c r="D13" s="20">
        <v>5.6561940397922976</v>
      </c>
      <c r="E13" s="20">
        <v>9.0741668596583942</v>
      </c>
      <c r="F13" s="20">
        <v>14.39948520817026</v>
      </c>
      <c r="G13" s="20">
        <v>22.707593738709011</v>
      </c>
      <c r="K13" s="20" t="s">
        <v>2</v>
      </c>
      <c r="L13" s="20">
        <v>2.0605165919352002</v>
      </c>
      <c r="M13" s="20">
        <v>3.4621204126146612</v>
      </c>
      <c r="N13" s="20">
        <v>5.6561940397922976</v>
      </c>
      <c r="O13" s="20">
        <v>9.0741668596583942</v>
      </c>
      <c r="P13" s="20">
        <v>14.39948520817026</v>
      </c>
      <c r="Q13" s="20">
        <v>22.707593738709011</v>
      </c>
      <c r="U13" s="20" t="s">
        <v>2</v>
      </c>
      <c r="V13" s="20">
        <v>2.0605165919352002</v>
      </c>
      <c r="W13" s="20">
        <v>3.4621204126146612</v>
      </c>
      <c r="X13" s="20">
        <v>5.6561940397922976</v>
      </c>
      <c r="Y13" s="20">
        <v>9.0741668596583942</v>
      </c>
      <c r="Z13" s="20">
        <v>14.39948520817026</v>
      </c>
      <c r="AA13" s="20">
        <v>22.707593738709011</v>
      </c>
      <c r="AE13" s="20" t="s">
        <v>2</v>
      </c>
      <c r="AF13" s="20">
        <v>2.0605165919352002</v>
      </c>
      <c r="AG13" s="20">
        <v>3.4621204126146612</v>
      </c>
      <c r="AH13" s="20">
        <v>5.6561940397922976</v>
      </c>
      <c r="AI13" s="20">
        <v>9.0741668596583942</v>
      </c>
      <c r="AJ13" s="20">
        <v>14.39948520817026</v>
      </c>
      <c r="AK13" s="20">
        <v>22.707593738709011</v>
      </c>
    </row>
    <row r="14" spans="1:37" x14ac:dyDescent="0.25">
      <c r="A14" s="20" t="s">
        <v>3</v>
      </c>
      <c r="B14" s="20">
        <v>1.496581304402675</v>
      </c>
      <c r="C14" s="20">
        <v>2.777265057971217</v>
      </c>
      <c r="D14" s="20">
        <v>5.1538805005361263</v>
      </c>
      <c r="E14" s="20">
        <v>9.5642596797045769</v>
      </c>
      <c r="F14" s="20">
        <v>17.748774580882721</v>
      </c>
      <c r="G14" s="20">
        <v>32.937102261188187</v>
      </c>
      <c r="K14" s="20" t="s">
        <v>3</v>
      </c>
      <c r="L14" s="20">
        <v>1.496581304402675</v>
      </c>
      <c r="M14" s="20">
        <v>2.777265057971217</v>
      </c>
      <c r="N14" s="20">
        <v>5.1538805005361263</v>
      </c>
      <c r="O14" s="20">
        <v>9.5642596797045769</v>
      </c>
      <c r="P14" s="20">
        <v>17.748774580882721</v>
      </c>
      <c r="Q14" s="20">
        <v>32.937102261188187</v>
      </c>
      <c r="U14" s="20" t="s">
        <v>3</v>
      </c>
      <c r="V14" s="20">
        <v>1.496581304402675</v>
      </c>
      <c r="W14" s="20">
        <v>2.777265057971217</v>
      </c>
      <c r="X14" s="20">
        <v>5.1538805005361263</v>
      </c>
      <c r="Y14" s="20">
        <v>9.5642596797045769</v>
      </c>
      <c r="Z14" s="20">
        <v>17.748774580882721</v>
      </c>
      <c r="AA14" s="20">
        <v>32.937102261188187</v>
      </c>
      <c r="AE14" s="20" t="s">
        <v>3</v>
      </c>
      <c r="AF14" s="20">
        <v>1.496581304402675</v>
      </c>
      <c r="AG14" s="20">
        <v>2.777265057971217</v>
      </c>
      <c r="AH14" s="20">
        <v>5.1538805005361263</v>
      </c>
      <c r="AI14" s="20">
        <v>9.5642596797045769</v>
      </c>
      <c r="AJ14" s="20">
        <v>17.748774580882721</v>
      </c>
      <c r="AK14" s="20">
        <v>32.937102261188187</v>
      </c>
    </row>
    <row r="15" spans="1:37" x14ac:dyDescent="0.25">
      <c r="A15" s="20" t="s">
        <v>18</v>
      </c>
      <c r="B15" s="20">
        <v>46414.168855270647</v>
      </c>
      <c r="C15" s="20">
        <v>110519.97821770579</v>
      </c>
      <c r="D15" s="20">
        <v>203428.17633565419</v>
      </c>
      <c r="E15" s="20">
        <v>315681.46857163479</v>
      </c>
      <c r="F15" s="20">
        <v>441222.3009654975</v>
      </c>
      <c r="G15" s="20">
        <v>580388.66046277736</v>
      </c>
      <c r="K15" s="20" t="s">
        <v>18</v>
      </c>
      <c r="L15" s="20">
        <v>46414.168855270647</v>
      </c>
      <c r="M15" s="20">
        <v>110519.97821770579</v>
      </c>
      <c r="N15" s="20">
        <v>203428.17633565419</v>
      </c>
      <c r="O15" s="20">
        <v>315681.46857163479</v>
      </c>
      <c r="P15" s="20">
        <v>441222.3009654975</v>
      </c>
      <c r="Q15" s="20">
        <v>580388.66046277736</v>
      </c>
      <c r="U15" s="20" t="s">
        <v>18</v>
      </c>
      <c r="V15" s="20">
        <v>46414.168855270647</v>
      </c>
      <c r="W15" s="20">
        <v>110519.97821770579</v>
      </c>
      <c r="X15" s="20">
        <v>203428.17633565419</v>
      </c>
      <c r="Y15" s="20">
        <v>315681.46857163479</v>
      </c>
      <c r="Z15" s="20">
        <v>441222.3009654975</v>
      </c>
      <c r="AA15" s="20">
        <v>580388.66046277736</v>
      </c>
      <c r="AE15" s="20" t="s">
        <v>18</v>
      </c>
      <c r="AF15" s="20">
        <v>46414.168855270647</v>
      </c>
      <c r="AG15" s="20">
        <v>110519.97821770579</v>
      </c>
      <c r="AH15" s="20">
        <v>203428.17633565419</v>
      </c>
      <c r="AI15" s="20">
        <v>315681.46857163479</v>
      </c>
      <c r="AJ15" s="20">
        <v>441222.3009654975</v>
      </c>
      <c r="AK15" s="20">
        <v>580388.66046277736</v>
      </c>
    </row>
    <row r="16" spans="1:37" x14ac:dyDescent="0.25">
      <c r="A16" s="20" t="s">
        <v>19</v>
      </c>
      <c r="B16" s="20">
        <v>59092.133318389097</v>
      </c>
      <c r="C16" s="20">
        <v>140708.35368291859</v>
      </c>
      <c r="D16" s="20">
        <v>258994.2944842407</v>
      </c>
      <c r="E16" s="20">
        <v>401909.41445376311</v>
      </c>
      <c r="F16" s="20">
        <v>561741.54734947579</v>
      </c>
      <c r="G16" s="20">
        <v>738921.00077222695</v>
      </c>
      <c r="K16" s="20" t="s">
        <v>19</v>
      </c>
      <c r="L16" s="20">
        <v>59092.133318389097</v>
      </c>
      <c r="M16" s="20">
        <v>140708.35368291859</v>
      </c>
      <c r="N16" s="20">
        <v>258994.2944842407</v>
      </c>
      <c r="O16" s="20">
        <v>401909.41445376311</v>
      </c>
      <c r="P16" s="20">
        <v>561741.54734947579</v>
      </c>
      <c r="Q16" s="20">
        <v>738921.00077222695</v>
      </c>
      <c r="U16" s="20" t="s">
        <v>19</v>
      </c>
      <c r="V16" s="20">
        <v>59092.133318389097</v>
      </c>
      <c r="W16" s="20">
        <v>140708.35368291859</v>
      </c>
      <c r="X16" s="20">
        <v>258994.2944842407</v>
      </c>
      <c r="Y16" s="20">
        <v>401909.41445376311</v>
      </c>
      <c r="Z16" s="20">
        <v>561741.54734947579</v>
      </c>
      <c r="AA16" s="20">
        <v>738921.00077222695</v>
      </c>
      <c r="AE16" s="20" t="s">
        <v>19</v>
      </c>
      <c r="AF16" s="20">
        <v>59092.133318389097</v>
      </c>
      <c r="AG16" s="20">
        <v>140708.35368291859</v>
      </c>
      <c r="AH16" s="20">
        <v>258994.2944842407</v>
      </c>
      <c r="AI16" s="20">
        <v>401909.41445376311</v>
      </c>
      <c r="AJ16" s="20">
        <v>561741.54734947579</v>
      </c>
      <c r="AK16" s="20">
        <v>738921.00077222695</v>
      </c>
    </row>
    <row r="17" spans="1:37" x14ac:dyDescent="0.25">
      <c r="A17" s="20" t="s">
        <v>7</v>
      </c>
      <c r="B17" s="20">
        <v>18.701260000000001</v>
      </c>
      <c r="C17" s="20">
        <v>18.701260000000001</v>
      </c>
      <c r="D17" s="20">
        <v>18.701260000000001</v>
      </c>
      <c r="E17" s="20">
        <v>18.701260000000001</v>
      </c>
      <c r="F17" s="20">
        <v>18.701260000000001</v>
      </c>
      <c r="G17" s="20">
        <v>18.701260000000001</v>
      </c>
      <c r="K17" s="20" t="s">
        <v>7</v>
      </c>
      <c r="L17" s="20">
        <v>18.701260000000001</v>
      </c>
      <c r="M17" s="20">
        <v>18.701260000000001</v>
      </c>
      <c r="N17" s="20">
        <v>18.701260000000001</v>
      </c>
      <c r="O17" s="20">
        <v>18.701260000000001</v>
      </c>
      <c r="P17" s="20">
        <v>18.701260000000001</v>
      </c>
      <c r="Q17" s="20">
        <v>18.701260000000001</v>
      </c>
      <c r="U17" s="20" t="s">
        <v>7</v>
      </c>
      <c r="V17" s="20">
        <v>18.701260000000001</v>
      </c>
      <c r="W17" s="20">
        <v>18.701260000000001</v>
      </c>
      <c r="X17" s="20">
        <v>18.701260000000001</v>
      </c>
      <c r="Y17" s="20">
        <v>18.701260000000001</v>
      </c>
      <c r="Z17" s="20">
        <v>18.701260000000001</v>
      </c>
      <c r="AA17" s="20">
        <v>18.701260000000001</v>
      </c>
      <c r="AE17" s="20" t="s">
        <v>7</v>
      </c>
      <c r="AF17" s="20">
        <v>18.701260000000001</v>
      </c>
      <c r="AG17" s="20">
        <v>18.701260000000001</v>
      </c>
      <c r="AH17" s="20">
        <v>18.701260000000001</v>
      </c>
      <c r="AI17" s="20">
        <v>18.701260000000001</v>
      </c>
      <c r="AJ17" s="20">
        <v>18.701260000000001</v>
      </c>
      <c r="AK17" s="20">
        <v>18.701260000000001</v>
      </c>
    </row>
    <row r="18" spans="1:37" x14ac:dyDescent="0.25">
      <c r="A18" s="20" t="s">
        <v>52</v>
      </c>
      <c r="B18" s="20">
        <v>28.853368547999999</v>
      </c>
      <c r="C18" s="20">
        <v>28.853368547999999</v>
      </c>
      <c r="D18" s="20">
        <v>28.853368547999999</v>
      </c>
      <c r="E18" s="20">
        <v>28.853368547999999</v>
      </c>
      <c r="F18" s="20">
        <v>28.853368547999999</v>
      </c>
      <c r="G18" s="20">
        <v>28.853368547999999</v>
      </c>
      <c r="K18" s="20" t="s">
        <v>52</v>
      </c>
      <c r="L18" s="20">
        <v>28.853368547999999</v>
      </c>
      <c r="M18" s="20">
        <v>28.853368547999999</v>
      </c>
      <c r="N18" s="20">
        <v>28.853368547999999</v>
      </c>
      <c r="O18" s="20">
        <v>28.853368547999999</v>
      </c>
      <c r="P18" s="20">
        <v>28.853368547999999</v>
      </c>
      <c r="Q18" s="20">
        <v>28.853368547999999</v>
      </c>
      <c r="U18" s="20" t="s">
        <v>52</v>
      </c>
      <c r="V18" s="20">
        <v>28.853368547999999</v>
      </c>
      <c r="W18" s="20">
        <v>28.853368547999999</v>
      </c>
      <c r="X18" s="20">
        <v>28.853368547999999</v>
      </c>
      <c r="Y18" s="20">
        <v>28.853368547999999</v>
      </c>
      <c r="Z18" s="20">
        <v>28.853368547999999</v>
      </c>
      <c r="AA18" s="20">
        <v>28.853368547999999</v>
      </c>
      <c r="AE18" s="20" t="s">
        <v>52</v>
      </c>
      <c r="AF18" s="20">
        <v>28.853368547999999</v>
      </c>
      <c r="AG18" s="20">
        <v>28.853368547999999</v>
      </c>
      <c r="AH18" s="20">
        <v>28.853368547999999</v>
      </c>
      <c r="AI18" s="20">
        <v>28.853368547999999</v>
      </c>
      <c r="AJ18" s="20">
        <v>28.853368547999999</v>
      </c>
      <c r="AK18" s="20">
        <v>28.853368547999999</v>
      </c>
    </row>
    <row r="19" spans="1:37" x14ac:dyDescent="0.25">
      <c r="A19" s="20" t="s">
        <v>4</v>
      </c>
      <c r="B19" s="20">
        <v>0.97044553354850793</v>
      </c>
      <c r="C19" s="20">
        <v>0.97044553354850793</v>
      </c>
      <c r="D19" s="20">
        <v>0.97044553354850793</v>
      </c>
      <c r="E19" s="20">
        <v>0.97044553354850793</v>
      </c>
      <c r="F19" s="20">
        <v>0.97044553354850793</v>
      </c>
      <c r="G19" s="20">
        <v>0.97044553354850793</v>
      </c>
      <c r="K19" s="20" t="s">
        <v>4</v>
      </c>
      <c r="L19" s="20">
        <v>0.97044553354850793</v>
      </c>
      <c r="M19" s="20">
        <v>0.97044553354850793</v>
      </c>
      <c r="N19" s="20">
        <v>0.97044553354850793</v>
      </c>
      <c r="O19" s="20">
        <v>0.97044553354850793</v>
      </c>
      <c r="P19" s="20">
        <v>0.97044553354850793</v>
      </c>
      <c r="Q19" s="20">
        <v>0.97044553354850793</v>
      </c>
      <c r="U19" s="20" t="s">
        <v>4</v>
      </c>
      <c r="V19" s="20">
        <v>0.97044553354850793</v>
      </c>
      <c r="W19" s="20">
        <v>0.97044553354850793</v>
      </c>
      <c r="X19" s="20">
        <v>0.97044553354850793</v>
      </c>
      <c r="Y19" s="20">
        <v>0.97044553354850793</v>
      </c>
      <c r="Z19" s="20">
        <v>0.97044553354850793</v>
      </c>
      <c r="AA19" s="20">
        <v>0.97044553354850793</v>
      </c>
      <c r="AE19" s="20" t="s">
        <v>4</v>
      </c>
      <c r="AF19" s="20">
        <v>0.97044553354850793</v>
      </c>
      <c r="AG19" s="20">
        <v>0.97044553354850793</v>
      </c>
      <c r="AH19" s="20">
        <v>0.97044553354850793</v>
      </c>
      <c r="AI19" s="20">
        <v>0.97044553354850793</v>
      </c>
      <c r="AJ19" s="20">
        <v>0.97044553354850793</v>
      </c>
      <c r="AK19" s="20">
        <v>0.97044553354850793</v>
      </c>
    </row>
    <row r="20" spans="1:37" x14ac:dyDescent="0.25">
      <c r="A20" s="20" t="s">
        <v>5</v>
      </c>
      <c r="B20" s="20">
        <v>1</v>
      </c>
      <c r="C20" s="20">
        <v>1</v>
      </c>
      <c r="D20" s="20">
        <v>1</v>
      </c>
      <c r="E20" s="20">
        <v>1</v>
      </c>
      <c r="F20" s="20">
        <v>1</v>
      </c>
      <c r="G20" s="20">
        <v>1</v>
      </c>
      <c r="K20" s="20" t="s">
        <v>5</v>
      </c>
      <c r="L20" s="20">
        <v>1</v>
      </c>
      <c r="M20" s="20">
        <v>1</v>
      </c>
      <c r="N20" s="20">
        <v>1</v>
      </c>
      <c r="O20" s="20">
        <v>1</v>
      </c>
      <c r="P20" s="20">
        <v>1</v>
      </c>
      <c r="Q20" s="20">
        <v>1</v>
      </c>
      <c r="U20" s="20" t="s">
        <v>5</v>
      </c>
      <c r="V20" s="20">
        <v>1</v>
      </c>
      <c r="W20" s="20">
        <v>1</v>
      </c>
      <c r="X20" s="20">
        <v>1</v>
      </c>
      <c r="Y20" s="20">
        <v>1</v>
      </c>
      <c r="Z20" s="20">
        <v>1</v>
      </c>
      <c r="AA20" s="20">
        <v>1</v>
      </c>
      <c r="AE20" s="20" t="s">
        <v>5</v>
      </c>
      <c r="AF20" s="20">
        <v>1</v>
      </c>
      <c r="AG20" s="20">
        <v>1</v>
      </c>
      <c r="AH20" s="20">
        <v>1</v>
      </c>
      <c r="AI20" s="20">
        <v>1</v>
      </c>
      <c r="AJ20" s="20">
        <v>1</v>
      </c>
      <c r="AK20" s="20">
        <v>1</v>
      </c>
    </row>
    <row r="21" spans="1:37" x14ac:dyDescent="0.25">
      <c r="A21" s="20" t="s">
        <v>20</v>
      </c>
      <c r="B21" s="20">
        <v>1</v>
      </c>
      <c r="C21" s="20">
        <v>0.93231395090361513</v>
      </c>
      <c r="D21" s="20">
        <v>0.93231395090361513</v>
      </c>
      <c r="E21" s="20">
        <v>0.93231395090361513</v>
      </c>
      <c r="F21" s="20">
        <v>0.93231395090361513</v>
      </c>
      <c r="G21" s="20">
        <v>0.93231395090361513</v>
      </c>
      <c r="K21" s="20" t="s">
        <v>20</v>
      </c>
      <c r="L21" s="20">
        <v>1</v>
      </c>
      <c r="M21" s="20">
        <v>0.93231395090361513</v>
      </c>
      <c r="N21" s="20">
        <v>0.93231395090361513</v>
      </c>
      <c r="O21" s="20">
        <v>0.93231395090361513</v>
      </c>
      <c r="P21" s="20">
        <v>0.93231395090361513</v>
      </c>
      <c r="Q21" s="20">
        <v>0.93231395090361513</v>
      </c>
      <c r="U21" s="20" t="s">
        <v>20</v>
      </c>
      <c r="V21" s="20">
        <v>1</v>
      </c>
      <c r="W21" s="20">
        <v>0.93231395090361513</v>
      </c>
      <c r="X21" s="20">
        <v>0.93231395090361513</v>
      </c>
      <c r="Y21" s="20">
        <v>0.93231395090361513</v>
      </c>
      <c r="Z21" s="20">
        <v>0.93231395090361513</v>
      </c>
      <c r="AA21" s="20">
        <v>0.93231395090361513</v>
      </c>
      <c r="AE21" s="20" t="s">
        <v>20</v>
      </c>
      <c r="AF21" s="20">
        <v>1</v>
      </c>
      <c r="AG21" s="20">
        <v>0.93231395090361513</v>
      </c>
      <c r="AH21" s="20">
        <v>0.93231395090361513</v>
      </c>
      <c r="AI21" s="20">
        <v>0.93231395090361513</v>
      </c>
      <c r="AJ21" s="20">
        <v>0.93231395090361513</v>
      </c>
      <c r="AK21" s="20">
        <v>0.93231395090361513</v>
      </c>
    </row>
    <row r="22" spans="1:37" x14ac:dyDescent="0.25">
      <c r="A22" s="20" t="s">
        <v>21</v>
      </c>
      <c r="B22" s="20">
        <v>1</v>
      </c>
      <c r="C22" s="20">
        <v>0.98848865179879042</v>
      </c>
      <c r="D22" s="20">
        <v>0.98848865179879042</v>
      </c>
      <c r="E22" s="20">
        <v>0.98848865179879042</v>
      </c>
      <c r="F22" s="20">
        <v>0.98848865179879042</v>
      </c>
      <c r="G22" s="20">
        <v>0.98848865179879042</v>
      </c>
      <c r="K22" s="20" t="s">
        <v>21</v>
      </c>
      <c r="L22" s="20">
        <v>1</v>
      </c>
      <c r="M22" s="20">
        <v>0.98848865179879042</v>
      </c>
      <c r="N22" s="20">
        <v>0.98848865179879042</v>
      </c>
      <c r="O22" s="20">
        <v>0.98848865179879042</v>
      </c>
      <c r="P22" s="20">
        <v>0.98848865179879042</v>
      </c>
      <c r="Q22" s="20">
        <v>0.98848865179879042</v>
      </c>
      <c r="U22" s="20" t="s">
        <v>21</v>
      </c>
      <c r="V22" s="20">
        <v>1</v>
      </c>
      <c r="W22" s="20">
        <v>0.98848865179879042</v>
      </c>
      <c r="X22" s="20">
        <v>0.98848865179879042</v>
      </c>
      <c r="Y22" s="20">
        <v>0.98848865179879042</v>
      </c>
      <c r="Z22" s="20">
        <v>0.98848865179879042</v>
      </c>
      <c r="AA22" s="20">
        <v>0.98848865179879042</v>
      </c>
      <c r="AE22" s="20" t="s">
        <v>21</v>
      </c>
      <c r="AF22" s="20">
        <v>1</v>
      </c>
      <c r="AG22" s="20">
        <v>0.98848865179879042</v>
      </c>
      <c r="AH22" s="20">
        <v>0.98848865179879042</v>
      </c>
      <c r="AI22" s="20">
        <v>0.98848865179879042</v>
      </c>
      <c r="AJ22" s="20">
        <v>0.98848865179879042</v>
      </c>
      <c r="AK22" s="20">
        <v>0.98848865179879042</v>
      </c>
    </row>
    <row r="23" spans="1:37" x14ac:dyDescent="0.25">
      <c r="A23" s="20" t="s">
        <v>10</v>
      </c>
      <c r="B23" s="20">
        <v>0.94060270505175969</v>
      </c>
      <c r="C23" s="20">
        <v>0.1502007385018278</v>
      </c>
      <c r="D23" s="20">
        <v>1.9104991529260259E-2</v>
      </c>
      <c r="E23" s="20">
        <v>2.048751564605739E-3</v>
      </c>
      <c r="F23" s="20">
        <v>1.9788010466446649E-4</v>
      </c>
      <c r="G23" s="20">
        <v>1.798738628005751E-5</v>
      </c>
      <c r="K23" s="20" t="s">
        <v>10</v>
      </c>
      <c r="L23" s="20">
        <v>0.94060270505175969</v>
      </c>
      <c r="M23" s="20">
        <v>0.1502007385018278</v>
      </c>
      <c r="N23" s="20">
        <v>1.9104991529260259E-2</v>
      </c>
      <c r="O23" s="20">
        <v>2.048751564605739E-3</v>
      </c>
      <c r="P23" s="20">
        <v>1.9788010466446649E-4</v>
      </c>
      <c r="Q23" s="20">
        <v>1.798738628005751E-5</v>
      </c>
      <c r="U23" s="20" t="s">
        <v>10</v>
      </c>
      <c r="V23" s="20">
        <v>0.94060270505175969</v>
      </c>
      <c r="W23" s="20">
        <v>0.1502007385018278</v>
      </c>
      <c r="X23" s="20">
        <v>1.9104991529260259E-2</v>
      </c>
      <c r="Y23" s="20">
        <v>2.048751564605739E-3</v>
      </c>
      <c r="Z23" s="20">
        <v>1.9788010466446649E-4</v>
      </c>
      <c r="AA23" s="20">
        <v>1.798738628005751E-5</v>
      </c>
      <c r="AE23" s="20" t="s">
        <v>10</v>
      </c>
      <c r="AF23" s="20">
        <v>0.94060270505175969</v>
      </c>
      <c r="AG23" s="20">
        <v>0.1502007385018278</v>
      </c>
      <c r="AH23" s="20">
        <v>1.9104991529260259E-2</v>
      </c>
      <c r="AI23" s="20">
        <v>2.048751564605739E-3</v>
      </c>
      <c r="AJ23" s="20">
        <v>1.9788010466446649E-4</v>
      </c>
      <c r="AK23" s="20">
        <v>1.798738628005751E-5</v>
      </c>
    </row>
    <row r="24" spans="1:37" x14ac:dyDescent="0.25">
      <c r="A24" s="20" t="s">
        <v>12</v>
      </c>
      <c r="B24" s="20">
        <v>0.85496026606635889</v>
      </c>
      <c r="C24" s="20">
        <v>1.668432606062147</v>
      </c>
      <c r="D24" s="20">
        <v>2.5168162431150298</v>
      </c>
      <c r="E24" s="20">
        <v>3.200825623022963</v>
      </c>
      <c r="F24" s="20">
        <v>3.6664258495101238</v>
      </c>
      <c r="G24" s="20">
        <v>3.9525456457414059</v>
      </c>
      <c r="K24" s="20" t="s">
        <v>12</v>
      </c>
      <c r="L24" s="20">
        <v>0.85496026606635889</v>
      </c>
      <c r="M24" s="20">
        <v>1.668432606062147</v>
      </c>
      <c r="N24" s="20">
        <v>2.5168162431150298</v>
      </c>
      <c r="O24" s="20">
        <v>3.200825623022963</v>
      </c>
      <c r="P24" s="20">
        <v>3.6664258495101238</v>
      </c>
      <c r="Q24" s="20">
        <v>3.9525456457414059</v>
      </c>
      <c r="U24" s="20" t="s">
        <v>12</v>
      </c>
      <c r="V24" s="20">
        <v>0.85496026606635889</v>
      </c>
      <c r="W24" s="20">
        <v>1.668432606062147</v>
      </c>
      <c r="X24" s="20">
        <v>2.5168162431150298</v>
      </c>
      <c r="Y24" s="20">
        <v>3.200825623022963</v>
      </c>
      <c r="Z24" s="20">
        <v>3.6664258495101238</v>
      </c>
      <c r="AA24" s="20">
        <v>3.9525456457414059</v>
      </c>
      <c r="AE24" s="20" t="s">
        <v>12</v>
      </c>
      <c r="AF24" s="20">
        <v>0.85496026606635889</v>
      </c>
      <c r="AG24" s="20">
        <v>1.668432606062147</v>
      </c>
      <c r="AH24" s="20">
        <v>2.5168162431150298</v>
      </c>
      <c r="AI24" s="20">
        <v>3.200825623022963</v>
      </c>
      <c r="AJ24" s="20">
        <v>3.6664258495101238</v>
      </c>
      <c r="AK24" s="20">
        <v>3.9525456457414059</v>
      </c>
    </row>
    <row r="25" spans="1:37" x14ac:dyDescent="0.25">
      <c r="A25" s="20" t="s">
        <v>11</v>
      </c>
      <c r="B25" s="20">
        <v>37969.680209174563</v>
      </c>
      <c r="C25" s="20">
        <v>628775.50252712914</v>
      </c>
      <c r="D25" s="20">
        <v>9124344.632216081</v>
      </c>
      <c r="E25" s="20">
        <v>123392756.43840639</v>
      </c>
      <c r="F25" s="20">
        <v>1596583310.558887</v>
      </c>
      <c r="G25" s="20">
        <v>20128406702.26202</v>
      </c>
      <c r="K25" s="20" t="s">
        <v>11</v>
      </c>
      <c r="L25" s="20">
        <v>37969.680209174563</v>
      </c>
      <c r="M25" s="20">
        <v>628775.50252712914</v>
      </c>
      <c r="N25" s="20">
        <v>9124344.632216081</v>
      </c>
      <c r="O25" s="20">
        <v>123392756.43840639</v>
      </c>
      <c r="P25" s="20">
        <v>1596583310.558887</v>
      </c>
      <c r="Q25" s="20">
        <v>20128406702.26202</v>
      </c>
      <c r="U25" s="20" t="s">
        <v>11</v>
      </c>
      <c r="V25" s="20">
        <v>37969.680209174563</v>
      </c>
      <c r="W25" s="20">
        <v>628775.50252712914</v>
      </c>
      <c r="X25" s="20">
        <v>9124344.632216081</v>
      </c>
      <c r="Y25" s="20">
        <v>123392756.43840639</v>
      </c>
      <c r="Z25" s="20">
        <v>1596583310.558887</v>
      </c>
      <c r="AA25" s="20">
        <v>20128406702.26202</v>
      </c>
      <c r="AE25" s="20" t="s">
        <v>11</v>
      </c>
      <c r="AF25" s="20">
        <v>37969.680209174563</v>
      </c>
      <c r="AG25" s="20">
        <v>628775.50252712914</v>
      </c>
      <c r="AH25" s="20">
        <v>9124344.632216081</v>
      </c>
      <c r="AI25" s="20">
        <v>123392756.43840639</v>
      </c>
      <c r="AJ25" s="20">
        <v>1596583310.558887</v>
      </c>
      <c r="AK25" s="20">
        <v>20128406702.26202</v>
      </c>
    </row>
    <row r="26" spans="1:37" x14ac:dyDescent="0.25">
      <c r="A26" s="20" t="s">
        <v>13</v>
      </c>
      <c r="B26" s="20">
        <v>84389.058736635779</v>
      </c>
      <c r="C26" s="20">
        <v>212209.55685008591</v>
      </c>
      <c r="D26" s="20">
        <v>481858.98603664187</v>
      </c>
      <c r="E26" s="20">
        <v>1019663.5723219489</v>
      </c>
      <c r="F26" s="20">
        <v>2064466.215060795</v>
      </c>
      <c r="G26" s="20">
        <v>4072626.194802749</v>
      </c>
      <c r="K26" s="20" t="s">
        <v>13</v>
      </c>
      <c r="L26" s="20">
        <v>84389.058736635779</v>
      </c>
      <c r="M26" s="20">
        <v>212209.55685008591</v>
      </c>
      <c r="N26" s="20">
        <v>481858.98603664187</v>
      </c>
      <c r="O26" s="20">
        <v>1019663.5723219489</v>
      </c>
      <c r="P26" s="20">
        <v>2064466.215060795</v>
      </c>
      <c r="Q26" s="20">
        <v>4072626.194802749</v>
      </c>
      <c r="U26" s="20" t="s">
        <v>13</v>
      </c>
      <c r="V26" s="20">
        <v>84389.058736635779</v>
      </c>
      <c r="W26" s="20">
        <v>212209.55685008591</v>
      </c>
      <c r="X26" s="20">
        <v>481858.98603664187</v>
      </c>
      <c r="Y26" s="20">
        <v>1019663.5723219489</v>
      </c>
      <c r="Z26" s="20">
        <v>2064466.215060795</v>
      </c>
      <c r="AA26" s="20">
        <v>4072626.194802749</v>
      </c>
      <c r="AE26" s="20" t="s">
        <v>13</v>
      </c>
      <c r="AF26" s="20">
        <v>84389.058736635779</v>
      </c>
      <c r="AG26" s="20">
        <v>212209.55685008591</v>
      </c>
      <c r="AH26" s="20">
        <v>481858.98603664187</v>
      </c>
      <c r="AI26" s="20">
        <v>1019663.5723219489</v>
      </c>
      <c r="AJ26" s="20">
        <v>2064466.215060795</v>
      </c>
      <c r="AK26" s="20">
        <v>4072626.194802749</v>
      </c>
    </row>
    <row r="27" spans="1:37" x14ac:dyDescent="0.25">
      <c r="A27" s="20" t="s">
        <v>22</v>
      </c>
      <c r="B27" s="20">
        <v>18427.262540756401</v>
      </c>
      <c r="C27" s="20">
        <v>77726.913338533879</v>
      </c>
      <c r="D27" s="20">
        <v>147138.2742633879</v>
      </c>
      <c r="E27" s="20">
        <v>232521.60422127001</v>
      </c>
      <c r="F27" s="20">
        <v>328559.42785221792</v>
      </c>
      <c r="G27" s="20">
        <v>434902.04771889932</v>
      </c>
      <c r="K27" s="20" t="s">
        <v>22</v>
      </c>
      <c r="L27" s="20">
        <v>18427.262540756401</v>
      </c>
      <c r="M27" s="20">
        <v>77726.913338533879</v>
      </c>
      <c r="N27" s="20">
        <v>147138.2742633879</v>
      </c>
      <c r="O27" s="20">
        <v>232521.60422127001</v>
      </c>
      <c r="P27" s="20">
        <v>328559.42785221792</v>
      </c>
      <c r="Q27" s="20">
        <v>434902.04771889932</v>
      </c>
      <c r="U27" s="20" t="s">
        <v>22</v>
      </c>
      <c r="V27" s="20">
        <v>18427.262540756401</v>
      </c>
      <c r="W27" s="20">
        <v>77726.913338533879</v>
      </c>
      <c r="X27" s="20">
        <v>147138.2742633879</v>
      </c>
      <c r="Y27" s="20">
        <v>232521.60422127001</v>
      </c>
      <c r="Z27" s="20">
        <v>328559.42785221792</v>
      </c>
      <c r="AA27" s="20">
        <v>434902.04771889932</v>
      </c>
      <c r="AE27" s="20" t="s">
        <v>22</v>
      </c>
      <c r="AF27" s="20">
        <v>18427.262540756401</v>
      </c>
      <c r="AG27" s="20">
        <v>77726.913338533879</v>
      </c>
      <c r="AH27" s="20">
        <v>147138.2742633879</v>
      </c>
      <c r="AI27" s="20">
        <v>232521.60422127001</v>
      </c>
      <c r="AJ27" s="20">
        <v>328559.42785221792</v>
      </c>
      <c r="AK27" s="20">
        <v>434902.04771889932</v>
      </c>
    </row>
    <row r="32" spans="1:37" x14ac:dyDescent="0.25">
      <c r="A32" s="20" t="s">
        <v>15</v>
      </c>
      <c r="B32" s="20">
        <v>2000</v>
      </c>
      <c r="C32" s="20">
        <v>2020</v>
      </c>
      <c r="D32" s="20">
        <v>2040</v>
      </c>
      <c r="E32" s="20">
        <v>2060</v>
      </c>
      <c r="F32" s="20">
        <v>2080</v>
      </c>
      <c r="G32" s="20">
        <v>2100</v>
      </c>
      <c r="K32" s="20" t="s">
        <v>15</v>
      </c>
      <c r="L32" s="20">
        <v>2000</v>
      </c>
      <c r="M32" s="20">
        <v>2020</v>
      </c>
      <c r="N32" s="20">
        <v>2040</v>
      </c>
      <c r="O32" s="20">
        <v>2060</v>
      </c>
      <c r="P32" s="20">
        <v>2080</v>
      </c>
      <c r="Q32" s="20">
        <v>2100</v>
      </c>
      <c r="U32" s="20" t="s">
        <v>15</v>
      </c>
      <c r="V32" s="20">
        <v>2000</v>
      </c>
      <c r="W32" s="20">
        <v>2020</v>
      </c>
      <c r="X32" s="20">
        <v>2040</v>
      </c>
      <c r="Y32" s="20">
        <v>2060</v>
      </c>
      <c r="Z32" s="20">
        <v>2080</v>
      </c>
      <c r="AA32" s="20">
        <v>2100</v>
      </c>
      <c r="AE32" s="20" t="s">
        <v>15</v>
      </c>
      <c r="AF32" s="20">
        <v>2000</v>
      </c>
      <c r="AG32" s="20">
        <v>2020</v>
      </c>
      <c r="AH32" s="20">
        <v>2040</v>
      </c>
      <c r="AI32" s="20">
        <v>2060</v>
      </c>
      <c r="AJ32" s="20">
        <v>2080</v>
      </c>
      <c r="AK32" s="20">
        <v>2100</v>
      </c>
    </row>
    <row r="33" spans="1:37" x14ac:dyDescent="0.25">
      <c r="A33" s="20" t="s">
        <v>11</v>
      </c>
      <c r="B33" s="20">
        <v>37969.680209174563</v>
      </c>
      <c r="C33" s="20">
        <v>613501.06083720189</v>
      </c>
      <c r="D33" s="20">
        <v>8904281.4232765958</v>
      </c>
      <c r="E33" s="20">
        <v>118142883.3294778</v>
      </c>
      <c r="F33" s="20">
        <v>1528771259.6155109</v>
      </c>
      <c r="G33" s="20">
        <v>19274329649.283001</v>
      </c>
      <c r="K33" s="20" t="s">
        <v>11</v>
      </c>
      <c r="L33" s="20">
        <v>37969.680209174563</v>
      </c>
      <c r="M33" s="20">
        <v>618407.91032419354</v>
      </c>
      <c r="N33" s="20">
        <v>8734467.5062147621</v>
      </c>
      <c r="O33" s="20">
        <v>115962701.17931411</v>
      </c>
      <c r="P33" s="20">
        <v>1467277543.633929</v>
      </c>
      <c r="Q33" s="20">
        <v>18500737423.54203</v>
      </c>
      <c r="U33" s="20" t="s">
        <v>11</v>
      </c>
      <c r="V33" s="20">
        <v>37969.680209174563</v>
      </c>
      <c r="W33" s="20">
        <v>613501.06083720189</v>
      </c>
      <c r="X33" s="20">
        <v>8735072.6991703827</v>
      </c>
      <c r="Y33" s="20">
        <v>114560064.98829541</v>
      </c>
      <c r="Z33" s="20">
        <v>1435585809.6321709</v>
      </c>
      <c r="AA33" s="20">
        <v>17681839852.358391</v>
      </c>
      <c r="AE33" s="20" t="s">
        <v>11</v>
      </c>
      <c r="AF33" s="20">
        <v>37969.680209174563</v>
      </c>
      <c r="AG33" s="20">
        <v>618407.91032419354</v>
      </c>
      <c r="AH33" s="20">
        <v>8655001.2598893829</v>
      </c>
      <c r="AI33" s="20">
        <v>112164008.18682951</v>
      </c>
      <c r="AJ33" s="20">
        <v>1370473523.8391459</v>
      </c>
      <c r="AK33" s="20">
        <v>16188473680.79277</v>
      </c>
    </row>
    <row r="34" spans="1:37" x14ac:dyDescent="0.25">
      <c r="A34" s="20" t="s">
        <v>13</v>
      </c>
      <c r="B34" s="20">
        <v>84389.058736635779</v>
      </c>
      <c r="C34" s="20">
        <v>209941.65924250011</v>
      </c>
      <c r="D34" s="20">
        <v>476794.39491503919</v>
      </c>
      <c r="E34" s="20">
        <v>1000171.321278106</v>
      </c>
      <c r="F34" s="20">
        <v>2025155.135903646</v>
      </c>
      <c r="G34" s="20">
        <v>3995250.6157750809</v>
      </c>
      <c r="K34" s="20" t="s">
        <v>13</v>
      </c>
      <c r="L34" s="20">
        <v>84389.058736635779</v>
      </c>
      <c r="M34" s="20">
        <v>210810.57443843631</v>
      </c>
      <c r="N34" s="20">
        <v>472557.11750354047</v>
      </c>
      <c r="O34" s="20">
        <v>989640.40171999426</v>
      </c>
      <c r="P34" s="20">
        <v>1980566.7932971879</v>
      </c>
      <c r="Q34" s="20">
        <v>3907646.044176064</v>
      </c>
      <c r="U34" s="20" t="s">
        <v>13</v>
      </c>
      <c r="V34" s="20">
        <v>84389.058736635779</v>
      </c>
      <c r="W34" s="20">
        <v>209941.65924250011</v>
      </c>
      <c r="X34" s="20">
        <v>472589.85999624972</v>
      </c>
      <c r="Y34" s="20">
        <v>984144.11288489134</v>
      </c>
      <c r="Z34" s="20">
        <v>1954259.7744797</v>
      </c>
      <c r="AA34" s="20">
        <v>3799246.688487431</v>
      </c>
      <c r="AE34" s="20" t="s">
        <v>13</v>
      </c>
      <c r="AF34" s="20">
        <v>84389.058736635779</v>
      </c>
      <c r="AG34" s="20">
        <v>210810.57443843631</v>
      </c>
      <c r="AH34" s="20">
        <v>470132.27344467503</v>
      </c>
      <c r="AI34" s="20">
        <v>971646.21428155887</v>
      </c>
      <c r="AJ34" s="20">
        <v>1893933.4679836419</v>
      </c>
      <c r="AK34" s="20">
        <v>3564730.4471862172</v>
      </c>
    </row>
    <row r="35" spans="1:37" x14ac:dyDescent="0.25">
      <c r="A35" s="20" t="s">
        <v>51</v>
      </c>
      <c r="B35" s="20">
        <v>66273.9254716</v>
      </c>
      <c r="C35" s="20">
        <v>261803.46570945601</v>
      </c>
      <c r="D35" s="20">
        <v>811861.75873446942</v>
      </c>
      <c r="E35" s="20">
        <v>2022511.304018392</v>
      </c>
      <c r="F35" s="20">
        <v>4542814.4427796053</v>
      </c>
      <c r="G35" s="20">
        <v>9491824.0432151984</v>
      </c>
      <c r="K35" s="20" t="s">
        <v>51</v>
      </c>
      <c r="L35" s="20">
        <v>66273.9254716</v>
      </c>
      <c r="M35" s="20">
        <v>264421.36671714392</v>
      </c>
      <c r="N35" s="20">
        <v>795410.41579599422</v>
      </c>
      <c r="O35" s="20">
        <v>1977819.0344080669</v>
      </c>
      <c r="P35" s="20">
        <v>4338033.6464280449</v>
      </c>
      <c r="Q35" s="20">
        <v>9071814.6988564935</v>
      </c>
      <c r="U35" s="20" t="s">
        <v>51</v>
      </c>
      <c r="V35" s="20">
        <v>66273.9254716</v>
      </c>
      <c r="W35" s="20">
        <v>261803.46570945601</v>
      </c>
      <c r="X35" s="20">
        <v>795465.52811739489</v>
      </c>
      <c r="Y35" s="20">
        <v>1953858.3633025789</v>
      </c>
      <c r="Z35" s="20">
        <v>4220225.7234413549</v>
      </c>
      <c r="AA35" s="20">
        <v>8567623.8239762057</v>
      </c>
      <c r="AE35" s="20" t="s">
        <v>51</v>
      </c>
      <c r="AF35" s="20">
        <v>66273.9254716</v>
      </c>
      <c r="AG35" s="20">
        <v>264421.36671714392</v>
      </c>
      <c r="AH35" s="20">
        <v>786426.2821181115</v>
      </c>
      <c r="AI35" s="20">
        <v>1902094.141173556</v>
      </c>
      <c r="AJ35" s="20">
        <v>3958028.174903065</v>
      </c>
      <c r="AK35" s="20">
        <v>7531500.7069502557</v>
      </c>
    </row>
    <row r="36" spans="1:37" x14ac:dyDescent="0.25">
      <c r="A36" s="20" t="s">
        <v>0</v>
      </c>
      <c r="B36" s="20">
        <v>0.82533526478849994</v>
      </c>
      <c r="C36" s="20">
        <v>0.91749639782684111</v>
      </c>
      <c r="D36" s="20">
        <v>0.92022153780724625</v>
      </c>
      <c r="E36" s="20">
        <v>0.86016045815580233</v>
      </c>
      <c r="F36" s="20">
        <v>0.76916388447241724</v>
      </c>
      <c r="G36" s="20">
        <v>0.67013163974851619</v>
      </c>
      <c r="K36" s="20" t="s">
        <v>0</v>
      </c>
      <c r="L36" s="20">
        <v>0.82533526478849994</v>
      </c>
      <c r="M36" s="20">
        <v>0.91657085929160098</v>
      </c>
      <c r="N36" s="20">
        <v>0.92024586658810215</v>
      </c>
      <c r="O36" s="20">
        <v>0.86224627496062423</v>
      </c>
      <c r="P36" s="20">
        <v>0.77132748154299224</v>
      </c>
      <c r="Q36" s="20">
        <v>0.67207855805483907</v>
      </c>
      <c r="U36" s="20" t="s">
        <v>0</v>
      </c>
      <c r="V36" s="20">
        <v>0.82533526478849994</v>
      </c>
      <c r="W36" s="20">
        <v>0.91749639782684111</v>
      </c>
      <c r="X36" s="20">
        <v>0.92030962849636966</v>
      </c>
      <c r="Y36" s="20">
        <v>0.86139970513889041</v>
      </c>
      <c r="Z36" s="20">
        <v>0.77345240606528853</v>
      </c>
      <c r="AA36" s="20">
        <v>0.67589861432437803</v>
      </c>
      <c r="AE36" s="20" t="s">
        <v>0</v>
      </c>
      <c r="AF36" s="20">
        <v>0.82533526478849994</v>
      </c>
      <c r="AG36" s="20">
        <v>0.91657085929160098</v>
      </c>
      <c r="AH36" s="20">
        <v>0.92131769345021497</v>
      </c>
      <c r="AI36" s="20">
        <v>0.86361141116535767</v>
      </c>
      <c r="AJ36" s="20">
        <v>0.77971069003868387</v>
      </c>
      <c r="AK36" s="20">
        <v>0.68812188019835097</v>
      </c>
    </row>
    <row r="37" spans="1:37" x14ac:dyDescent="0.25">
      <c r="A37" s="20" t="s">
        <v>1</v>
      </c>
      <c r="B37" s="20">
        <v>1.2351813271467</v>
      </c>
      <c r="C37" s="20">
        <v>2.5448646298633819</v>
      </c>
      <c r="D37" s="20">
        <v>4.7366328873513792</v>
      </c>
      <c r="E37" s="20">
        <v>8.2153536849129996</v>
      </c>
      <c r="F37" s="20">
        <v>13.632725491233931</v>
      </c>
      <c r="G37" s="20">
        <v>22.041489705435641</v>
      </c>
      <c r="K37" s="20" t="s">
        <v>1</v>
      </c>
      <c r="L37" s="20">
        <v>1.2351813271467</v>
      </c>
      <c r="M37" s="20">
        <v>2.545550285277332</v>
      </c>
      <c r="N37" s="20">
        <v>4.7362394640910876</v>
      </c>
      <c r="O37" s="20">
        <v>8.2132308680381225</v>
      </c>
      <c r="P37" s="20">
        <v>13.631064757544941</v>
      </c>
      <c r="Q37" s="20">
        <v>22.040834339232131</v>
      </c>
      <c r="U37" s="20" t="s">
        <v>1</v>
      </c>
      <c r="V37" s="20">
        <v>1.2351813271467</v>
      </c>
      <c r="W37" s="20">
        <v>2.5448646298633819</v>
      </c>
      <c r="X37" s="20">
        <v>4.7365676282015796</v>
      </c>
      <c r="Y37" s="20">
        <v>8.2144713584387148</v>
      </c>
      <c r="Z37" s="20">
        <v>13.630107033412139</v>
      </c>
      <c r="AA37" s="20">
        <v>22.039830959385618</v>
      </c>
      <c r="AE37" s="20" t="s">
        <v>1</v>
      </c>
      <c r="AF37" s="20">
        <v>1.2351813271467</v>
      </c>
      <c r="AG37" s="20">
        <v>2.545550285277332</v>
      </c>
      <c r="AH37" s="20">
        <v>4.7354454356818509</v>
      </c>
      <c r="AI37" s="20">
        <v>8.2126542857200064</v>
      </c>
      <c r="AJ37" s="20">
        <v>13.626088358428021</v>
      </c>
      <c r="AK37" s="20">
        <v>22.034280575733309</v>
      </c>
    </row>
    <row r="38" spans="1:37" x14ac:dyDescent="0.25">
      <c r="A38" s="20" t="s">
        <v>2</v>
      </c>
      <c r="B38" s="20">
        <v>2.0605165919352002</v>
      </c>
      <c r="C38" s="20">
        <v>3.462361027690223</v>
      </c>
      <c r="D38" s="20">
        <v>5.6568544251586257</v>
      </c>
      <c r="E38" s="20">
        <v>9.0755141430688013</v>
      </c>
      <c r="F38" s="20">
        <v>14.40188937570635</v>
      </c>
      <c r="G38" s="20">
        <v>22.711621345184149</v>
      </c>
      <c r="K38" s="20" t="s">
        <v>2</v>
      </c>
      <c r="L38" s="20">
        <v>2.0605165919352002</v>
      </c>
      <c r="M38" s="20">
        <v>3.4621211445689331</v>
      </c>
      <c r="N38" s="20">
        <v>5.6564853306791898</v>
      </c>
      <c r="O38" s="20">
        <v>9.0754771429987464</v>
      </c>
      <c r="P38" s="20">
        <v>14.402392239087931</v>
      </c>
      <c r="Q38" s="20">
        <v>22.712912897286969</v>
      </c>
      <c r="U38" s="20" t="s">
        <v>2</v>
      </c>
      <c r="V38" s="20">
        <v>2.0605165919352002</v>
      </c>
      <c r="W38" s="20">
        <v>3.462361027690223</v>
      </c>
      <c r="X38" s="20">
        <v>5.6568772566979497</v>
      </c>
      <c r="Y38" s="20">
        <v>9.0758710635776048</v>
      </c>
      <c r="Z38" s="20">
        <v>14.40355943947743</v>
      </c>
      <c r="AA38" s="20">
        <v>22.71572957371</v>
      </c>
      <c r="AE38" s="20" t="s">
        <v>2</v>
      </c>
      <c r="AF38" s="20">
        <v>2.0605165919352002</v>
      </c>
      <c r="AG38" s="20">
        <v>3.4621211445689331</v>
      </c>
      <c r="AH38" s="20">
        <v>5.6567631291320657</v>
      </c>
      <c r="AI38" s="20">
        <v>9.0762656968853648</v>
      </c>
      <c r="AJ38" s="20">
        <v>14.405799048466699</v>
      </c>
      <c r="AK38" s="20">
        <v>22.722402455931661</v>
      </c>
    </row>
    <row r="39" spans="1:37" x14ac:dyDescent="0.25">
      <c r="A39" s="20" t="s">
        <v>3</v>
      </c>
      <c r="B39" s="20">
        <v>1.496581304402675</v>
      </c>
      <c r="C39" s="20">
        <v>2.7737053092427222</v>
      </c>
      <c r="D39" s="20">
        <v>5.1472745341715047</v>
      </c>
      <c r="E39" s="20">
        <v>9.5509548329236722</v>
      </c>
      <c r="F39" s="20">
        <v>17.724084251023889</v>
      </c>
      <c r="G39" s="20">
        <v>32.891283440530067</v>
      </c>
      <c r="K39" s="20" t="s">
        <v>3</v>
      </c>
      <c r="L39" s="20">
        <v>1.496581304402675</v>
      </c>
      <c r="M39" s="20">
        <v>2.7772542182333142</v>
      </c>
      <c r="N39" s="20">
        <v>5.146710934601793</v>
      </c>
      <c r="O39" s="20">
        <v>9.5253886349502555</v>
      </c>
      <c r="P39" s="20">
        <v>17.672214569973381</v>
      </c>
      <c r="Q39" s="20">
        <v>32.795026823982809</v>
      </c>
      <c r="U39" s="20" t="s">
        <v>3</v>
      </c>
      <c r="V39" s="20">
        <v>1.496581304402675</v>
      </c>
      <c r="W39" s="20">
        <v>2.7737053092427222</v>
      </c>
      <c r="X39" s="20">
        <v>5.146710934601793</v>
      </c>
      <c r="Y39" s="20">
        <v>9.5361901210707156</v>
      </c>
      <c r="Z39" s="20">
        <v>17.62242502127739</v>
      </c>
      <c r="AA39" s="20">
        <v>32.608190773428987</v>
      </c>
      <c r="AE39" s="20" t="s">
        <v>3</v>
      </c>
      <c r="AF39" s="20">
        <v>1.496581304402675</v>
      </c>
      <c r="AG39" s="20">
        <v>2.7772542182333142</v>
      </c>
      <c r="AH39" s="20">
        <v>5.1398616018631138</v>
      </c>
      <c r="AI39" s="20">
        <v>9.5096639293335024</v>
      </c>
      <c r="AJ39" s="20">
        <v>17.475826011506889</v>
      </c>
      <c r="AK39" s="20">
        <v>32.020898055707697</v>
      </c>
    </row>
    <row r="40" spans="1:37" x14ac:dyDescent="0.25">
      <c r="A40" s="20" t="s">
        <v>18</v>
      </c>
      <c r="B40" s="20">
        <v>46414.168855270647</v>
      </c>
      <c r="C40" s="20">
        <v>110311.9463442376</v>
      </c>
      <c r="D40" s="20">
        <v>203579.0139368629</v>
      </c>
      <c r="E40" s="20">
        <v>316455.86765447672</v>
      </c>
      <c r="F40" s="20">
        <v>443048.18081119901</v>
      </c>
      <c r="G40" s="20">
        <v>583347.58708955324</v>
      </c>
      <c r="K40" s="20" t="s">
        <v>18</v>
      </c>
      <c r="L40" s="20">
        <v>46414.168855270647</v>
      </c>
      <c r="M40" s="20">
        <v>110419.47073157159</v>
      </c>
      <c r="N40" s="20">
        <v>203350.952525448</v>
      </c>
      <c r="O40" s="20">
        <v>316066.29115568829</v>
      </c>
      <c r="P40" s="20">
        <v>442049.40084144397</v>
      </c>
      <c r="Q40" s="20">
        <v>582514.70574565884</v>
      </c>
      <c r="U40" s="20" t="s">
        <v>18</v>
      </c>
      <c r="V40" s="20">
        <v>46414.168855270647</v>
      </c>
      <c r="W40" s="20">
        <v>110311.9463442376</v>
      </c>
      <c r="X40" s="20">
        <v>203350.952525448</v>
      </c>
      <c r="Y40" s="20">
        <v>315727.98624147469</v>
      </c>
      <c r="Z40" s="20">
        <v>440730.01074170158</v>
      </c>
      <c r="AA40" s="20">
        <v>578843.31339877041</v>
      </c>
      <c r="AE40" s="20" t="s">
        <v>18</v>
      </c>
      <c r="AF40" s="20">
        <v>46414.168855270647</v>
      </c>
      <c r="AG40" s="20">
        <v>110419.47073157159</v>
      </c>
      <c r="AH40" s="20">
        <v>203136.4182901007</v>
      </c>
      <c r="AI40" s="20">
        <v>314741.60531684861</v>
      </c>
      <c r="AJ40" s="20">
        <v>436470.94856073387</v>
      </c>
      <c r="AK40" s="20">
        <v>565744.04269016779</v>
      </c>
    </row>
    <row r="41" spans="1:37" x14ac:dyDescent="0.25">
      <c r="A41" s="20" t="s">
        <v>19</v>
      </c>
      <c r="B41" s="20">
        <v>59092.133318389097</v>
      </c>
      <c r="C41" s="20">
        <v>138334.54447611849</v>
      </c>
      <c r="D41" s="20">
        <v>255294.29124540501</v>
      </c>
      <c r="E41" s="20">
        <v>392724.57876927668</v>
      </c>
      <c r="F41" s="20">
        <v>549826.77829045814</v>
      </c>
      <c r="G41" s="20">
        <v>723939.603692092</v>
      </c>
      <c r="K41" s="20" t="s">
        <v>19</v>
      </c>
      <c r="L41" s="20">
        <v>59092.133318389097</v>
      </c>
      <c r="M41" s="20">
        <v>139179.42153534101</v>
      </c>
      <c r="N41" s="20">
        <v>252360.36154047301</v>
      </c>
      <c r="O41" s="20">
        <v>388058.10685824772</v>
      </c>
      <c r="P41" s="20">
        <v>536798.72054300015</v>
      </c>
      <c r="Q41" s="20">
        <v>707371.5022496091</v>
      </c>
      <c r="U41" s="20" t="s">
        <v>19</v>
      </c>
      <c r="V41" s="20">
        <v>59092.133318389097</v>
      </c>
      <c r="W41" s="20">
        <v>138334.54447611849</v>
      </c>
      <c r="X41" s="20">
        <v>252360.36154047289</v>
      </c>
      <c r="Y41" s="20">
        <v>385529.40079487412</v>
      </c>
      <c r="Z41" s="20">
        <v>529190.53972222167</v>
      </c>
      <c r="AA41" s="20">
        <v>687031.32241429982</v>
      </c>
      <c r="AE41" s="20" t="s">
        <v>19</v>
      </c>
      <c r="AF41" s="20">
        <v>59092.133318389097</v>
      </c>
      <c r="AG41" s="20">
        <v>139179.42153534101</v>
      </c>
      <c r="AH41" s="20">
        <v>250754.8340811246</v>
      </c>
      <c r="AI41" s="20">
        <v>380066.55355957878</v>
      </c>
      <c r="AJ41" s="20">
        <v>511948.05597636889</v>
      </c>
      <c r="AK41" s="20">
        <v>643415.56036263576</v>
      </c>
    </row>
    <row r="42" spans="1:37" x14ac:dyDescent="0.25">
      <c r="A42" s="20" t="s">
        <v>7</v>
      </c>
      <c r="B42" s="20">
        <v>18.701260000000001</v>
      </c>
      <c r="C42" s="20">
        <v>19.223690000000001</v>
      </c>
      <c r="D42" s="20">
        <v>19.433769999999999</v>
      </c>
      <c r="E42" s="20">
        <v>19.762260000000001</v>
      </c>
      <c r="F42" s="20">
        <v>19.68939</v>
      </c>
      <c r="G42" s="20">
        <v>19.674620000000001</v>
      </c>
      <c r="K42" s="20" t="s">
        <v>7</v>
      </c>
      <c r="L42" s="20">
        <v>18.701260000000001</v>
      </c>
      <c r="M42" s="20">
        <v>19.175070000000002</v>
      </c>
      <c r="N42" s="20">
        <v>19.72289</v>
      </c>
      <c r="O42" s="20">
        <v>20.29449</v>
      </c>
      <c r="P42" s="20">
        <v>20.581810000000001</v>
      </c>
      <c r="Q42" s="20">
        <v>20.699369999999998</v>
      </c>
      <c r="U42" s="20" t="s">
        <v>7</v>
      </c>
      <c r="V42" s="20">
        <v>18.701260000000001</v>
      </c>
      <c r="W42" s="20">
        <v>19.381889999999999</v>
      </c>
      <c r="X42" s="20">
        <v>19.878499999999999</v>
      </c>
      <c r="Y42" s="20">
        <v>20.472930000000002</v>
      </c>
      <c r="Z42" s="20">
        <v>21.093440000000001</v>
      </c>
      <c r="AA42" s="20">
        <v>21.501149999999999</v>
      </c>
      <c r="AE42" s="20" t="s">
        <v>7</v>
      </c>
      <c r="AF42" s="20">
        <v>18.701260000000001</v>
      </c>
      <c r="AG42" s="20">
        <v>19.1127</v>
      </c>
      <c r="AH42" s="20">
        <v>19.930350000000001</v>
      </c>
      <c r="AI42" s="20">
        <v>20.93582</v>
      </c>
      <c r="AJ42" s="20">
        <v>22.111229999999999</v>
      </c>
      <c r="AK42" s="20">
        <v>23.246210000000001</v>
      </c>
    </row>
    <row r="43" spans="1:37" x14ac:dyDescent="0.25">
      <c r="A43" s="20" t="s">
        <v>52</v>
      </c>
      <c r="B43" s="20">
        <v>28.853368547999999</v>
      </c>
      <c r="C43" s="20">
        <v>29.313002462</v>
      </c>
      <c r="D43" s="20">
        <v>29.49783084600001</v>
      </c>
      <c r="E43" s="20">
        <v>29.786836348000001</v>
      </c>
      <c r="F43" s="20">
        <v>29.722725321999999</v>
      </c>
      <c r="G43" s="20">
        <v>29.709730676</v>
      </c>
      <c r="K43" s="20" t="s">
        <v>52</v>
      </c>
      <c r="L43" s="20">
        <v>28.853368547999999</v>
      </c>
      <c r="M43" s="20">
        <v>29.270226586</v>
      </c>
      <c r="N43" s="20">
        <v>29.752198622000002</v>
      </c>
      <c r="O43" s="20">
        <v>30.255092302000001</v>
      </c>
      <c r="P43" s="20">
        <v>30.507876438</v>
      </c>
      <c r="Q43" s="20">
        <v>30.611305726000001</v>
      </c>
      <c r="U43" s="20" t="s">
        <v>52</v>
      </c>
      <c r="V43" s="20">
        <v>28.853368547999999</v>
      </c>
      <c r="W43" s="20">
        <v>29.452186822000002</v>
      </c>
      <c r="X43" s="20">
        <v>29.8891043</v>
      </c>
      <c r="Y43" s="20">
        <v>30.412083813999999</v>
      </c>
      <c r="Z43" s="20">
        <v>30.958008511999999</v>
      </c>
      <c r="AA43" s="20">
        <v>31.316711770000001</v>
      </c>
      <c r="AE43" s="20" t="s">
        <v>52</v>
      </c>
      <c r="AF43" s="20">
        <v>28.853368547999999</v>
      </c>
      <c r="AG43" s="20">
        <v>29.215353459999999</v>
      </c>
      <c r="AH43" s="20">
        <v>29.934721929999998</v>
      </c>
      <c r="AI43" s="20">
        <v>30.819334435999998</v>
      </c>
      <c r="AJ43" s="20">
        <v>31.853460154</v>
      </c>
      <c r="AK43" s="20">
        <v>32.852015558000012</v>
      </c>
    </row>
    <row r="44" spans="1:37" x14ac:dyDescent="0.25">
      <c r="A44" s="20" t="s">
        <v>4</v>
      </c>
      <c r="B44" s="20">
        <v>0.97044553354850793</v>
      </c>
      <c r="C44" s="20">
        <v>0.98019867330675492</v>
      </c>
      <c r="D44" s="20">
        <v>0.98019867330675492</v>
      </c>
      <c r="E44" s="20">
        <v>0.99004983374916744</v>
      </c>
      <c r="F44" s="20">
        <v>0.99004983374916744</v>
      </c>
      <c r="G44" s="20">
        <v>0.99004983374916744</v>
      </c>
      <c r="K44" s="20" t="s">
        <v>4</v>
      </c>
      <c r="L44" s="20">
        <v>0.97044553354850793</v>
      </c>
      <c r="M44" s="20">
        <v>0.98019867330675492</v>
      </c>
      <c r="N44" s="20">
        <v>0.99004983374916744</v>
      </c>
      <c r="O44" s="20">
        <v>0.99004983374916744</v>
      </c>
      <c r="P44" s="20">
        <v>1</v>
      </c>
      <c r="Q44" s="20">
        <v>1</v>
      </c>
      <c r="U44" s="20" t="s">
        <v>4</v>
      </c>
      <c r="V44" s="20">
        <v>0.97044553354850793</v>
      </c>
      <c r="W44" s="20">
        <v>0.98019867330675492</v>
      </c>
      <c r="X44" s="20">
        <v>0.99004983374916744</v>
      </c>
      <c r="Y44" s="20">
        <v>1</v>
      </c>
      <c r="Z44" s="20">
        <v>1</v>
      </c>
      <c r="AA44" s="20">
        <v>1</v>
      </c>
      <c r="AE44" s="20" t="s">
        <v>4</v>
      </c>
      <c r="AF44" s="20">
        <v>0.97044553354850793</v>
      </c>
      <c r="AG44" s="20">
        <v>0.98019867330675492</v>
      </c>
      <c r="AH44" s="20">
        <v>0.99004983374916744</v>
      </c>
      <c r="AI44" s="20">
        <v>1</v>
      </c>
      <c r="AJ44" s="20">
        <v>0.99004983374916744</v>
      </c>
      <c r="AK44" s="20">
        <v>0.97044553354850793</v>
      </c>
    </row>
    <row r="45" spans="1:37" x14ac:dyDescent="0.25">
      <c r="A45" s="20" t="s">
        <v>5</v>
      </c>
      <c r="B45" s="20">
        <v>1</v>
      </c>
      <c r="C45" s="20">
        <v>1</v>
      </c>
      <c r="D45" s="20">
        <v>1</v>
      </c>
      <c r="E45" s="20">
        <v>1</v>
      </c>
      <c r="F45" s="20">
        <v>1</v>
      </c>
      <c r="G45" s="20">
        <v>1</v>
      </c>
      <c r="K45" s="20" t="s">
        <v>5</v>
      </c>
      <c r="L45" s="20">
        <v>1</v>
      </c>
      <c r="M45" s="20">
        <v>1</v>
      </c>
      <c r="N45" s="20">
        <v>1</v>
      </c>
      <c r="O45" s="20">
        <v>1</v>
      </c>
      <c r="P45" s="20">
        <v>1</v>
      </c>
      <c r="Q45" s="20">
        <v>1</v>
      </c>
      <c r="U45" s="20" t="s">
        <v>5</v>
      </c>
      <c r="V45" s="20">
        <v>1</v>
      </c>
      <c r="W45" s="20">
        <v>1</v>
      </c>
      <c r="X45" s="20">
        <v>1</v>
      </c>
      <c r="Y45" s="20">
        <v>1</v>
      </c>
      <c r="Z45" s="20">
        <v>1</v>
      </c>
      <c r="AA45" s="20">
        <v>1</v>
      </c>
      <c r="AE45" s="20" t="s">
        <v>5</v>
      </c>
      <c r="AF45" s="20">
        <v>1</v>
      </c>
      <c r="AG45" s="20">
        <v>1</v>
      </c>
      <c r="AH45" s="20">
        <v>1</v>
      </c>
      <c r="AI45" s="20">
        <v>1</v>
      </c>
      <c r="AJ45" s="20">
        <v>1</v>
      </c>
      <c r="AK45" s="20">
        <v>1</v>
      </c>
    </row>
    <row r="46" spans="1:37" x14ac:dyDescent="0.25">
      <c r="A46" s="20" t="s">
        <v>20</v>
      </c>
      <c r="B46" s="20">
        <v>1</v>
      </c>
      <c r="C46" s="20">
        <v>0.9087454042219193</v>
      </c>
      <c r="D46" s="20">
        <v>0.9087454042219193</v>
      </c>
      <c r="E46" s="20">
        <v>0.89139111669784621</v>
      </c>
      <c r="F46" s="20">
        <v>0.89139111669784621</v>
      </c>
      <c r="G46" s="20">
        <v>0.89139111669784621</v>
      </c>
      <c r="K46" s="20" t="s">
        <v>20</v>
      </c>
      <c r="L46" s="20">
        <v>1</v>
      </c>
      <c r="M46" s="20">
        <v>0.91693862656807257</v>
      </c>
      <c r="N46" s="20">
        <v>0.89139111669784621</v>
      </c>
      <c r="O46" s="20">
        <v>0.87282505847383773</v>
      </c>
      <c r="P46" s="20">
        <v>0.85313575176011658</v>
      </c>
      <c r="Q46" s="20">
        <v>0.85313575176011658</v>
      </c>
      <c r="U46" s="20" t="s">
        <v>20</v>
      </c>
      <c r="V46" s="20">
        <v>1</v>
      </c>
      <c r="W46" s="20">
        <v>0.9087454042219193</v>
      </c>
      <c r="X46" s="20">
        <v>0.89139111669784621</v>
      </c>
      <c r="Y46" s="20">
        <v>0.86311515559253815</v>
      </c>
      <c r="Z46" s="20">
        <v>0.83241565308735976</v>
      </c>
      <c r="AA46" s="20">
        <v>0.81076508762715238</v>
      </c>
      <c r="AE46" s="20" t="s">
        <v>20</v>
      </c>
      <c r="AF46" s="20">
        <v>1</v>
      </c>
      <c r="AG46" s="20">
        <v>0.91693862656807257</v>
      </c>
      <c r="AH46" s="20">
        <v>0.88225365744265238</v>
      </c>
      <c r="AI46" s="20">
        <v>0.84289864993793617</v>
      </c>
      <c r="AJ46" s="20">
        <v>0.78828241339085314</v>
      </c>
      <c r="AK46" s="20">
        <v>0.72910433227696836</v>
      </c>
    </row>
    <row r="47" spans="1:37" x14ac:dyDescent="0.25">
      <c r="A47" s="20" t="s">
        <v>21</v>
      </c>
      <c r="B47" s="20">
        <v>1</v>
      </c>
      <c r="C47" s="20">
        <v>0.97818889133398601</v>
      </c>
      <c r="D47" s="20">
        <v>0.97818889133398601</v>
      </c>
      <c r="E47" s="20">
        <v>0.96957624782154495</v>
      </c>
      <c r="F47" s="20">
        <v>0.96957624782154495</v>
      </c>
      <c r="G47" s="20">
        <v>0.96957624782154495</v>
      </c>
      <c r="K47" s="20" t="s">
        <v>21</v>
      </c>
      <c r="L47" s="20">
        <v>1</v>
      </c>
      <c r="M47" s="20">
        <v>0.98197288977586894</v>
      </c>
      <c r="N47" s="20">
        <v>0.96957624782154495</v>
      </c>
      <c r="O47" s="20">
        <v>0.95961542839364711</v>
      </c>
      <c r="P47" s="20">
        <v>0.94834437421114004</v>
      </c>
      <c r="Q47" s="20">
        <v>0.94834437421114004</v>
      </c>
      <c r="U47" s="20" t="s">
        <v>21</v>
      </c>
      <c r="V47" s="20">
        <v>1</v>
      </c>
      <c r="W47" s="20">
        <v>0.97818889133398601</v>
      </c>
      <c r="X47" s="20">
        <v>0.96957624782154495</v>
      </c>
      <c r="Y47" s="20">
        <v>0.95414178358867729</v>
      </c>
      <c r="Z47" s="20">
        <v>0.93581367348848743</v>
      </c>
      <c r="AA47" s="20">
        <v>0.92207897326159938</v>
      </c>
      <c r="AE47" s="20" t="s">
        <v>21</v>
      </c>
      <c r="AF47" s="20">
        <v>1</v>
      </c>
      <c r="AG47" s="20">
        <v>0.98197288977586894</v>
      </c>
      <c r="AH47" s="20">
        <v>0.96476277921532627</v>
      </c>
      <c r="AI47" s="20">
        <v>0.94223331790392795</v>
      </c>
      <c r="AJ47" s="20">
        <v>0.90719339115566244</v>
      </c>
      <c r="AK47" s="20">
        <v>0.86537970249071072</v>
      </c>
    </row>
    <row r="48" spans="1:37" x14ac:dyDescent="0.25">
      <c r="A48" s="20" t="s">
        <v>10</v>
      </c>
      <c r="B48" s="20">
        <v>0.94060270505175969</v>
      </c>
      <c r="C48" s="20">
        <v>0.14991801549074199</v>
      </c>
      <c r="D48" s="20">
        <v>1.9119157468046599E-2</v>
      </c>
      <c r="E48" s="20">
        <v>2.053777362729969E-3</v>
      </c>
      <c r="F48" s="20">
        <v>1.986989782666882E-4</v>
      </c>
      <c r="G48" s="20">
        <v>1.8079089236775739E-5</v>
      </c>
      <c r="K48" s="20" t="s">
        <v>10</v>
      </c>
      <c r="L48" s="20">
        <v>0.94060270505175969</v>
      </c>
      <c r="M48" s="20">
        <v>0.15006414511042679</v>
      </c>
      <c r="N48" s="20">
        <v>1.909773904208556E-2</v>
      </c>
      <c r="O48" s="20">
        <v>2.0512490373739149E-3</v>
      </c>
      <c r="P48" s="20">
        <v>1.9825104377987871E-4</v>
      </c>
      <c r="Q48" s="20">
        <v>1.805327660555352E-5</v>
      </c>
      <c r="U48" s="20" t="s">
        <v>10</v>
      </c>
      <c r="V48" s="20">
        <v>0.94060270505175969</v>
      </c>
      <c r="W48" s="20">
        <v>0.14991801549074199</v>
      </c>
      <c r="X48" s="20">
        <v>1.909773904208556E-2</v>
      </c>
      <c r="Y48" s="20">
        <v>2.049053461163994E-3</v>
      </c>
      <c r="Z48" s="20">
        <v>1.97659321533612E-4</v>
      </c>
      <c r="AA48" s="20">
        <v>1.793949293466568E-5</v>
      </c>
      <c r="AE48" s="20" t="s">
        <v>10</v>
      </c>
      <c r="AF48" s="20">
        <v>0.94060270505175969</v>
      </c>
      <c r="AG48" s="20">
        <v>0.15006414511042679</v>
      </c>
      <c r="AH48" s="20">
        <v>1.9077591023148981E-2</v>
      </c>
      <c r="AI48" s="20">
        <v>2.0426519150999541E-3</v>
      </c>
      <c r="AJ48" s="20">
        <v>1.9574921030782359E-4</v>
      </c>
      <c r="AK48" s="20">
        <v>1.7533520767609899E-5</v>
      </c>
    </row>
    <row r="49" spans="1:37" x14ac:dyDescent="0.25">
      <c r="A49" s="20" t="s">
        <v>12</v>
      </c>
      <c r="B49" s="20">
        <v>0.85496026606635889</v>
      </c>
      <c r="C49" s="20">
        <v>1.640285445090307</v>
      </c>
      <c r="D49" s="20">
        <v>2.480860901822187</v>
      </c>
      <c r="E49" s="20">
        <v>3.127677156366325</v>
      </c>
      <c r="F49" s="20">
        <v>3.5886594505762242</v>
      </c>
      <c r="G49" s="20">
        <v>3.8724089927915961</v>
      </c>
      <c r="K49" s="20" t="s">
        <v>12</v>
      </c>
      <c r="L49" s="20">
        <v>0.85496026606635889</v>
      </c>
      <c r="M49" s="20">
        <v>1.650303474559242</v>
      </c>
      <c r="N49" s="20">
        <v>2.4523499960038362</v>
      </c>
      <c r="O49" s="20">
        <v>3.0905131529248071</v>
      </c>
      <c r="P49" s="20">
        <v>3.5036267377217589</v>
      </c>
      <c r="Q49" s="20">
        <v>3.7837849353534532</v>
      </c>
      <c r="U49" s="20" t="s">
        <v>12</v>
      </c>
      <c r="V49" s="20">
        <v>0.85496026606635889</v>
      </c>
      <c r="W49" s="20">
        <v>1.640285445090307</v>
      </c>
      <c r="X49" s="20">
        <v>2.4523499960038349</v>
      </c>
      <c r="Y49" s="20">
        <v>3.0703744180018142</v>
      </c>
      <c r="Z49" s="20">
        <v>3.4539689707991088</v>
      </c>
      <c r="AA49" s="20">
        <v>3.6749837385304782</v>
      </c>
      <c r="AE49" s="20" t="s">
        <v>12</v>
      </c>
      <c r="AF49" s="20">
        <v>0.85496026606635889</v>
      </c>
      <c r="AG49" s="20">
        <v>1.650303474559242</v>
      </c>
      <c r="AH49" s="20">
        <v>2.436748039997422</v>
      </c>
      <c r="AI49" s="20">
        <v>3.0268680437379558</v>
      </c>
      <c r="AJ49" s="20">
        <v>3.3414291588271401</v>
      </c>
      <c r="AK49" s="20">
        <v>3.4416796502682221</v>
      </c>
    </row>
    <row r="50" spans="1:37" x14ac:dyDescent="0.25">
      <c r="A50" s="20" t="s">
        <v>11</v>
      </c>
      <c r="B50" s="20">
        <v>37969.680209174563</v>
      </c>
      <c r="C50" s="20">
        <v>613501.06083720189</v>
      </c>
      <c r="D50" s="20">
        <v>8904281.4232765958</v>
      </c>
      <c r="E50" s="20">
        <v>118142883.3294778</v>
      </c>
      <c r="F50" s="20">
        <v>1528771259.6155109</v>
      </c>
      <c r="G50" s="20">
        <v>19274329649.283001</v>
      </c>
      <c r="K50" s="20" t="s">
        <v>11</v>
      </c>
      <c r="L50" s="20">
        <v>37969.680209174563</v>
      </c>
      <c r="M50" s="20">
        <v>618407.91032419354</v>
      </c>
      <c r="N50" s="20">
        <v>8734467.5062147621</v>
      </c>
      <c r="O50" s="20">
        <v>115962701.17931411</v>
      </c>
      <c r="P50" s="20">
        <v>1467277543.633929</v>
      </c>
      <c r="Q50" s="20">
        <v>18500737423.54203</v>
      </c>
      <c r="U50" s="20" t="s">
        <v>11</v>
      </c>
      <c r="V50" s="20">
        <v>37969.680209174563</v>
      </c>
      <c r="W50" s="20">
        <v>613501.06083720189</v>
      </c>
      <c r="X50" s="20">
        <v>8735072.6991703827</v>
      </c>
      <c r="Y50" s="20">
        <v>114560064.98829541</v>
      </c>
      <c r="Z50" s="20">
        <v>1435585809.6321709</v>
      </c>
      <c r="AA50" s="20">
        <v>17681839852.358391</v>
      </c>
      <c r="AE50" s="20" t="s">
        <v>11</v>
      </c>
      <c r="AF50" s="20">
        <v>37969.680209174563</v>
      </c>
      <c r="AG50" s="20">
        <v>618407.91032419354</v>
      </c>
      <c r="AH50" s="20">
        <v>8655001.2598893829</v>
      </c>
      <c r="AI50" s="20">
        <v>112164008.18682951</v>
      </c>
      <c r="AJ50" s="20">
        <v>1370473523.8391459</v>
      </c>
      <c r="AK50" s="20">
        <v>16188473680.79277</v>
      </c>
    </row>
    <row r="51" spans="1:37" x14ac:dyDescent="0.25">
      <c r="A51" s="20" t="s">
        <v>13</v>
      </c>
      <c r="B51" s="20">
        <v>84389.058736635779</v>
      </c>
      <c r="C51" s="20">
        <v>209941.65924250011</v>
      </c>
      <c r="D51" s="20">
        <v>476794.39491503919</v>
      </c>
      <c r="E51" s="20">
        <v>1000171.321278106</v>
      </c>
      <c r="F51" s="20">
        <v>2025155.135903646</v>
      </c>
      <c r="G51" s="20">
        <v>3995250.6157750809</v>
      </c>
      <c r="K51" s="20" t="s">
        <v>13</v>
      </c>
      <c r="L51" s="20">
        <v>84389.058736635779</v>
      </c>
      <c r="M51" s="20">
        <v>210810.57443843631</v>
      </c>
      <c r="N51" s="20">
        <v>472557.11750354047</v>
      </c>
      <c r="O51" s="20">
        <v>989640.40171999426</v>
      </c>
      <c r="P51" s="20">
        <v>1980566.7932971879</v>
      </c>
      <c r="Q51" s="20">
        <v>3907646.044176064</v>
      </c>
      <c r="U51" s="20" t="s">
        <v>13</v>
      </c>
      <c r="V51" s="20">
        <v>84389.058736635779</v>
      </c>
      <c r="W51" s="20">
        <v>209941.65924250011</v>
      </c>
      <c r="X51" s="20">
        <v>472589.85999624972</v>
      </c>
      <c r="Y51" s="20">
        <v>984144.11288489134</v>
      </c>
      <c r="Z51" s="20">
        <v>1954259.7744797</v>
      </c>
      <c r="AA51" s="20">
        <v>3799246.688487431</v>
      </c>
      <c r="AE51" s="20" t="s">
        <v>13</v>
      </c>
      <c r="AF51" s="20">
        <v>84389.058736635779</v>
      </c>
      <c r="AG51" s="20">
        <v>210810.57443843631</v>
      </c>
      <c r="AH51" s="20">
        <v>470132.27344467503</v>
      </c>
      <c r="AI51" s="20">
        <v>971646.21428155887</v>
      </c>
      <c r="AJ51" s="20">
        <v>1893933.4679836419</v>
      </c>
      <c r="AK51" s="20">
        <v>3564730.4471862172</v>
      </c>
    </row>
    <row r="52" spans="1:37" x14ac:dyDescent="0.25">
      <c r="A52" s="20" t="s">
        <v>22</v>
      </c>
      <c r="B52" s="20">
        <v>18427.262540756401</v>
      </c>
      <c r="C52" s="20">
        <v>75614.144110242545</v>
      </c>
      <c r="D52" s="20">
        <v>143518.2342900231</v>
      </c>
      <c r="E52" s="20">
        <v>222853.63364928859</v>
      </c>
      <c r="F52" s="20">
        <v>315431.83843937842</v>
      </c>
      <c r="G52" s="20">
        <v>417928.06858449482</v>
      </c>
      <c r="K52" s="20" t="s">
        <v>22</v>
      </c>
      <c r="L52" s="20">
        <v>18427.262540756401</v>
      </c>
      <c r="M52" s="20">
        <v>76375.538485111785</v>
      </c>
      <c r="N52" s="20">
        <v>140619.19536534659</v>
      </c>
      <c r="O52" s="20">
        <v>217930.03312601041</v>
      </c>
      <c r="P52" s="20">
        <v>301202.29850806802</v>
      </c>
      <c r="Q52" s="20">
        <v>399412.20837156952</v>
      </c>
      <c r="U52" s="20" t="s">
        <v>22</v>
      </c>
      <c r="V52" s="20">
        <v>18427.262540756401</v>
      </c>
      <c r="W52" s="20">
        <v>75614.144110242545</v>
      </c>
      <c r="X52" s="20">
        <v>140619.19536534659</v>
      </c>
      <c r="Y52" s="20">
        <v>215280.53336319551</v>
      </c>
      <c r="Z52" s="20">
        <v>292998.80638354679</v>
      </c>
      <c r="AA52" s="20">
        <v>377167.01091088558</v>
      </c>
      <c r="AE52" s="20" t="s">
        <v>22</v>
      </c>
      <c r="AF52" s="20">
        <v>18427.262540756401</v>
      </c>
      <c r="AG52" s="20">
        <v>76375.538485111785</v>
      </c>
      <c r="AH52" s="20">
        <v>139024.07864102579</v>
      </c>
      <c r="AI52" s="20">
        <v>209567.92195123641</v>
      </c>
      <c r="AJ52" s="20">
        <v>274752.42168703879</v>
      </c>
      <c r="AK52" s="20">
        <v>331457.05968182808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59999389629810485"/>
  </sheetPr>
  <dimension ref="A1:AK5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20"/>
  </cols>
  <sheetData>
    <row r="1" spans="1:37" x14ac:dyDescent="0.25">
      <c r="A1" s="20" t="s">
        <v>49</v>
      </c>
      <c r="B1" s="20" t="s">
        <v>60</v>
      </c>
    </row>
    <row r="2" spans="1:37" x14ac:dyDescent="0.25">
      <c r="A2" s="20" t="s">
        <v>33</v>
      </c>
      <c r="B2" s="20">
        <v>0.27500000000000002</v>
      </c>
    </row>
    <row r="3" spans="1:37" x14ac:dyDescent="0.25">
      <c r="A3" s="20" t="s">
        <v>14</v>
      </c>
      <c r="B3" s="20">
        <v>0.75</v>
      </c>
    </row>
    <row r="4" spans="1:37" x14ac:dyDescent="0.25">
      <c r="A4" s="20" t="s">
        <v>23</v>
      </c>
      <c r="B4" s="20">
        <v>0.4</v>
      </c>
    </row>
    <row r="5" spans="1:37" x14ac:dyDescent="0.25">
      <c r="A5" s="20" t="s">
        <v>16</v>
      </c>
      <c r="B5" s="20">
        <v>0.1893549842288946</v>
      </c>
    </row>
    <row r="6" spans="1:37" x14ac:dyDescent="0.25">
      <c r="A6" s="20" t="s">
        <v>17</v>
      </c>
      <c r="B6" s="20">
        <v>0.2556026411779832</v>
      </c>
    </row>
    <row r="7" spans="1:37" x14ac:dyDescent="0.25">
      <c r="A7" s="20" t="s">
        <v>15</v>
      </c>
      <c r="B7" s="20">
        <v>2000</v>
      </c>
      <c r="C7" s="20">
        <v>2020</v>
      </c>
      <c r="D7" s="20">
        <v>2040</v>
      </c>
      <c r="E7" s="20">
        <v>2060</v>
      </c>
      <c r="F7" s="20">
        <v>2080</v>
      </c>
      <c r="G7" s="20">
        <v>2100</v>
      </c>
      <c r="K7" s="20" t="s">
        <v>15</v>
      </c>
      <c r="L7" s="20">
        <v>2000</v>
      </c>
      <c r="M7" s="20">
        <v>2020</v>
      </c>
      <c r="N7" s="20">
        <v>2040</v>
      </c>
      <c r="O7" s="20">
        <v>2060</v>
      </c>
      <c r="P7" s="20">
        <v>2080</v>
      </c>
      <c r="Q7" s="20">
        <v>2100</v>
      </c>
      <c r="U7" s="20" t="s">
        <v>15</v>
      </c>
      <c r="V7" s="20">
        <v>2000</v>
      </c>
      <c r="W7" s="20">
        <v>2020</v>
      </c>
      <c r="X7" s="20">
        <v>2040</v>
      </c>
      <c r="Y7" s="20">
        <v>2060</v>
      </c>
      <c r="Z7" s="20">
        <v>2080</v>
      </c>
      <c r="AA7" s="20">
        <v>2100</v>
      </c>
      <c r="AE7" s="20" t="s">
        <v>15</v>
      </c>
      <c r="AF7" s="20">
        <v>2000</v>
      </c>
      <c r="AG7" s="20">
        <v>2020</v>
      </c>
      <c r="AH7" s="20">
        <v>2040</v>
      </c>
      <c r="AI7" s="20">
        <v>2060</v>
      </c>
      <c r="AJ7" s="20">
        <v>2080</v>
      </c>
      <c r="AK7" s="20">
        <v>2100</v>
      </c>
    </row>
    <row r="8" spans="1:37" x14ac:dyDescent="0.25">
      <c r="A8" s="20" t="s">
        <v>11</v>
      </c>
      <c r="B8" s="20">
        <v>69442.597888141609</v>
      </c>
      <c r="C8" s="20">
        <v>1127194.195285544</v>
      </c>
      <c r="D8" s="20">
        <v>16357043.593273619</v>
      </c>
      <c r="E8" s="20">
        <v>221203908.6106945</v>
      </c>
      <c r="F8" s="20">
        <v>2862165324.0603251</v>
      </c>
      <c r="G8" s="20">
        <v>36083821815.493607</v>
      </c>
      <c r="K8" s="20" t="s">
        <v>11</v>
      </c>
      <c r="L8" s="20">
        <v>69442.597888141609</v>
      </c>
      <c r="M8" s="20">
        <v>1127194.195285544</v>
      </c>
      <c r="N8" s="20">
        <v>16357043.593273619</v>
      </c>
      <c r="O8" s="20">
        <v>221203908.6106945</v>
      </c>
      <c r="P8" s="20">
        <v>2862165324.0603251</v>
      </c>
      <c r="Q8" s="20">
        <v>36083821815.493607</v>
      </c>
      <c r="U8" s="20" t="s">
        <v>11</v>
      </c>
      <c r="V8" s="20">
        <v>69442.597888141609</v>
      </c>
      <c r="W8" s="20">
        <v>1127194.195285544</v>
      </c>
      <c r="X8" s="20">
        <v>16357043.593273619</v>
      </c>
      <c r="Y8" s="20">
        <v>221203908.6106945</v>
      </c>
      <c r="Z8" s="20">
        <v>2862165324.0603251</v>
      </c>
      <c r="AA8" s="20">
        <v>36083821815.493607</v>
      </c>
      <c r="AE8" s="20" t="s">
        <v>11</v>
      </c>
      <c r="AF8" s="20">
        <v>69442.597888141609</v>
      </c>
      <c r="AG8" s="20">
        <v>1127194.195285544</v>
      </c>
      <c r="AH8" s="20">
        <v>16357043.593273619</v>
      </c>
      <c r="AI8" s="20">
        <v>221203908.6106945</v>
      </c>
      <c r="AJ8" s="20">
        <v>2862165324.0603251</v>
      </c>
      <c r="AK8" s="20">
        <v>36083821815.493607</v>
      </c>
    </row>
    <row r="9" spans="1:37" x14ac:dyDescent="0.25">
      <c r="A9" s="20" t="s">
        <v>13</v>
      </c>
      <c r="B9" s="20">
        <v>154338.81559505401</v>
      </c>
      <c r="C9" s="20">
        <v>388109.21880770841</v>
      </c>
      <c r="D9" s="20">
        <v>881269.99284141744</v>
      </c>
      <c r="E9" s="20">
        <v>1864858.6726002989</v>
      </c>
      <c r="F9" s="20">
        <v>3775694.0916105001</v>
      </c>
      <c r="G9" s="20">
        <v>7448409.9322507251</v>
      </c>
      <c r="K9" s="20" t="s">
        <v>13</v>
      </c>
      <c r="L9" s="20">
        <v>154338.81559505401</v>
      </c>
      <c r="M9" s="20">
        <v>388109.21880770841</v>
      </c>
      <c r="N9" s="20">
        <v>881269.99284141744</v>
      </c>
      <c r="O9" s="20">
        <v>1864858.6726002989</v>
      </c>
      <c r="P9" s="20">
        <v>3775694.0916105001</v>
      </c>
      <c r="Q9" s="20">
        <v>7448409.9322507251</v>
      </c>
      <c r="U9" s="20" t="s">
        <v>13</v>
      </c>
      <c r="V9" s="20">
        <v>154338.81559505401</v>
      </c>
      <c r="W9" s="20">
        <v>388109.21880770841</v>
      </c>
      <c r="X9" s="20">
        <v>881269.99284141744</v>
      </c>
      <c r="Y9" s="20">
        <v>1864858.6726002989</v>
      </c>
      <c r="Z9" s="20">
        <v>3775694.0916105001</v>
      </c>
      <c r="AA9" s="20">
        <v>7448409.9322507251</v>
      </c>
      <c r="AE9" s="20" t="s">
        <v>13</v>
      </c>
      <c r="AF9" s="20">
        <v>154338.81559505401</v>
      </c>
      <c r="AG9" s="20">
        <v>388109.21880770841</v>
      </c>
      <c r="AH9" s="20">
        <v>881269.99284141744</v>
      </c>
      <c r="AI9" s="20">
        <v>1864858.6726002989</v>
      </c>
      <c r="AJ9" s="20">
        <v>3775694.0916105001</v>
      </c>
      <c r="AK9" s="20">
        <v>7448409.9322507251</v>
      </c>
    </row>
    <row r="10" spans="1:37" x14ac:dyDescent="0.25">
      <c r="A10" s="20" t="s">
        <v>51</v>
      </c>
      <c r="B10" s="20">
        <v>121208.1200484</v>
      </c>
      <c r="C10" s="20">
        <v>480766.13032736111</v>
      </c>
      <c r="D10" s="20">
        <v>1492065.092438394</v>
      </c>
      <c r="E10" s="20">
        <v>3791174.2078648098</v>
      </c>
      <c r="F10" s="20">
        <v>8512118.1803402435</v>
      </c>
      <c r="G10" s="20">
        <v>17781372.279826529</v>
      </c>
      <c r="K10" s="20" t="s">
        <v>51</v>
      </c>
      <c r="L10" s="20">
        <v>121208.1200484</v>
      </c>
      <c r="M10" s="20">
        <v>480766.13032736111</v>
      </c>
      <c r="N10" s="20">
        <v>1492065.092438394</v>
      </c>
      <c r="O10" s="20">
        <v>3791174.2078648098</v>
      </c>
      <c r="P10" s="20">
        <v>8512118.1803402435</v>
      </c>
      <c r="Q10" s="20">
        <v>17781372.279826529</v>
      </c>
      <c r="U10" s="20" t="s">
        <v>51</v>
      </c>
      <c r="V10" s="20">
        <v>121208.1200484</v>
      </c>
      <c r="W10" s="20">
        <v>480766.13032736111</v>
      </c>
      <c r="X10" s="20">
        <v>1492065.092438394</v>
      </c>
      <c r="Y10" s="20">
        <v>3791174.2078648098</v>
      </c>
      <c r="Z10" s="20">
        <v>8512118.1803402435</v>
      </c>
      <c r="AA10" s="20">
        <v>17781372.279826529</v>
      </c>
      <c r="AE10" s="20" t="s">
        <v>51</v>
      </c>
      <c r="AF10" s="20">
        <v>121208.1200484</v>
      </c>
      <c r="AG10" s="20">
        <v>480766.13032736111</v>
      </c>
      <c r="AH10" s="20">
        <v>1492065.092438394</v>
      </c>
      <c r="AI10" s="20">
        <v>3791174.2078648098</v>
      </c>
      <c r="AJ10" s="20">
        <v>8512118.1803402435</v>
      </c>
      <c r="AK10" s="20">
        <v>17781372.279826529</v>
      </c>
    </row>
    <row r="11" spans="1:37" x14ac:dyDescent="0.25">
      <c r="A11" s="20" t="s">
        <v>0</v>
      </c>
      <c r="B11" s="20">
        <v>1.5094523999114999</v>
      </c>
      <c r="C11" s="20">
        <v>1.6763076527082541</v>
      </c>
      <c r="D11" s="20">
        <v>1.6809866387325101</v>
      </c>
      <c r="E11" s="20">
        <v>1.570929564987853</v>
      </c>
      <c r="F11" s="20">
        <v>1.4046337484457949</v>
      </c>
      <c r="G11" s="20">
        <v>1.223729357177219</v>
      </c>
      <c r="K11" s="20" t="s">
        <v>0</v>
      </c>
      <c r="L11" s="20">
        <v>1.5094523999114999</v>
      </c>
      <c r="M11" s="20">
        <v>1.6763076527082541</v>
      </c>
      <c r="N11" s="20">
        <v>1.6809866387325101</v>
      </c>
      <c r="O11" s="20">
        <v>1.570929564987853</v>
      </c>
      <c r="P11" s="20">
        <v>1.4046337484457949</v>
      </c>
      <c r="Q11" s="20">
        <v>1.223729357177219</v>
      </c>
      <c r="U11" s="20" t="s">
        <v>0</v>
      </c>
      <c r="V11" s="20">
        <v>1.5094523999114999</v>
      </c>
      <c r="W11" s="20">
        <v>1.6763076527082541</v>
      </c>
      <c r="X11" s="20">
        <v>1.6809866387325101</v>
      </c>
      <c r="Y11" s="20">
        <v>1.570929564987853</v>
      </c>
      <c r="Z11" s="20">
        <v>1.4046337484457949</v>
      </c>
      <c r="AA11" s="20">
        <v>1.223729357177219</v>
      </c>
      <c r="AE11" s="20" t="s">
        <v>0</v>
      </c>
      <c r="AF11" s="20">
        <v>1.5094523999114999</v>
      </c>
      <c r="AG11" s="20">
        <v>1.6763076527082541</v>
      </c>
      <c r="AH11" s="20">
        <v>1.6809866387325101</v>
      </c>
      <c r="AI11" s="20">
        <v>1.570929564987853</v>
      </c>
      <c r="AJ11" s="20">
        <v>1.4046337484457949</v>
      </c>
      <c r="AK11" s="20">
        <v>1.223729357177219</v>
      </c>
    </row>
    <row r="12" spans="1:37" x14ac:dyDescent="0.25">
      <c r="A12" s="20" t="s">
        <v>1</v>
      </c>
      <c r="B12" s="20">
        <v>2.2590182415933011</v>
      </c>
      <c r="C12" s="20">
        <v>4.6555506702763836</v>
      </c>
      <c r="D12" s="20">
        <v>8.6636042590252504</v>
      </c>
      <c r="E12" s="20">
        <v>15.02477829806918</v>
      </c>
      <c r="F12" s="20">
        <v>24.930527769864749</v>
      </c>
      <c r="G12" s="20">
        <v>40.306098977364179</v>
      </c>
      <c r="K12" s="20" t="s">
        <v>1</v>
      </c>
      <c r="L12" s="20">
        <v>2.2590182415933011</v>
      </c>
      <c r="M12" s="20">
        <v>4.6555506702763836</v>
      </c>
      <c r="N12" s="20">
        <v>8.6636042590252504</v>
      </c>
      <c r="O12" s="20">
        <v>15.02477829806918</v>
      </c>
      <c r="P12" s="20">
        <v>24.930527769864749</v>
      </c>
      <c r="Q12" s="20">
        <v>40.306098977364179</v>
      </c>
      <c r="U12" s="20" t="s">
        <v>1</v>
      </c>
      <c r="V12" s="20">
        <v>2.2590182415933011</v>
      </c>
      <c r="W12" s="20">
        <v>4.6555506702763836</v>
      </c>
      <c r="X12" s="20">
        <v>8.6636042590252504</v>
      </c>
      <c r="Y12" s="20">
        <v>15.02477829806918</v>
      </c>
      <c r="Z12" s="20">
        <v>24.930527769864749</v>
      </c>
      <c r="AA12" s="20">
        <v>40.306098977364179</v>
      </c>
      <c r="AE12" s="20" t="s">
        <v>1</v>
      </c>
      <c r="AF12" s="20">
        <v>2.2590182415933011</v>
      </c>
      <c r="AG12" s="20">
        <v>4.6555506702763836</v>
      </c>
      <c r="AH12" s="20">
        <v>8.6636042590252504</v>
      </c>
      <c r="AI12" s="20">
        <v>15.02477829806918</v>
      </c>
      <c r="AJ12" s="20">
        <v>24.930527769864749</v>
      </c>
      <c r="AK12" s="20">
        <v>40.306098977364179</v>
      </c>
    </row>
    <row r="13" spans="1:37" x14ac:dyDescent="0.25">
      <c r="A13" s="20" t="s">
        <v>2</v>
      </c>
      <c r="B13" s="20">
        <v>3.768470641504801</v>
      </c>
      <c r="C13" s="20">
        <v>6.3318583229846377</v>
      </c>
      <c r="D13" s="20">
        <v>10.34459089775776</v>
      </c>
      <c r="E13" s="20">
        <v>16.595707863057029</v>
      </c>
      <c r="F13" s="20">
        <v>26.335161518310539</v>
      </c>
      <c r="G13" s="20">
        <v>41.529828334541399</v>
      </c>
      <c r="K13" s="20" t="s">
        <v>2</v>
      </c>
      <c r="L13" s="20">
        <v>3.768470641504801</v>
      </c>
      <c r="M13" s="20">
        <v>6.3318583229846377</v>
      </c>
      <c r="N13" s="20">
        <v>10.34459089775776</v>
      </c>
      <c r="O13" s="20">
        <v>16.595707863057029</v>
      </c>
      <c r="P13" s="20">
        <v>26.335161518310539</v>
      </c>
      <c r="Q13" s="20">
        <v>41.529828334541399</v>
      </c>
      <c r="U13" s="20" t="s">
        <v>2</v>
      </c>
      <c r="V13" s="20">
        <v>3.768470641504801</v>
      </c>
      <c r="W13" s="20">
        <v>6.3318583229846377</v>
      </c>
      <c r="X13" s="20">
        <v>10.34459089775776</v>
      </c>
      <c r="Y13" s="20">
        <v>16.595707863057029</v>
      </c>
      <c r="Z13" s="20">
        <v>26.335161518310539</v>
      </c>
      <c r="AA13" s="20">
        <v>41.529828334541399</v>
      </c>
      <c r="AE13" s="20" t="s">
        <v>2</v>
      </c>
      <c r="AF13" s="20">
        <v>3.768470641504801</v>
      </c>
      <c r="AG13" s="20">
        <v>6.3318583229846377</v>
      </c>
      <c r="AH13" s="20">
        <v>10.34459089775776</v>
      </c>
      <c r="AI13" s="20">
        <v>16.595707863057029</v>
      </c>
      <c r="AJ13" s="20">
        <v>26.335161518310539</v>
      </c>
      <c r="AK13" s="20">
        <v>41.529828334541399</v>
      </c>
    </row>
    <row r="14" spans="1:37" x14ac:dyDescent="0.25">
      <c r="A14" s="20" t="s">
        <v>3</v>
      </c>
      <c r="B14" s="20">
        <v>1.496581304402675</v>
      </c>
      <c r="C14" s="20">
        <v>2.777265057971217</v>
      </c>
      <c r="D14" s="20">
        <v>5.1538805005361263</v>
      </c>
      <c r="E14" s="20">
        <v>9.5642596797045805</v>
      </c>
      <c r="F14" s="20">
        <v>17.748774580882721</v>
      </c>
      <c r="G14" s="20">
        <v>32.937102261188201</v>
      </c>
      <c r="K14" s="20" t="s">
        <v>3</v>
      </c>
      <c r="L14" s="20">
        <v>1.496581304402675</v>
      </c>
      <c r="M14" s="20">
        <v>2.777265057971217</v>
      </c>
      <c r="N14" s="20">
        <v>5.1538805005361263</v>
      </c>
      <c r="O14" s="20">
        <v>9.5642596797045805</v>
      </c>
      <c r="P14" s="20">
        <v>17.748774580882721</v>
      </c>
      <c r="Q14" s="20">
        <v>32.937102261188201</v>
      </c>
      <c r="U14" s="20" t="s">
        <v>3</v>
      </c>
      <c r="V14" s="20">
        <v>1.496581304402675</v>
      </c>
      <c r="W14" s="20">
        <v>2.777265057971217</v>
      </c>
      <c r="X14" s="20">
        <v>5.1538805005361263</v>
      </c>
      <c r="Y14" s="20">
        <v>9.5642596797045805</v>
      </c>
      <c r="Z14" s="20">
        <v>17.748774580882721</v>
      </c>
      <c r="AA14" s="20">
        <v>32.937102261188201</v>
      </c>
      <c r="AE14" s="20" t="s">
        <v>3</v>
      </c>
      <c r="AF14" s="20">
        <v>1.496581304402675</v>
      </c>
      <c r="AG14" s="20">
        <v>2.777265057971217</v>
      </c>
      <c r="AH14" s="20">
        <v>5.1538805005361263</v>
      </c>
      <c r="AI14" s="20">
        <v>9.5642596797045805</v>
      </c>
      <c r="AJ14" s="20">
        <v>17.748774580882721</v>
      </c>
      <c r="AK14" s="20">
        <v>32.937102261188201</v>
      </c>
    </row>
    <row r="15" spans="1:37" x14ac:dyDescent="0.25">
      <c r="A15" s="20" t="s">
        <v>18</v>
      </c>
      <c r="B15" s="20">
        <v>47481.627330410549</v>
      </c>
      <c r="C15" s="20">
        <v>111810.56769758731</v>
      </c>
      <c r="D15" s="20">
        <v>206524.08446256211</v>
      </c>
      <c r="E15" s="20">
        <v>321199.2669600175</v>
      </c>
      <c r="F15" s="20">
        <v>449527.21310879482</v>
      </c>
      <c r="G15" s="20">
        <v>591757.01203304692</v>
      </c>
      <c r="K15" s="20" t="s">
        <v>18</v>
      </c>
      <c r="L15" s="20">
        <v>47481.627330410549</v>
      </c>
      <c r="M15" s="20">
        <v>111810.56769758731</v>
      </c>
      <c r="N15" s="20">
        <v>206524.08446256211</v>
      </c>
      <c r="O15" s="20">
        <v>321199.2669600175</v>
      </c>
      <c r="P15" s="20">
        <v>449527.21310879482</v>
      </c>
      <c r="Q15" s="20">
        <v>591757.01203304692</v>
      </c>
      <c r="U15" s="20" t="s">
        <v>18</v>
      </c>
      <c r="V15" s="20">
        <v>47481.627330410549</v>
      </c>
      <c r="W15" s="20">
        <v>111810.56769758731</v>
      </c>
      <c r="X15" s="20">
        <v>206524.08446256211</v>
      </c>
      <c r="Y15" s="20">
        <v>321199.2669600175</v>
      </c>
      <c r="Z15" s="20">
        <v>449527.21310879482</v>
      </c>
      <c r="AA15" s="20">
        <v>591757.01203304692</v>
      </c>
      <c r="AE15" s="20" t="s">
        <v>18</v>
      </c>
      <c r="AF15" s="20">
        <v>47481.627330410549</v>
      </c>
      <c r="AG15" s="20">
        <v>111810.56769758731</v>
      </c>
      <c r="AH15" s="20">
        <v>206524.08446256211</v>
      </c>
      <c r="AI15" s="20">
        <v>321199.2669600175</v>
      </c>
      <c r="AJ15" s="20">
        <v>449527.21310879482</v>
      </c>
      <c r="AK15" s="20">
        <v>591757.01203304692</v>
      </c>
    </row>
    <row r="16" spans="1:37" x14ac:dyDescent="0.25">
      <c r="A16" s="20" t="s">
        <v>19</v>
      </c>
      <c r="B16" s="20">
        <v>59235.606824504393</v>
      </c>
      <c r="C16" s="20">
        <v>139489.04448599159</v>
      </c>
      <c r="D16" s="20">
        <v>257648.69813507481</v>
      </c>
      <c r="E16" s="20">
        <v>400711.48694132408</v>
      </c>
      <c r="F16" s="20">
        <v>560806.75304852705</v>
      </c>
      <c r="G16" s="20">
        <v>738245.24708281481</v>
      </c>
      <c r="K16" s="20" t="s">
        <v>19</v>
      </c>
      <c r="L16" s="20">
        <v>59235.606824504393</v>
      </c>
      <c r="M16" s="20">
        <v>139489.04448599159</v>
      </c>
      <c r="N16" s="20">
        <v>257648.69813507481</v>
      </c>
      <c r="O16" s="20">
        <v>400711.48694132408</v>
      </c>
      <c r="P16" s="20">
        <v>560806.75304852705</v>
      </c>
      <c r="Q16" s="20">
        <v>738245.24708281481</v>
      </c>
      <c r="U16" s="20" t="s">
        <v>19</v>
      </c>
      <c r="V16" s="20">
        <v>59235.606824504393</v>
      </c>
      <c r="W16" s="20">
        <v>139489.04448599159</v>
      </c>
      <c r="X16" s="20">
        <v>257648.69813507481</v>
      </c>
      <c r="Y16" s="20">
        <v>400711.48694132408</v>
      </c>
      <c r="Z16" s="20">
        <v>560806.75304852705</v>
      </c>
      <c r="AA16" s="20">
        <v>738245.24708281481</v>
      </c>
      <c r="AE16" s="20" t="s">
        <v>19</v>
      </c>
      <c r="AF16" s="20">
        <v>59235.606824504393</v>
      </c>
      <c r="AG16" s="20">
        <v>139489.04448599159</v>
      </c>
      <c r="AH16" s="20">
        <v>257648.69813507481</v>
      </c>
      <c r="AI16" s="20">
        <v>400711.48694132408</v>
      </c>
      <c r="AJ16" s="20">
        <v>560806.75304852705</v>
      </c>
      <c r="AK16" s="20">
        <v>738245.24708281481</v>
      </c>
    </row>
    <row r="17" spans="1:37" x14ac:dyDescent="0.25">
      <c r="A17" s="20" t="s">
        <v>7</v>
      </c>
      <c r="B17" s="20">
        <v>19.567530000000001</v>
      </c>
      <c r="C17" s="20">
        <v>19.567530000000001</v>
      </c>
      <c r="D17" s="20">
        <v>19.567530000000001</v>
      </c>
      <c r="E17" s="20">
        <v>19.567530000000001</v>
      </c>
      <c r="F17" s="20">
        <v>19.567530000000001</v>
      </c>
      <c r="G17" s="20">
        <v>19.567530000000001</v>
      </c>
      <c r="K17" s="20" t="s">
        <v>7</v>
      </c>
      <c r="L17" s="20">
        <v>19.567530000000001</v>
      </c>
      <c r="M17" s="20">
        <v>19.567530000000001</v>
      </c>
      <c r="N17" s="20">
        <v>19.567530000000001</v>
      </c>
      <c r="O17" s="20">
        <v>19.567530000000001</v>
      </c>
      <c r="P17" s="20">
        <v>19.567530000000001</v>
      </c>
      <c r="Q17" s="20">
        <v>19.567530000000001</v>
      </c>
      <c r="U17" s="20" t="s">
        <v>7</v>
      </c>
      <c r="V17" s="20">
        <v>19.567530000000001</v>
      </c>
      <c r="W17" s="20">
        <v>19.567530000000001</v>
      </c>
      <c r="X17" s="20">
        <v>19.567530000000001</v>
      </c>
      <c r="Y17" s="20">
        <v>19.567530000000001</v>
      </c>
      <c r="Z17" s="20">
        <v>19.567530000000001</v>
      </c>
      <c r="AA17" s="20">
        <v>19.567530000000001</v>
      </c>
      <c r="AE17" s="20" t="s">
        <v>7</v>
      </c>
      <c r="AF17" s="20">
        <v>19.567530000000001</v>
      </c>
      <c r="AG17" s="20">
        <v>19.567530000000001</v>
      </c>
      <c r="AH17" s="20">
        <v>19.567530000000001</v>
      </c>
      <c r="AI17" s="20">
        <v>19.567530000000001</v>
      </c>
      <c r="AJ17" s="20">
        <v>19.567530000000001</v>
      </c>
      <c r="AK17" s="20">
        <v>19.567530000000001</v>
      </c>
    </row>
    <row r="18" spans="1:37" x14ac:dyDescent="0.25">
      <c r="A18" s="20" t="s">
        <v>52</v>
      </c>
      <c r="B18" s="20">
        <v>29.615512893999998</v>
      </c>
      <c r="C18" s="20">
        <v>29.615512893999998</v>
      </c>
      <c r="D18" s="20">
        <v>29.615512893999998</v>
      </c>
      <c r="E18" s="20">
        <v>29.615512893999998</v>
      </c>
      <c r="F18" s="20">
        <v>29.615512893999998</v>
      </c>
      <c r="G18" s="20">
        <v>29.615512893999998</v>
      </c>
      <c r="K18" s="20" t="s">
        <v>52</v>
      </c>
      <c r="L18" s="20">
        <v>29.615512893999998</v>
      </c>
      <c r="M18" s="20">
        <v>29.615512893999998</v>
      </c>
      <c r="N18" s="20">
        <v>29.615512893999998</v>
      </c>
      <c r="O18" s="20">
        <v>29.615512893999998</v>
      </c>
      <c r="P18" s="20">
        <v>29.615512893999998</v>
      </c>
      <c r="Q18" s="20">
        <v>29.615512893999998</v>
      </c>
      <c r="U18" s="20" t="s">
        <v>52</v>
      </c>
      <c r="V18" s="20">
        <v>29.615512893999998</v>
      </c>
      <c r="W18" s="20">
        <v>29.615512893999998</v>
      </c>
      <c r="X18" s="20">
        <v>29.615512893999998</v>
      </c>
      <c r="Y18" s="20">
        <v>29.615512893999998</v>
      </c>
      <c r="Z18" s="20">
        <v>29.615512893999998</v>
      </c>
      <c r="AA18" s="20">
        <v>29.615512893999998</v>
      </c>
      <c r="AE18" s="20" t="s">
        <v>52</v>
      </c>
      <c r="AF18" s="20">
        <v>29.615512893999998</v>
      </c>
      <c r="AG18" s="20">
        <v>29.615512893999998</v>
      </c>
      <c r="AH18" s="20">
        <v>29.615512893999998</v>
      </c>
      <c r="AI18" s="20">
        <v>29.615512893999998</v>
      </c>
      <c r="AJ18" s="20">
        <v>29.615512893999998</v>
      </c>
      <c r="AK18" s="20">
        <v>29.615512893999998</v>
      </c>
    </row>
    <row r="19" spans="1:37" x14ac:dyDescent="0.25">
      <c r="A19" s="20" t="s">
        <v>4</v>
      </c>
      <c r="B19" s="20">
        <v>0.99004983374916744</v>
      </c>
      <c r="C19" s="20">
        <v>0.99004983374916744</v>
      </c>
      <c r="D19" s="20">
        <v>0.99004983374916744</v>
      </c>
      <c r="E19" s="20">
        <v>0.99004983374916744</v>
      </c>
      <c r="F19" s="20">
        <v>0.99004983374916744</v>
      </c>
      <c r="G19" s="20">
        <v>0.99004983374916744</v>
      </c>
      <c r="K19" s="20" t="s">
        <v>4</v>
      </c>
      <c r="L19" s="20">
        <v>0.99004983374916744</v>
      </c>
      <c r="M19" s="20">
        <v>0.99004983374916744</v>
      </c>
      <c r="N19" s="20">
        <v>0.99004983374916744</v>
      </c>
      <c r="O19" s="20">
        <v>0.99004983374916744</v>
      </c>
      <c r="P19" s="20">
        <v>0.99004983374916744</v>
      </c>
      <c r="Q19" s="20">
        <v>0.99004983374916744</v>
      </c>
      <c r="U19" s="20" t="s">
        <v>4</v>
      </c>
      <c r="V19" s="20">
        <v>0.99004983374916744</v>
      </c>
      <c r="W19" s="20">
        <v>0.99004983374916744</v>
      </c>
      <c r="X19" s="20">
        <v>0.99004983374916744</v>
      </c>
      <c r="Y19" s="20">
        <v>0.99004983374916744</v>
      </c>
      <c r="Z19" s="20">
        <v>0.99004983374916744</v>
      </c>
      <c r="AA19" s="20">
        <v>0.99004983374916744</v>
      </c>
      <c r="AE19" s="20" t="s">
        <v>4</v>
      </c>
      <c r="AF19" s="20">
        <v>0.99004983374916744</v>
      </c>
      <c r="AG19" s="20">
        <v>0.99004983374916744</v>
      </c>
      <c r="AH19" s="20">
        <v>0.99004983374916744</v>
      </c>
      <c r="AI19" s="20">
        <v>0.99004983374916744</v>
      </c>
      <c r="AJ19" s="20">
        <v>0.99004983374916744</v>
      </c>
      <c r="AK19" s="20">
        <v>0.99004983374916744</v>
      </c>
    </row>
    <row r="20" spans="1:37" x14ac:dyDescent="0.25">
      <c r="A20" s="20" t="s">
        <v>5</v>
      </c>
      <c r="B20" s="20">
        <v>1</v>
      </c>
      <c r="C20" s="20">
        <v>1</v>
      </c>
      <c r="D20" s="20">
        <v>1</v>
      </c>
      <c r="E20" s="20">
        <v>1</v>
      </c>
      <c r="F20" s="20">
        <v>1</v>
      </c>
      <c r="G20" s="20">
        <v>1</v>
      </c>
      <c r="K20" s="20" t="s">
        <v>5</v>
      </c>
      <c r="L20" s="20">
        <v>1</v>
      </c>
      <c r="M20" s="20">
        <v>1</v>
      </c>
      <c r="N20" s="20">
        <v>1</v>
      </c>
      <c r="O20" s="20">
        <v>1</v>
      </c>
      <c r="P20" s="20">
        <v>1</v>
      </c>
      <c r="Q20" s="20">
        <v>1</v>
      </c>
      <c r="U20" s="20" t="s">
        <v>5</v>
      </c>
      <c r="V20" s="20">
        <v>1</v>
      </c>
      <c r="W20" s="20">
        <v>1</v>
      </c>
      <c r="X20" s="20">
        <v>1</v>
      </c>
      <c r="Y20" s="20">
        <v>1</v>
      </c>
      <c r="Z20" s="20">
        <v>1</v>
      </c>
      <c r="AA20" s="20">
        <v>1</v>
      </c>
      <c r="AE20" s="20" t="s">
        <v>5</v>
      </c>
      <c r="AF20" s="20">
        <v>1</v>
      </c>
      <c r="AG20" s="20">
        <v>1</v>
      </c>
      <c r="AH20" s="20">
        <v>1</v>
      </c>
      <c r="AI20" s="20">
        <v>1</v>
      </c>
      <c r="AJ20" s="20">
        <v>1</v>
      </c>
      <c r="AK20" s="20">
        <v>1</v>
      </c>
    </row>
    <row r="21" spans="1:37" x14ac:dyDescent="0.25">
      <c r="A21" s="20" t="s">
        <v>20</v>
      </c>
      <c r="B21" s="20">
        <v>1</v>
      </c>
      <c r="C21" s="20">
        <v>0.90022563327805616</v>
      </c>
      <c r="D21" s="20">
        <v>0.90022563327805616</v>
      </c>
      <c r="E21" s="20">
        <v>0.90022563327805616</v>
      </c>
      <c r="F21" s="20">
        <v>0.90022563327805616</v>
      </c>
      <c r="G21" s="20">
        <v>0.90022563327805616</v>
      </c>
      <c r="K21" s="20" t="s">
        <v>20</v>
      </c>
      <c r="L21" s="20">
        <v>1</v>
      </c>
      <c r="M21" s="20">
        <v>0.90022563327805616</v>
      </c>
      <c r="N21" s="20">
        <v>0.90022563327805616</v>
      </c>
      <c r="O21" s="20">
        <v>0.90022563327805616</v>
      </c>
      <c r="P21" s="20">
        <v>0.90022563327805616</v>
      </c>
      <c r="Q21" s="20">
        <v>0.90022563327805616</v>
      </c>
      <c r="U21" s="20" t="s">
        <v>20</v>
      </c>
      <c r="V21" s="20">
        <v>1</v>
      </c>
      <c r="W21" s="20">
        <v>0.90022563327805616</v>
      </c>
      <c r="X21" s="20">
        <v>0.90022563327805616</v>
      </c>
      <c r="Y21" s="20">
        <v>0.90022563327805616</v>
      </c>
      <c r="Z21" s="20">
        <v>0.90022563327805616</v>
      </c>
      <c r="AA21" s="20">
        <v>0.90022563327805616</v>
      </c>
      <c r="AE21" s="20" t="s">
        <v>20</v>
      </c>
      <c r="AF21" s="20">
        <v>1</v>
      </c>
      <c r="AG21" s="20">
        <v>0.90022563327805616</v>
      </c>
      <c r="AH21" s="20">
        <v>0.90022563327805616</v>
      </c>
      <c r="AI21" s="20">
        <v>0.90022563327805616</v>
      </c>
      <c r="AJ21" s="20">
        <v>0.90022563327805616</v>
      </c>
      <c r="AK21" s="20">
        <v>0.90022563327805616</v>
      </c>
    </row>
    <row r="22" spans="1:37" x14ac:dyDescent="0.25">
      <c r="A22" s="20" t="s">
        <v>21</v>
      </c>
      <c r="B22" s="20">
        <v>1</v>
      </c>
      <c r="C22" s="20">
        <v>0.97405330480158026</v>
      </c>
      <c r="D22" s="20">
        <v>0.97405330480158026</v>
      </c>
      <c r="E22" s="20">
        <v>0.97405330480158026</v>
      </c>
      <c r="F22" s="20">
        <v>0.97405330480158026</v>
      </c>
      <c r="G22" s="20">
        <v>0.97405330480158026</v>
      </c>
      <c r="K22" s="20" t="s">
        <v>21</v>
      </c>
      <c r="L22" s="20">
        <v>1</v>
      </c>
      <c r="M22" s="20">
        <v>0.97405330480158026</v>
      </c>
      <c r="N22" s="20">
        <v>0.97405330480158026</v>
      </c>
      <c r="O22" s="20">
        <v>0.97405330480158026</v>
      </c>
      <c r="P22" s="20">
        <v>0.97405330480158026</v>
      </c>
      <c r="Q22" s="20">
        <v>0.97405330480158026</v>
      </c>
      <c r="U22" s="20" t="s">
        <v>21</v>
      </c>
      <c r="V22" s="20">
        <v>1</v>
      </c>
      <c r="W22" s="20">
        <v>0.97405330480158026</v>
      </c>
      <c r="X22" s="20">
        <v>0.97405330480158026</v>
      </c>
      <c r="Y22" s="20">
        <v>0.97405330480158026</v>
      </c>
      <c r="Z22" s="20">
        <v>0.97405330480158026</v>
      </c>
      <c r="AA22" s="20">
        <v>0.97405330480158026</v>
      </c>
      <c r="AE22" s="20" t="s">
        <v>21</v>
      </c>
      <c r="AF22" s="20">
        <v>1</v>
      </c>
      <c r="AG22" s="20">
        <v>0.97405330480158026</v>
      </c>
      <c r="AH22" s="20">
        <v>0.97405330480158026</v>
      </c>
      <c r="AI22" s="20">
        <v>0.97405330480158026</v>
      </c>
      <c r="AJ22" s="20">
        <v>0.97405330480158026</v>
      </c>
      <c r="AK22" s="20">
        <v>0.97405330480158026</v>
      </c>
    </row>
    <row r="23" spans="1:37" x14ac:dyDescent="0.25">
      <c r="A23" s="20" t="s">
        <v>10</v>
      </c>
      <c r="B23" s="20">
        <v>0.92911705603913586</v>
      </c>
      <c r="C23" s="20">
        <v>0.14968876717227531</v>
      </c>
      <c r="D23" s="20">
        <v>1.9106517257996909E-2</v>
      </c>
      <c r="E23" s="20">
        <v>2.0534769727250232E-3</v>
      </c>
      <c r="F23" s="20">
        <v>1.9859840022960049E-4</v>
      </c>
      <c r="G23" s="20">
        <v>1.8066234250753119E-5</v>
      </c>
      <c r="K23" s="20" t="s">
        <v>10</v>
      </c>
      <c r="L23" s="20">
        <v>0.92911705603913586</v>
      </c>
      <c r="M23" s="20">
        <v>0.14968876717227531</v>
      </c>
      <c r="N23" s="20">
        <v>1.9106517257996909E-2</v>
      </c>
      <c r="O23" s="20">
        <v>2.0534769727250232E-3</v>
      </c>
      <c r="P23" s="20">
        <v>1.9859840022960049E-4</v>
      </c>
      <c r="Q23" s="20">
        <v>1.8066234250753119E-5</v>
      </c>
      <c r="U23" s="20" t="s">
        <v>10</v>
      </c>
      <c r="V23" s="20">
        <v>0.92911705603913586</v>
      </c>
      <c r="W23" s="20">
        <v>0.14968876717227531</v>
      </c>
      <c r="X23" s="20">
        <v>1.9106517257996909E-2</v>
      </c>
      <c r="Y23" s="20">
        <v>2.0534769727250232E-3</v>
      </c>
      <c r="Z23" s="20">
        <v>1.9859840022960049E-4</v>
      </c>
      <c r="AA23" s="20">
        <v>1.8066234250753119E-5</v>
      </c>
      <c r="AE23" s="20" t="s">
        <v>10</v>
      </c>
      <c r="AF23" s="20">
        <v>0.92911705603913586</v>
      </c>
      <c r="AG23" s="20">
        <v>0.14968876717227531</v>
      </c>
      <c r="AH23" s="20">
        <v>1.9106517257996909E-2</v>
      </c>
      <c r="AI23" s="20">
        <v>2.0534769727250232E-3</v>
      </c>
      <c r="AJ23" s="20">
        <v>1.9859840022960049E-4</v>
      </c>
      <c r="AK23" s="20">
        <v>1.8066234250753119E-5</v>
      </c>
    </row>
    <row r="24" spans="1:37" x14ac:dyDescent="0.25">
      <c r="A24" s="20" t="s">
        <v>12</v>
      </c>
      <c r="B24" s="20">
        <v>0.84452039226731712</v>
      </c>
      <c r="C24" s="20">
        <v>1.629821049770781</v>
      </c>
      <c r="D24" s="20">
        <v>2.467176956007568</v>
      </c>
      <c r="E24" s="20">
        <v>3.1446814889134398</v>
      </c>
      <c r="F24" s="20">
        <v>3.6068711735967249</v>
      </c>
      <c r="G24" s="20">
        <v>3.891262961145622</v>
      </c>
      <c r="K24" s="20" t="s">
        <v>12</v>
      </c>
      <c r="L24" s="20">
        <v>0.84452039226731712</v>
      </c>
      <c r="M24" s="20">
        <v>1.629821049770781</v>
      </c>
      <c r="N24" s="20">
        <v>2.467176956007568</v>
      </c>
      <c r="O24" s="20">
        <v>3.1446814889134398</v>
      </c>
      <c r="P24" s="20">
        <v>3.6068711735967249</v>
      </c>
      <c r="Q24" s="20">
        <v>3.891262961145622</v>
      </c>
      <c r="U24" s="20" t="s">
        <v>12</v>
      </c>
      <c r="V24" s="20">
        <v>0.84452039226731712</v>
      </c>
      <c r="W24" s="20">
        <v>1.629821049770781</v>
      </c>
      <c r="X24" s="20">
        <v>2.467176956007568</v>
      </c>
      <c r="Y24" s="20">
        <v>3.1446814889134398</v>
      </c>
      <c r="Z24" s="20">
        <v>3.6068711735967249</v>
      </c>
      <c r="AA24" s="20">
        <v>3.891262961145622</v>
      </c>
      <c r="AE24" s="20" t="s">
        <v>12</v>
      </c>
      <c r="AF24" s="20">
        <v>0.84452039226731712</v>
      </c>
      <c r="AG24" s="20">
        <v>1.629821049770781</v>
      </c>
      <c r="AH24" s="20">
        <v>2.467176956007568</v>
      </c>
      <c r="AI24" s="20">
        <v>3.1446814889134398</v>
      </c>
      <c r="AJ24" s="20">
        <v>3.6068711735967249</v>
      </c>
      <c r="AK24" s="20">
        <v>3.891262961145622</v>
      </c>
    </row>
    <row r="25" spans="1:37" x14ac:dyDescent="0.25">
      <c r="A25" s="20" t="s">
        <v>11</v>
      </c>
      <c r="B25" s="20">
        <v>69442.597888141609</v>
      </c>
      <c r="C25" s="20">
        <v>1127194.195285544</v>
      </c>
      <c r="D25" s="20">
        <v>16357043.593273619</v>
      </c>
      <c r="E25" s="20">
        <v>221203908.6106945</v>
      </c>
      <c r="F25" s="20">
        <v>2862165324.0603251</v>
      </c>
      <c r="G25" s="20">
        <v>36083821815.493607</v>
      </c>
      <c r="K25" s="20" t="s">
        <v>11</v>
      </c>
      <c r="L25" s="20">
        <v>69442.597888141609</v>
      </c>
      <c r="M25" s="20">
        <v>1127194.195285544</v>
      </c>
      <c r="N25" s="20">
        <v>16357043.593273619</v>
      </c>
      <c r="O25" s="20">
        <v>221203908.6106945</v>
      </c>
      <c r="P25" s="20">
        <v>2862165324.0603251</v>
      </c>
      <c r="Q25" s="20">
        <v>36083821815.493607</v>
      </c>
      <c r="U25" s="20" t="s">
        <v>11</v>
      </c>
      <c r="V25" s="20">
        <v>69442.597888141609</v>
      </c>
      <c r="W25" s="20">
        <v>1127194.195285544</v>
      </c>
      <c r="X25" s="20">
        <v>16357043.593273619</v>
      </c>
      <c r="Y25" s="20">
        <v>221203908.6106945</v>
      </c>
      <c r="Z25" s="20">
        <v>2862165324.0603251</v>
      </c>
      <c r="AA25" s="20">
        <v>36083821815.493607</v>
      </c>
      <c r="AE25" s="20" t="s">
        <v>11</v>
      </c>
      <c r="AF25" s="20">
        <v>69442.597888141609</v>
      </c>
      <c r="AG25" s="20">
        <v>1127194.195285544</v>
      </c>
      <c r="AH25" s="20">
        <v>16357043.593273619</v>
      </c>
      <c r="AI25" s="20">
        <v>221203908.6106945</v>
      </c>
      <c r="AJ25" s="20">
        <v>2862165324.0603251</v>
      </c>
      <c r="AK25" s="20">
        <v>36083821815.493607</v>
      </c>
    </row>
    <row r="26" spans="1:37" x14ac:dyDescent="0.25">
      <c r="A26" s="20" t="s">
        <v>13</v>
      </c>
      <c r="B26" s="20">
        <v>154338.81559505401</v>
      </c>
      <c r="C26" s="20">
        <v>388109.21880770841</v>
      </c>
      <c r="D26" s="20">
        <v>881269.99284141744</v>
      </c>
      <c r="E26" s="20">
        <v>1864858.6726002989</v>
      </c>
      <c r="F26" s="20">
        <v>3775694.0916105001</v>
      </c>
      <c r="G26" s="20">
        <v>7448409.9322507251</v>
      </c>
      <c r="K26" s="20" t="s">
        <v>13</v>
      </c>
      <c r="L26" s="20">
        <v>154338.81559505401</v>
      </c>
      <c r="M26" s="20">
        <v>388109.21880770841</v>
      </c>
      <c r="N26" s="20">
        <v>881269.99284141744</v>
      </c>
      <c r="O26" s="20">
        <v>1864858.6726002989</v>
      </c>
      <c r="P26" s="20">
        <v>3775694.0916105001</v>
      </c>
      <c r="Q26" s="20">
        <v>7448409.9322507251</v>
      </c>
      <c r="U26" s="20" t="s">
        <v>13</v>
      </c>
      <c r="V26" s="20">
        <v>154338.81559505401</v>
      </c>
      <c r="W26" s="20">
        <v>388109.21880770841</v>
      </c>
      <c r="X26" s="20">
        <v>881269.99284141744</v>
      </c>
      <c r="Y26" s="20">
        <v>1864858.6726002989</v>
      </c>
      <c r="Z26" s="20">
        <v>3775694.0916105001</v>
      </c>
      <c r="AA26" s="20">
        <v>7448409.9322507251</v>
      </c>
      <c r="AE26" s="20" t="s">
        <v>13</v>
      </c>
      <c r="AF26" s="20">
        <v>154338.81559505401</v>
      </c>
      <c r="AG26" s="20">
        <v>388109.21880770841</v>
      </c>
      <c r="AH26" s="20">
        <v>881269.99284141744</v>
      </c>
      <c r="AI26" s="20">
        <v>1864858.6726002989</v>
      </c>
      <c r="AJ26" s="20">
        <v>3775694.0916105001</v>
      </c>
      <c r="AK26" s="20">
        <v>7448409.9322507251</v>
      </c>
    </row>
    <row r="27" spans="1:37" x14ac:dyDescent="0.25">
      <c r="A27" s="20" t="s">
        <v>22</v>
      </c>
      <c r="B27" s="20">
        <v>18427.26254075639</v>
      </c>
      <c r="C27" s="20">
        <v>75928.125015397236</v>
      </c>
      <c r="D27" s="20">
        <v>144236.2590445028</v>
      </c>
      <c r="E27" s="20">
        <v>228443.05522539199</v>
      </c>
      <c r="F27" s="20">
        <v>323222.55454639468</v>
      </c>
      <c r="G27" s="20">
        <v>428159.06043698522</v>
      </c>
      <c r="K27" s="20" t="s">
        <v>22</v>
      </c>
      <c r="L27" s="20">
        <v>18427.26254075639</v>
      </c>
      <c r="M27" s="20">
        <v>75928.125015397236</v>
      </c>
      <c r="N27" s="20">
        <v>144236.2590445028</v>
      </c>
      <c r="O27" s="20">
        <v>228443.05522539199</v>
      </c>
      <c r="P27" s="20">
        <v>323222.55454639468</v>
      </c>
      <c r="Q27" s="20">
        <v>428159.06043698522</v>
      </c>
      <c r="U27" s="20" t="s">
        <v>22</v>
      </c>
      <c r="V27" s="20">
        <v>18427.26254075639</v>
      </c>
      <c r="W27" s="20">
        <v>75928.125015397236</v>
      </c>
      <c r="X27" s="20">
        <v>144236.2590445028</v>
      </c>
      <c r="Y27" s="20">
        <v>228443.05522539199</v>
      </c>
      <c r="Z27" s="20">
        <v>323222.55454639468</v>
      </c>
      <c r="AA27" s="20">
        <v>428159.06043698522</v>
      </c>
      <c r="AE27" s="20" t="s">
        <v>22</v>
      </c>
      <c r="AF27" s="20">
        <v>18427.26254075639</v>
      </c>
      <c r="AG27" s="20">
        <v>75928.125015397236</v>
      </c>
      <c r="AH27" s="20">
        <v>144236.2590445028</v>
      </c>
      <c r="AI27" s="20">
        <v>228443.05522539199</v>
      </c>
      <c r="AJ27" s="20">
        <v>323222.55454639468</v>
      </c>
      <c r="AK27" s="20">
        <v>428159.06043698522</v>
      </c>
    </row>
    <row r="32" spans="1:37" x14ac:dyDescent="0.25">
      <c r="A32" s="20" t="s">
        <v>15</v>
      </c>
      <c r="B32" s="20">
        <v>2000</v>
      </c>
      <c r="C32" s="20">
        <v>2020</v>
      </c>
      <c r="D32" s="20">
        <v>2040</v>
      </c>
      <c r="E32" s="20">
        <v>2060</v>
      </c>
      <c r="F32" s="20">
        <v>2080</v>
      </c>
      <c r="G32" s="20">
        <v>2100</v>
      </c>
      <c r="K32" s="20" t="s">
        <v>15</v>
      </c>
      <c r="L32" s="20">
        <v>2000</v>
      </c>
      <c r="M32" s="20">
        <v>2020</v>
      </c>
      <c r="N32" s="20">
        <v>2040</v>
      </c>
      <c r="O32" s="20">
        <v>2060</v>
      </c>
      <c r="P32" s="20">
        <v>2080</v>
      </c>
      <c r="Q32" s="20">
        <v>2100</v>
      </c>
      <c r="U32" s="20" t="s">
        <v>15</v>
      </c>
      <c r="V32" s="20">
        <v>2000</v>
      </c>
      <c r="W32" s="20">
        <v>2020</v>
      </c>
      <c r="X32" s="20">
        <v>2040</v>
      </c>
      <c r="Y32" s="20">
        <v>2060</v>
      </c>
      <c r="Z32" s="20">
        <v>2080</v>
      </c>
      <c r="AA32" s="20">
        <v>2100</v>
      </c>
      <c r="AE32" s="20" t="s">
        <v>15</v>
      </c>
      <c r="AF32" s="20">
        <v>2000</v>
      </c>
      <c r="AG32" s="20">
        <v>2020</v>
      </c>
      <c r="AH32" s="20">
        <v>2040</v>
      </c>
      <c r="AI32" s="20">
        <v>2060</v>
      </c>
      <c r="AJ32" s="20">
        <v>2080</v>
      </c>
      <c r="AK32" s="20">
        <v>2100</v>
      </c>
    </row>
    <row r="33" spans="1:37" x14ac:dyDescent="0.25">
      <c r="A33" s="20" t="s">
        <v>11</v>
      </c>
      <c r="B33" s="20">
        <v>69442.597888141609</v>
      </c>
      <c r="C33" s="20">
        <v>1094174.971925369</v>
      </c>
      <c r="D33" s="20">
        <v>15560303.037873879</v>
      </c>
      <c r="E33" s="20">
        <v>208254973.38694739</v>
      </c>
      <c r="F33" s="20">
        <v>2695451358.683064</v>
      </c>
      <c r="G33" s="20">
        <v>34353723291.60397</v>
      </c>
      <c r="K33" s="20" t="s">
        <v>11</v>
      </c>
      <c r="L33" s="20">
        <v>69442.597888141609</v>
      </c>
      <c r="M33" s="20">
        <v>1083170.0745475709</v>
      </c>
      <c r="N33" s="20">
        <v>15393571.907518631</v>
      </c>
      <c r="O33" s="20">
        <v>201143801.13030639</v>
      </c>
      <c r="P33" s="20">
        <v>2578042937.4853649</v>
      </c>
      <c r="Q33" s="20">
        <v>32101752977.777401</v>
      </c>
      <c r="U33" s="20" t="s">
        <v>11</v>
      </c>
      <c r="V33" s="20">
        <v>69442.597888141609</v>
      </c>
      <c r="W33" s="20">
        <v>1083170.0745475709</v>
      </c>
      <c r="X33" s="20">
        <v>15220989.457680991</v>
      </c>
      <c r="Y33" s="20">
        <v>199121628.67193621</v>
      </c>
      <c r="Z33" s="20">
        <v>2477725403.3978372</v>
      </c>
      <c r="AA33" s="20">
        <v>30447655628.105148</v>
      </c>
      <c r="AE33" s="20" t="s">
        <v>11</v>
      </c>
      <c r="AF33" s="20">
        <v>69442.597888141609</v>
      </c>
      <c r="AG33" s="20">
        <v>1096335.277474876</v>
      </c>
      <c r="AH33" s="20">
        <v>15221925.57444419</v>
      </c>
      <c r="AI33" s="20">
        <v>193978979.4323737</v>
      </c>
      <c r="AJ33" s="20">
        <v>2321385353.8305402</v>
      </c>
      <c r="AK33" s="20">
        <v>26672493618.541882</v>
      </c>
    </row>
    <row r="34" spans="1:37" x14ac:dyDescent="0.25">
      <c r="A34" s="20" t="s">
        <v>13</v>
      </c>
      <c r="B34" s="20">
        <v>154338.81559505401</v>
      </c>
      <c r="C34" s="20">
        <v>382236.12323087669</v>
      </c>
      <c r="D34" s="20">
        <v>857620.97517269803</v>
      </c>
      <c r="E34" s="20">
        <v>1803632.524266226</v>
      </c>
      <c r="F34" s="20">
        <v>3652860.8776404471</v>
      </c>
      <c r="G34" s="20">
        <v>7254341.999907447</v>
      </c>
      <c r="K34" s="20" t="s">
        <v>13</v>
      </c>
      <c r="L34" s="20">
        <v>154338.81559505401</v>
      </c>
      <c r="M34" s="20">
        <v>379946.30173083849</v>
      </c>
      <c r="N34" s="20">
        <v>852006.92517646763</v>
      </c>
      <c r="O34" s="20">
        <v>1764724.0926863251</v>
      </c>
      <c r="P34" s="20">
        <v>3546025.0322565781</v>
      </c>
      <c r="Q34" s="20">
        <v>6940165.191934417</v>
      </c>
      <c r="U34" s="20" t="s">
        <v>13</v>
      </c>
      <c r="V34" s="20">
        <v>154338.81559505401</v>
      </c>
      <c r="W34" s="20">
        <v>379946.30173083849</v>
      </c>
      <c r="X34" s="20">
        <v>846050.21903717902</v>
      </c>
      <c r="Y34" s="20">
        <v>1750334.810750294</v>
      </c>
      <c r="Z34" s="20">
        <v>3454582.5612457171</v>
      </c>
      <c r="AA34" s="20">
        <v>6688104.0462405989</v>
      </c>
      <c r="AE34" s="20" t="s">
        <v>13</v>
      </c>
      <c r="AF34" s="20">
        <v>154338.81559505401</v>
      </c>
      <c r="AG34" s="20">
        <v>382034.51737770787</v>
      </c>
      <c r="AH34" s="20">
        <v>846102.25256592908</v>
      </c>
      <c r="AI34" s="20">
        <v>1720527.4523151889</v>
      </c>
      <c r="AJ34" s="20">
        <v>3281143.511657964</v>
      </c>
      <c r="AK34" s="20">
        <v>6019196.6311429041</v>
      </c>
    </row>
    <row r="35" spans="1:37" x14ac:dyDescent="0.25">
      <c r="A35" s="20" t="s">
        <v>51</v>
      </c>
      <c r="B35" s="20">
        <v>121208.1200484</v>
      </c>
      <c r="C35" s="20">
        <v>463370.48688855401</v>
      </c>
      <c r="D35" s="20">
        <v>1404424.4198522039</v>
      </c>
      <c r="E35" s="20">
        <v>3530852.1985748331</v>
      </c>
      <c r="F35" s="20">
        <v>7945993.3812409304</v>
      </c>
      <c r="G35" s="20">
        <v>16841443.50271479</v>
      </c>
      <c r="K35" s="20" t="s">
        <v>51</v>
      </c>
      <c r="L35" s="20">
        <v>121208.1200484</v>
      </c>
      <c r="M35" s="20">
        <v>456992.03364807338</v>
      </c>
      <c r="N35" s="20">
        <v>1384403.3233497711</v>
      </c>
      <c r="O35" s="20">
        <v>3372790.433619047</v>
      </c>
      <c r="P35" s="20">
        <v>7476143.9132500794</v>
      </c>
      <c r="Q35" s="20">
        <v>15391008.460554801</v>
      </c>
      <c r="U35" s="20" t="s">
        <v>51</v>
      </c>
      <c r="V35" s="20">
        <v>121208.1200484</v>
      </c>
      <c r="W35" s="20">
        <v>456992.03364807338</v>
      </c>
      <c r="X35" s="20">
        <v>1363517.2204276491</v>
      </c>
      <c r="Y35" s="20">
        <v>3316607.2781720548</v>
      </c>
      <c r="Z35" s="20">
        <v>7085740.4610550702</v>
      </c>
      <c r="AA35" s="20">
        <v>14278531.21515717</v>
      </c>
      <c r="AE35" s="20" t="s">
        <v>51</v>
      </c>
      <c r="AF35" s="20">
        <v>121208.1200484</v>
      </c>
      <c r="AG35" s="20">
        <v>463351.38145298639</v>
      </c>
      <c r="AH35" s="20">
        <v>1363601.0790578979</v>
      </c>
      <c r="AI35" s="20">
        <v>3199735.4886409449</v>
      </c>
      <c r="AJ35" s="20">
        <v>6381864.3855215916</v>
      </c>
      <c r="AK35" s="20">
        <v>11541696.602306191</v>
      </c>
    </row>
    <row r="36" spans="1:37" x14ac:dyDescent="0.25">
      <c r="A36" s="20" t="s">
        <v>0</v>
      </c>
      <c r="B36" s="20">
        <v>1.5094523999114999</v>
      </c>
      <c r="C36" s="20">
        <v>1.6782858362478941</v>
      </c>
      <c r="D36" s="20">
        <v>1.6873715950749799</v>
      </c>
      <c r="E36" s="20">
        <v>1.5795570459054289</v>
      </c>
      <c r="F36" s="20">
        <v>1.412784426206831</v>
      </c>
      <c r="G36" s="20">
        <v>1.229362313341781</v>
      </c>
      <c r="K36" s="20" t="s">
        <v>0</v>
      </c>
      <c r="L36" s="20">
        <v>1.5094523999114999</v>
      </c>
      <c r="M36" s="20">
        <v>1.680096664002581</v>
      </c>
      <c r="N36" s="20">
        <v>1.6895648735509139</v>
      </c>
      <c r="O36" s="20">
        <v>1.5860866342199009</v>
      </c>
      <c r="P36" s="20">
        <v>1.4243792723419859</v>
      </c>
      <c r="Q36" s="20">
        <v>1.24328626325682</v>
      </c>
      <c r="U36" s="20" t="s">
        <v>0</v>
      </c>
      <c r="V36" s="20">
        <v>1.5094523999114999</v>
      </c>
      <c r="W36" s="20">
        <v>1.680096664002581</v>
      </c>
      <c r="X36" s="20">
        <v>1.6916615264798009</v>
      </c>
      <c r="Y36" s="20">
        <v>1.5920234791068539</v>
      </c>
      <c r="Z36" s="20">
        <v>1.430776514149567</v>
      </c>
      <c r="AA36" s="20">
        <v>1.254083059933752</v>
      </c>
      <c r="AE36" s="20" t="s">
        <v>0</v>
      </c>
      <c r="AF36" s="20">
        <v>1.5094523999114999</v>
      </c>
      <c r="AG36" s="20">
        <v>1.6815993923963459</v>
      </c>
      <c r="AH36" s="20">
        <v>1.691765566543491</v>
      </c>
      <c r="AI36" s="20">
        <v>1.59655059519673</v>
      </c>
      <c r="AJ36" s="20">
        <v>1.4557207468747539</v>
      </c>
      <c r="AK36" s="20">
        <v>1.294820444855457</v>
      </c>
    </row>
    <row r="37" spans="1:37" x14ac:dyDescent="0.25">
      <c r="A37" s="20" t="s">
        <v>1</v>
      </c>
      <c r="B37" s="20">
        <v>2.2590182415933011</v>
      </c>
      <c r="C37" s="20">
        <v>4.6540851967146706</v>
      </c>
      <c r="D37" s="20">
        <v>8.659676524508372</v>
      </c>
      <c r="E37" s="20">
        <v>15.02223228453877</v>
      </c>
      <c r="F37" s="20">
        <v>24.934006667781748</v>
      </c>
      <c r="G37" s="20">
        <v>40.320125444105628</v>
      </c>
      <c r="K37" s="20" t="s">
        <v>1</v>
      </c>
      <c r="L37" s="20">
        <v>2.2590182415933011</v>
      </c>
      <c r="M37" s="20">
        <v>4.6527437032960206</v>
      </c>
      <c r="N37" s="20">
        <v>8.6587861797304146</v>
      </c>
      <c r="O37" s="20">
        <v>15.01943404814411</v>
      </c>
      <c r="P37" s="20">
        <v>24.931256300508949</v>
      </c>
      <c r="Q37" s="20">
        <v>40.323651316233637</v>
      </c>
      <c r="U37" s="20" t="s">
        <v>1</v>
      </c>
      <c r="V37" s="20">
        <v>2.2590182415933011</v>
      </c>
      <c r="W37" s="20">
        <v>4.6527437032960206</v>
      </c>
      <c r="X37" s="20">
        <v>8.6572329419373588</v>
      </c>
      <c r="Y37" s="20">
        <v>15.01588633395999</v>
      </c>
      <c r="Z37" s="20">
        <v>24.930255930014852</v>
      </c>
      <c r="AA37" s="20">
        <v>40.324098577890979</v>
      </c>
      <c r="AE37" s="20" t="s">
        <v>1</v>
      </c>
      <c r="AF37" s="20">
        <v>2.2590182415933011</v>
      </c>
      <c r="AG37" s="20">
        <v>4.6516304553655976</v>
      </c>
      <c r="AH37" s="20">
        <v>8.6577653765009863</v>
      </c>
      <c r="AI37" s="20">
        <v>15.013528603452601</v>
      </c>
      <c r="AJ37" s="20">
        <v>24.9151717331399</v>
      </c>
      <c r="AK37" s="20">
        <v>40.309349854943868</v>
      </c>
    </row>
    <row r="38" spans="1:37" x14ac:dyDescent="0.25">
      <c r="A38" s="20" t="s">
        <v>2</v>
      </c>
      <c r="B38" s="20">
        <v>3.768470641504801</v>
      </c>
      <c r="C38" s="20">
        <v>6.3323710329625644</v>
      </c>
      <c r="D38" s="20">
        <v>10.34704811958335</v>
      </c>
      <c r="E38" s="20">
        <v>16.601789330444198</v>
      </c>
      <c r="F38" s="20">
        <v>26.346791093988578</v>
      </c>
      <c r="G38" s="20">
        <v>41.549487757447423</v>
      </c>
      <c r="K38" s="20" t="s">
        <v>2</v>
      </c>
      <c r="L38" s="20">
        <v>3.768470641504801</v>
      </c>
      <c r="M38" s="20">
        <v>6.3328403672986013</v>
      </c>
      <c r="N38" s="20">
        <v>10.348351053281331</v>
      </c>
      <c r="O38" s="20">
        <v>16.605520682364009</v>
      </c>
      <c r="P38" s="20">
        <v>26.355635572850929</v>
      </c>
      <c r="Q38" s="20">
        <v>41.566937579490457</v>
      </c>
      <c r="U38" s="20" t="s">
        <v>2</v>
      </c>
      <c r="V38" s="20">
        <v>3.768470641504801</v>
      </c>
      <c r="W38" s="20">
        <v>6.3328403672986013</v>
      </c>
      <c r="X38" s="20">
        <v>10.348894468417161</v>
      </c>
      <c r="Y38" s="20">
        <v>16.60790981306684</v>
      </c>
      <c r="Z38" s="20">
        <v>26.361032444164419</v>
      </c>
      <c r="AA38" s="20">
        <v>41.578181637824727</v>
      </c>
      <c r="AE38" s="20" t="s">
        <v>2</v>
      </c>
      <c r="AF38" s="20">
        <v>3.768470641504801</v>
      </c>
      <c r="AG38" s="20">
        <v>6.3332298477619444</v>
      </c>
      <c r="AH38" s="20">
        <v>10.34953094304448</v>
      </c>
      <c r="AI38" s="20">
        <v>16.610079198649331</v>
      </c>
      <c r="AJ38" s="20">
        <v>26.37089248001465</v>
      </c>
      <c r="AK38" s="20">
        <v>41.604170299799343</v>
      </c>
    </row>
    <row r="39" spans="1:37" x14ac:dyDescent="0.25">
      <c r="A39" s="20" t="s">
        <v>3</v>
      </c>
      <c r="B39" s="20">
        <v>1.496581304402675</v>
      </c>
      <c r="C39" s="20">
        <v>2.7731183188196979</v>
      </c>
      <c r="D39" s="20">
        <v>5.1320506696828501</v>
      </c>
      <c r="E39" s="20">
        <v>9.5104082017675857</v>
      </c>
      <c r="F39" s="20">
        <v>17.648840265550479</v>
      </c>
      <c r="G39" s="20">
        <v>32.797593521883122</v>
      </c>
      <c r="K39" s="20" t="s">
        <v>3</v>
      </c>
      <c r="L39" s="20">
        <v>1.496581304402675</v>
      </c>
      <c r="M39" s="20">
        <v>2.76933095754833</v>
      </c>
      <c r="N39" s="20">
        <v>5.1248616228227277</v>
      </c>
      <c r="O39" s="20">
        <v>9.4694915927661452</v>
      </c>
      <c r="P39" s="20">
        <v>17.50324284031219</v>
      </c>
      <c r="Q39" s="20">
        <v>32.43311899112021</v>
      </c>
      <c r="U39" s="20" t="s">
        <v>3</v>
      </c>
      <c r="V39" s="20">
        <v>1.496581304402675</v>
      </c>
      <c r="W39" s="20">
        <v>2.76933095754833</v>
      </c>
      <c r="X39" s="20">
        <v>5.1175916732895734</v>
      </c>
      <c r="Y39" s="20">
        <v>9.4319503016275181</v>
      </c>
      <c r="Z39" s="20">
        <v>17.424283725283981</v>
      </c>
      <c r="AA39" s="20">
        <v>32.154248682715739</v>
      </c>
      <c r="AE39" s="20" t="s">
        <v>3</v>
      </c>
      <c r="AF39" s="20">
        <v>1.496581304402675</v>
      </c>
      <c r="AG39" s="20">
        <v>2.7661941818002438</v>
      </c>
      <c r="AH39" s="20">
        <v>5.1175916732895734</v>
      </c>
      <c r="AI39" s="20">
        <v>9.4037286689324162</v>
      </c>
      <c r="AJ39" s="20">
        <v>17.115351132165689</v>
      </c>
      <c r="AK39" s="20">
        <v>31.131227511196489</v>
      </c>
    </row>
    <row r="40" spans="1:37" x14ac:dyDescent="0.25">
      <c r="A40" s="20" t="s">
        <v>18</v>
      </c>
      <c r="B40" s="20">
        <v>47481.627330410549</v>
      </c>
      <c r="C40" s="20">
        <v>111147.96769828199</v>
      </c>
      <c r="D40" s="20">
        <v>205106.4775223269</v>
      </c>
      <c r="E40" s="20">
        <v>319413.45820379339</v>
      </c>
      <c r="F40" s="20">
        <v>448005.59896410711</v>
      </c>
      <c r="G40" s="20">
        <v>591151.69922298973</v>
      </c>
      <c r="K40" s="20" t="s">
        <v>18</v>
      </c>
      <c r="L40" s="20">
        <v>47481.627330410549</v>
      </c>
      <c r="M40" s="20">
        <v>110851.16204496341</v>
      </c>
      <c r="N40" s="20">
        <v>204622.89914081569</v>
      </c>
      <c r="O40" s="20">
        <v>317167.48939837358</v>
      </c>
      <c r="P40" s="20">
        <v>444228.47701043851</v>
      </c>
      <c r="Q40" s="20">
        <v>584490.21503864834</v>
      </c>
      <c r="U40" s="20" t="s">
        <v>18</v>
      </c>
      <c r="V40" s="20">
        <v>47481.627330410549</v>
      </c>
      <c r="W40" s="20">
        <v>110851.16204496341</v>
      </c>
      <c r="X40" s="20">
        <v>204073.8451605154</v>
      </c>
      <c r="Y40" s="20">
        <v>316214.17301005148</v>
      </c>
      <c r="Z40" s="20">
        <v>439981.72048855701</v>
      </c>
      <c r="AA40" s="20">
        <v>576547.16020209994</v>
      </c>
      <c r="AE40" s="20" t="s">
        <v>18</v>
      </c>
      <c r="AF40" s="20">
        <v>47481.627330410549</v>
      </c>
      <c r="AG40" s="20">
        <v>111143.38490676769</v>
      </c>
      <c r="AH40" s="20">
        <v>204073.84516051519</v>
      </c>
      <c r="AI40" s="20">
        <v>314030.35817946278</v>
      </c>
      <c r="AJ40" s="20">
        <v>430281.26922861929</v>
      </c>
      <c r="AK40" s="20">
        <v>549075.45382930059</v>
      </c>
    </row>
    <row r="41" spans="1:37" x14ac:dyDescent="0.25">
      <c r="A41" s="20" t="s">
        <v>19</v>
      </c>
      <c r="B41" s="20">
        <v>59235.606824504393</v>
      </c>
      <c r="C41" s="20">
        <v>136464.6314177523</v>
      </c>
      <c r="D41" s="20">
        <v>249069.2092320201</v>
      </c>
      <c r="E41" s="20">
        <v>385708.05438274163</v>
      </c>
      <c r="F41" s="20">
        <v>540989.62799109844</v>
      </c>
      <c r="G41" s="20">
        <v>717859.75772319245</v>
      </c>
      <c r="K41" s="20" t="s">
        <v>19</v>
      </c>
      <c r="L41" s="20">
        <v>59235.606824504393</v>
      </c>
      <c r="M41" s="20">
        <v>135358.2322218488</v>
      </c>
      <c r="N41" s="20">
        <v>247092.59513856849</v>
      </c>
      <c r="O41" s="20">
        <v>376447.29519069678</v>
      </c>
      <c r="P41" s="20">
        <v>524160.41596301988</v>
      </c>
      <c r="Q41" s="20">
        <v>685563.67912447359</v>
      </c>
      <c r="U41" s="20" t="s">
        <v>19</v>
      </c>
      <c r="V41" s="20">
        <v>59235.606824504393</v>
      </c>
      <c r="W41" s="20">
        <v>135358.2322218488</v>
      </c>
      <c r="X41" s="20">
        <v>245034.2514273985</v>
      </c>
      <c r="Y41" s="20">
        <v>373111.94809885242</v>
      </c>
      <c r="Z41" s="20">
        <v>509844.95080838841</v>
      </c>
      <c r="AA41" s="20">
        <v>659852.613943159</v>
      </c>
      <c r="AE41" s="20" t="s">
        <v>19</v>
      </c>
      <c r="AF41" s="20">
        <v>59235.606824504393</v>
      </c>
      <c r="AG41" s="20">
        <v>136459.00478356529</v>
      </c>
      <c r="AH41" s="20">
        <v>245034.25142739841</v>
      </c>
      <c r="AI41" s="20">
        <v>366120.29488124262</v>
      </c>
      <c r="AJ41" s="20">
        <v>483115.7832436809</v>
      </c>
      <c r="AK41" s="20">
        <v>592210.7181752458</v>
      </c>
    </row>
    <row r="42" spans="1:37" x14ac:dyDescent="0.25">
      <c r="A42" s="20" t="s">
        <v>7</v>
      </c>
      <c r="B42" s="20">
        <v>19.567530000000001</v>
      </c>
      <c r="C42" s="20">
        <v>20.30819</v>
      </c>
      <c r="D42" s="20">
        <v>20.607230000000001</v>
      </c>
      <c r="E42" s="20">
        <v>20.968589999999999</v>
      </c>
      <c r="F42" s="20">
        <v>20.846430000000002</v>
      </c>
      <c r="G42" s="20">
        <v>20.650020000000001</v>
      </c>
      <c r="K42" s="20" t="s">
        <v>7</v>
      </c>
      <c r="L42" s="20">
        <v>19.567530000000001</v>
      </c>
      <c r="M42" s="20">
        <v>20.402729999999998</v>
      </c>
      <c r="N42" s="20">
        <v>20.956689999999998</v>
      </c>
      <c r="O42" s="20">
        <v>21.555199999999999</v>
      </c>
      <c r="P42" s="20">
        <v>21.901420000000002</v>
      </c>
      <c r="Q42" s="20">
        <v>22.09066</v>
      </c>
      <c r="U42" s="20" t="s">
        <v>7</v>
      </c>
      <c r="V42" s="20">
        <v>19.567530000000001</v>
      </c>
      <c r="W42" s="20">
        <v>20.391470000000002</v>
      </c>
      <c r="X42" s="20">
        <v>21.110589999999998</v>
      </c>
      <c r="Y42" s="20">
        <v>21.723960000000002</v>
      </c>
      <c r="Z42" s="20">
        <v>22.424309999999998</v>
      </c>
      <c r="AA42" s="20">
        <v>22.96969</v>
      </c>
      <c r="AE42" s="20" t="s">
        <v>7</v>
      </c>
      <c r="AF42" s="20">
        <v>19.567530000000001</v>
      </c>
      <c r="AG42" s="20">
        <v>20.251180000000002</v>
      </c>
      <c r="AH42" s="20">
        <v>21.106159999999999</v>
      </c>
      <c r="AI42" s="20">
        <v>22.328240000000001</v>
      </c>
      <c r="AJ42" s="20">
        <v>23.701589999999999</v>
      </c>
      <c r="AK42" s="20">
        <v>25.04955</v>
      </c>
    </row>
    <row r="43" spans="1:37" x14ac:dyDescent="0.25">
      <c r="A43" s="20" t="s">
        <v>52</v>
      </c>
      <c r="B43" s="20">
        <v>29.615512893999998</v>
      </c>
      <c r="C43" s="20">
        <v>30.267145562</v>
      </c>
      <c r="D43" s="20">
        <v>30.530240954</v>
      </c>
      <c r="E43" s="20">
        <v>30.848165481999999</v>
      </c>
      <c r="F43" s="20">
        <v>30.740689113999998</v>
      </c>
      <c r="G43" s="20">
        <v>30.567887596000009</v>
      </c>
      <c r="K43" s="20" t="s">
        <v>52</v>
      </c>
      <c r="L43" s="20">
        <v>29.615512893999998</v>
      </c>
      <c r="M43" s="20">
        <v>30.350321854000001</v>
      </c>
      <c r="N43" s="20">
        <v>30.837695862</v>
      </c>
      <c r="O43" s="20">
        <v>31.36426496</v>
      </c>
      <c r="P43" s="20">
        <v>31.668869316000009</v>
      </c>
      <c r="Q43" s="20">
        <v>31.835362667999998</v>
      </c>
      <c r="U43" s="20" t="s">
        <v>52</v>
      </c>
      <c r="V43" s="20">
        <v>29.615512893999998</v>
      </c>
      <c r="W43" s="20">
        <v>30.340415306000001</v>
      </c>
      <c r="X43" s="20">
        <v>30.973097081999999</v>
      </c>
      <c r="Y43" s="20">
        <v>31.512740008000002</v>
      </c>
      <c r="Z43" s="20">
        <v>32.128907937999998</v>
      </c>
      <c r="AA43" s="20">
        <v>32.608733262000001</v>
      </c>
      <c r="AE43" s="20" t="s">
        <v>52</v>
      </c>
      <c r="AF43" s="20">
        <v>29.615512893999998</v>
      </c>
      <c r="AG43" s="20">
        <v>30.216988164</v>
      </c>
      <c r="AH43" s="20">
        <v>30.969199568000001</v>
      </c>
      <c r="AI43" s="20">
        <v>32.044385552000001</v>
      </c>
      <c r="AJ43" s="20">
        <v>33.252658881999999</v>
      </c>
      <c r="AK43" s="20">
        <v>34.438594090000002</v>
      </c>
    </row>
    <row r="44" spans="1:37" x14ac:dyDescent="0.25">
      <c r="A44" s="20" t="s">
        <v>4</v>
      </c>
      <c r="B44" s="20">
        <v>0.99004983374916744</v>
      </c>
      <c r="C44" s="20">
        <v>1</v>
      </c>
      <c r="D44" s="20">
        <v>1</v>
      </c>
      <c r="E44" s="20">
        <v>1</v>
      </c>
      <c r="F44" s="20">
        <v>1</v>
      </c>
      <c r="G44" s="20">
        <v>1</v>
      </c>
      <c r="K44" s="20" t="s">
        <v>4</v>
      </c>
      <c r="L44" s="20">
        <v>0.99004983374916744</v>
      </c>
      <c r="M44" s="20">
        <v>1</v>
      </c>
      <c r="N44" s="20">
        <v>1</v>
      </c>
      <c r="O44" s="20">
        <v>1</v>
      </c>
      <c r="P44" s="20">
        <v>0.99004983374916744</v>
      </c>
      <c r="Q44" s="20">
        <v>0.99004983374916744</v>
      </c>
      <c r="U44" s="20" t="s">
        <v>4</v>
      </c>
      <c r="V44" s="20">
        <v>0.99004983374916744</v>
      </c>
      <c r="W44" s="20">
        <v>1</v>
      </c>
      <c r="X44" s="20">
        <v>1</v>
      </c>
      <c r="Y44" s="20">
        <v>0.99004983374916744</v>
      </c>
      <c r="Z44" s="20">
        <v>0.99004983374916744</v>
      </c>
      <c r="AA44" s="20">
        <v>0.98019867330675492</v>
      </c>
      <c r="AE44" s="20" t="s">
        <v>4</v>
      </c>
      <c r="AF44" s="20">
        <v>0.99004983374916744</v>
      </c>
      <c r="AG44" s="20">
        <v>0.99004983374916744</v>
      </c>
      <c r="AH44" s="20">
        <v>1</v>
      </c>
      <c r="AI44" s="20">
        <v>0.99004983374916744</v>
      </c>
      <c r="AJ44" s="20">
        <v>0.95122942450071424</v>
      </c>
      <c r="AK44" s="20">
        <v>0.91393118527122841</v>
      </c>
    </row>
    <row r="45" spans="1:37" x14ac:dyDescent="0.25">
      <c r="A45" s="20" t="s">
        <v>5</v>
      </c>
      <c r="B45" s="20">
        <v>1</v>
      </c>
      <c r="C45" s="20">
        <v>1</v>
      </c>
      <c r="D45" s="20">
        <v>1</v>
      </c>
      <c r="E45" s="20">
        <v>1</v>
      </c>
      <c r="F45" s="20">
        <v>1</v>
      </c>
      <c r="G45" s="20">
        <v>1</v>
      </c>
      <c r="K45" s="20" t="s">
        <v>5</v>
      </c>
      <c r="L45" s="20">
        <v>1</v>
      </c>
      <c r="M45" s="20">
        <v>1</v>
      </c>
      <c r="N45" s="20">
        <v>1</v>
      </c>
      <c r="O45" s="20">
        <v>1</v>
      </c>
      <c r="P45" s="20">
        <v>1</v>
      </c>
      <c r="Q45" s="20">
        <v>1</v>
      </c>
      <c r="U45" s="20" t="s">
        <v>5</v>
      </c>
      <c r="V45" s="20">
        <v>1</v>
      </c>
      <c r="W45" s="20">
        <v>1</v>
      </c>
      <c r="X45" s="20">
        <v>1</v>
      </c>
      <c r="Y45" s="20">
        <v>1</v>
      </c>
      <c r="Z45" s="20">
        <v>1</v>
      </c>
      <c r="AA45" s="20">
        <v>1</v>
      </c>
      <c r="AE45" s="20" t="s">
        <v>5</v>
      </c>
      <c r="AF45" s="20">
        <v>1</v>
      </c>
      <c r="AG45" s="20">
        <v>1</v>
      </c>
      <c r="AH45" s="20">
        <v>1</v>
      </c>
      <c r="AI45" s="20">
        <v>1</v>
      </c>
      <c r="AJ45" s="20">
        <v>1</v>
      </c>
      <c r="AK45" s="20">
        <v>1</v>
      </c>
    </row>
    <row r="46" spans="1:37" x14ac:dyDescent="0.25">
      <c r="A46" s="20" t="s">
        <v>20</v>
      </c>
      <c r="B46" s="20">
        <v>1</v>
      </c>
      <c r="C46" s="20">
        <v>0.87282505847383773</v>
      </c>
      <c r="D46" s="20">
        <v>0.85313575176011658</v>
      </c>
      <c r="E46" s="20">
        <v>0.84289864993793617</v>
      </c>
      <c r="F46" s="20">
        <v>0.84289864993793617</v>
      </c>
      <c r="G46" s="20">
        <v>0.85313575176011658</v>
      </c>
      <c r="K46" s="20" t="s">
        <v>20</v>
      </c>
      <c r="L46" s="20">
        <v>1</v>
      </c>
      <c r="M46" s="20">
        <v>0.86311515559253815</v>
      </c>
      <c r="N46" s="20">
        <v>0.84289864993793617</v>
      </c>
      <c r="O46" s="20">
        <v>0.81076508762715238</v>
      </c>
      <c r="P46" s="20">
        <v>0.79962112494024751</v>
      </c>
      <c r="Q46" s="20">
        <v>0.78828241339085314</v>
      </c>
      <c r="U46" s="20" t="s">
        <v>20</v>
      </c>
      <c r="V46" s="20">
        <v>1</v>
      </c>
      <c r="W46" s="20">
        <v>0.86311515559253815</v>
      </c>
      <c r="X46" s="20">
        <v>0.83241565308735976</v>
      </c>
      <c r="Y46" s="20">
        <v>0.79962112494024751</v>
      </c>
      <c r="Z46" s="20">
        <v>0.76506992271027474</v>
      </c>
      <c r="AA46" s="20">
        <v>0.74122794075700271</v>
      </c>
      <c r="AE46" s="20" t="s">
        <v>20</v>
      </c>
      <c r="AF46" s="20">
        <v>1</v>
      </c>
      <c r="AG46" s="20">
        <v>0.87282505847383773</v>
      </c>
      <c r="AH46" s="20">
        <v>0.83241565308735976</v>
      </c>
      <c r="AI46" s="20">
        <v>0.77676075594033223</v>
      </c>
      <c r="AJ46" s="20">
        <v>0.70451286227714527</v>
      </c>
      <c r="AK46" s="20">
        <v>0.62889522314482038</v>
      </c>
    </row>
    <row r="47" spans="1:37" x14ac:dyDescent="0.25">
      <c r="A47" s="20" t="s">
        <v>21</v>
      </c>
      <c r="B47" s="20">
        <v>1</v>
      </c>
      <c r="C47" s="20">
        <v>0.95961542839364711</v>
      </c>
      <c r="D47" s="20">
        <v>0.94834437421114004</v>
      </c>
      <c r="E47" s="20">
        <v>0.94223331790392795</v>
      </c>
      <c r="F47" s="20">
        <v>0.94223331790392795</v>
      </c>
      <c r="G47" s="20">
        <v>0.94834437421114004</v>
      </c>
      <c r="K47" s="20" t="s">
        <v>21</v>
      </c>
      <c r="L47" s="20">
        <v>1</v>
      </c>
      <c r="M47" s="20">
        <v>0.95414178358867729</v>
      </c>
      <c r="N47" s="20">
        <v>0.94223331790392795</v>
      </c>
      <c r="O47" s="20">
        <v>0.92207897326159938</v>
      </c>
      <c r="P47" s="20">
        <v>0.91477656450376754</v>
      </c>
      <c r="Q47" s="20">
        <v>0.90719339115566244</v>
      </c>
      <c r="U47" s="20" t="s">
        <v>21</v>
      </c>
      <c r="V47" s="20">
        <v>1</v>
      </c>
      <c r="W47" s="20">
        <v>0.95414178358867729</v>
      </c>
      <c r="X47" s="20">
        <v>0.93581367348848743</v>
      </c>
      <c r="Y47" s="20">
        <v>0.91477656450376754</v>
      </c>
      <c r="Z47" s="20">
        <v>0.89122269184947989</v>
      </c>
      <c r="AA47" s="20">
        <v>0.8742351694325774</v>
      </c>
      <c r="AE47" s="20" t="s">
        <v>21</v>
      </c>
      <c r="AF47" s="20">
        <v>1</v>
      </c>
      <c r="AG47" s="20">
        <v>0.95961542839364711</v>
      </c>
      <c r="AH47" s="20">
        <v>0.93581367348848743</v>
      </c>
      <c r="AI47" s="20">
        <v>0.8993395708601768</v>
      </c>
      <c r="AJ47" s="20">
        <v>0.84699088653316434</v>
      </c>
      <c r="AK47" s="20">
        <v>0.78708685237600196</v>
      </c>
    </row>
    <row r="48" spans="1:37" x14ac:dyDescent="0.25">
      <c r="A48" s="20" t="s">
        <v>10</v>
      </c>
      <c r="B48" s="20">
        <v>0.92911705603913586</v>
      </c>
      <c r="C48" s="20">
        <v>0.1488016973803338</v>
      </c>
      <c r="D48" s="20">
        <v>1.897536775289611E-2</v>
      </c>
      <c r="E48" s="20">
        <v>2.0420600190273878E-3</v>
      </c>
      <c r="F48" s="20">
        <v>1.9792616031599921E-4</v>
      </c>
      <c r="G48" s="20">
        <v>1.8047754160447299E-5</v>
      </c>
      <c r="K48" s="20" t="s">
        <v>10</v>
      </c>
      <c r="L48" s="20">
        <v>0.92911705603913586</v>
      </c>
      <c r="M48" s="20">
        <v>0.14840434252157669</v>
      </c>
      <c r="N48" s="20">
        <v>1.8930629635712438E-2</v>
      </c>
      <c r="O48" s="20">
        <v>2.0277011904190948E-3</v>
      </c>
      <c r="P48" s="20">
        <v>1.9625745071267389E-4</v>
      </c>
      <c r="Q48" s="20">
        <v>1.7844380256488759E-5</v>
      </c>
      <c r="U48" s="20" t="s">
        <v>10</v>
      </c>
      <c r="V48" s="20">
        <v>0.92911705603913586</v>
      </c>
      <c r="W48" s="20">
        <v>0.14840434252157669</v>
      </c>
      <c r="X48" s="20">
        <v>1.8879834062026781E-2</v>
      </c>
      <c r="Y48" s="20">
        <v>2.0216064901737649E-3</v>
      </c>
      <c r="Z48" s="20">
        <v>1.9438125940141249E-4</v>
      </c>
      <c r="AA48" s="20">
        <v>1.760188023295605E-5</v>
      </c>
      <c r="AE48" s="20" t="s">
        <v>10</v>
      </c>
      <c r="AF48" s="20">
        <v>0.92911705603913586</v>
      </c>
      <c r="AG48" s="20">
        <v>0.1487955620710682</v>
      </c>
      <c r="AH48" s="20">
        <v>1.887983406202676E-2</v>
      </c>
      <c r="AI48" s="20">
        <v>2.0076450216132921E-3</v>
      </c>
      <c r="AJ48" s="20">
        <v>1.9009565878469841E-4</v>
      </c>
      <c r="AK48" s="20">
        <v>1.6763174019921461E-5</v>
      </c>
    </row>
    <row r="49" spans="1:37" x14ac:dyDescent="0.25">
      <c r="A49" s="20" t="s">
        <v>12</v>
      </c>
      <c r="B49" s="20">
        <v>0.84452039226731712</v>
      </c>
      <c r="C49" s="20">
        <v>1.594483134166139</v>
      </c>
      <c r="D49" s="20">
        <v>2.3850220005618308</v>
      </c>
      <c r="E49" s="20">
        <v>3.0269383790333779</v>
      </c>
      <c r="F49" s="20">
        <v>3.479415830513481</v>
      </c>
      <c r="G49" s="20">
        <v>3.7838118126236622</v>
      </c>
      <c r="K49" s="20" t="s">
        <v>12</v>
      </c>
      <c r="L49" s="20">
        <v>0.84452039226731712</v>
      </c>
      <c r="M49" s="20">
        <v>1.5815557196471151</v>
      </c>
      <c r="N49" s="20">
        <v>2.3660944578357008</v>
      </c>
      <c r="O49" s="20">
        <v>2.9542623042175529</v>
      </c>
      <c r="P49" s="20">
        <v>3.3711774767339371</v>
      </c>
      <c r="Q49" s="20">
        <v>3.613580395708972</v>
      </c>
      <c r="U49" s="20" t="s">
        <v>12</v>
      </c>
      <c r="V49" s="20">
        <v>0.84452039226731712</v>
      </c>
      <c r="W49" s="20">
        <v>1.5815557196471151</v>
      </c>
      <c r="X49" s="20">
        <v>2.3463842935364059</v>
      </c>
      <c r="Y49" s="20">
        <v>2.928087351413267</v>
      </c>
      <c r="Z49" s="20">
        <v>3.2791064766573719</v>
      </c>
      <c r="AA49" s="20">
        <v>3.4780583371153102</v>
      </c>
      <c r="AE49" s="20" t="s">
        <v>12</v>
      </c>
      <c r="AF49" s="20">
        <v>0.84452039226731712</v>
      </c>
      <c r="AG49" s="20">
        <v>1.594417391319658</v>
      </c>
      <c r="AH49" s="20">
        <v>2.346384293536405</v>
      </c>
      <c r="AI49" s="20">
        <v>2.8732186412144518</v>
      </c>
      <c r="AJ49" s="20">
        <v>3.107195807858707</v>
      </c>
      <c r="AK49" s="20">
        <v>3.121520445861095</v>
      </c>
    </row>
    <row r="50" spans="1:37" x14ac:dyDescent="0.25">
      <c r="A50" s="20" t="s">
        <v>11</v>
      </c>
      <c r="B50" s="20">
        <v>69442.597888141609</v>
      </c>
      <c r="C50" s="20">
        <v>1094174.971925369</v>
      </c>
      <c r="D50" s="20">
        <v>15560303.037873879</v>
      </c>
      <c r="E50" s="20">
        <v>208254973.38694739</v>
      </c>
      <c r="F50" s="20">
        <v>2695451358.683064</v>
      </c>
      <c r="G50" s="20">
        <v>34353723291.60397</v>
      </c>
      <c r="K50" s="20" t="s">
        <v>11</v>
      </c>
      <c r="L50" s="20">
        <v>69442.597888141609</v>
      </c>
      <c r="M50" s="20">
        <v>1083170.0745475709</v>
      </c>
      <c r="N50" s="20">
        <v>15393571.907518631</v>
      </c>
      <c r="O50" s="20">
        <v>201143801.13030639</v>
      </c>
      <c r="P50" s="20">
        <v>2578042937.4853649</v>
      </c>
      <c r="Q50" s="20">
        <v>32101752977.777401</v>
      </c>
      <c r="U50" s="20" t="s">
        <v>11</v>
      </c>
      <c r="V50" s="20">
        <v>69442.597888141609</v>
      </c>
      <c r="W50" s="20">
        <v>1083170.0745475709</v>
      </c>
      <c r="X50" s="20">
        <v>15220989.457680991</v>
      </c>
      <c r="Y50" s="20">
        <v>199121628.67193621</v>
      </c>
      <c r="Z50" s="20">
        <v>2477725403.3978372</v>
      </c>
      <c r="AA50" s="20">
        <v>30447655628.105148</v>
      </c>
      <c r="AE50" s="20" t="s">
        <v>11</v>
      </c>
      <c r="AF50" s="20">
        <v>69442.597888141609</v>
      </c>
      <c r="AG50" s="20">
        <v>1096335.277474876</v>
      </c>
      <c r="AH50" s="20">
        <v>15221925.57444419</v>
      </c>
      <c r="AI50" s="20">
        <v>193978979.4323737</v>
      </c>
      <c r="AJ50" s="20">
        <v>2321385353.8305402</v>
      </c>
      <c r="AK50" s="20">
        <v>26672493618.541882</v>
      </c>
    </row>
    <row r="51" spans="1:37" x14ac:dyDescent="0.25">
      <c r="A51" s="20" t="s">
        <v>13</v>
      </c>
      <c r="B51" s="20">
        <v>154338.81559505401</v>
      </c>
      <c r="C51" s="20">
        <v>382236.12323087669</v>
      </c>
      <c r="D51" s="20">
        <v>857620.97517269803</v>
      </c>
      <c r="E51" s="20">
        <v>1803632.524266226</v>
      </c>
      <c r="F51" s="20">
        <v>3652860.8776404471</v>
      </c>
      <c r="G51" s="20">
        <v>7254341.999907447</v>
      </c>
      <c r="K51" s="20" t="s">
        <v>13</v>
      </c>
      <c r="L51" s="20">
        <v>154338.81559505401</v>
      </c>
      <c r="M51" s="20">
        <v>379946.30173083849</v>
      </c>
      <c r="N51" s="20">
        <v>852006.92517646763</v>
      </c>
      <c r="O51" s="20">
        <v>1764724.0926863251</v>
      </c>
      <c r="P51" s="20">
        <v>3546025.0322565781</v>
      </c>
      <c r="Q51" s="20">
        <v>6940165.191934417</v>
      </c>
      <c r="U51" s="20" t="s">
        <v>13</v>
      </c>
      <c r="V51" s="20">
        <v>154338.81559505401</v>
      </c>
      <c r="W51" s="20">
        <v>379946.30173083849</v>
      </c>
      <c r="X51" s="20">
        <v>846050.21903717902</v>
      </c>
      <c r="Y51" s="20">
        <v>1750334.810750294</v>
      </c>
      <c r="Z51" s="20">
        <v>3454582.5612457171</v>
      </c>
      <c r="AA51" s="20">
        <v>6688104.0462405989</v>
      </c>
      <c r="AE51" s="20" t="s">
        <v>13</v>
      </c>
      <c r="AF51" s="20">
        <v>154338.81559505401</v>
      </c>
      <c r="AG51" s="20">
        <v>382034.51737770787</v>
      </c>
      <c r="AH51" s="20">
        <v>846102.25256592908</v>
      </c>
      <c r="AI51" s="20">
        <v>1720527.4523151889</v>
      </c>
      <c r="AJ51" s="20">
        <v>3281143.511657964</v>
      </c>
      <c r="AK51" s="20">
        <v>6019196.6311429041</v>
      </c>
    </row>
    <row r="52" spans="1:37" x14ac:dyDescent="0.25">
      <c r="A52" s="20" t="s">
        <v>22</v>
      </c>
      <c r="B52" s="20">
        <v>18427.26254075639</v>
      </c>
      <c r="C52" s="20">
        <v>73174.879437184325</v>
      </c>
      <c r="D52" s="20">
        <v>135731.89219001689</v>
      </c>
      <c r="E52" s="20">
        <v>212679.0147914954</v>
      </c>
      <c r="F52" s="20">
        <v>301592.45400681562</v>
      </c>
      <c r="G52" s="20">
        <v>405334.56395490927</v>
      </c>
      <c r="K52" s="20" t="s">
        <v>22</v>
      </c>
      <c r="L52" s="20">
        <v>18427.26254075639</v>
      </c>
      <c r="M52" s="20">
        <v>72162.253766553156</v>
      </c>
      <c r="N52" s="20">
        <v>133780.0888491114</v>
      </c>
      <c r="O52" s="20">
        <v>203112.59719793909</v>
      </c>
      <c r="P52" s="20">
        <v>283663.95841924951</v>
      </c>
      <c r="Q52" s="20">
        <v>370270.44465620851</v>
      </c>
      <c r="U52" s="20" t="s">
        <v>22</v>
      </c>
      <c r="V52" s="20">
        <v>18427.26254075639</v>
      </c>
      <c r="W52" s="20">
        <v>72162.253766553156</v>
      </c>
      <c r="X52" s="20">
        <v>131754.8675937166</v>
      </c>
      <c r="Y52" s="20">
        <v>199700.46294221809</v>
      </c>
      <c r="Z52" s="20">
        <v>268796.01457429462</v>
      </c>
      <c r="AA52" s="20">
        <v>343414.03718741809</v>
      </c>
      <c r="AE52" s="20" t="s">
        <v>22</v>
      </c>
      <c r="AF52" s="20">
        <v>18427.26254075639</v>
      </c>
      <c r="AG52" s="20">
        <v>73161.939893390561</v>
      </c>
      <c r="AH52" s="20">
        <v>131754.8675937166</v>
      </c>
      <c r="AI52" s="20">
        <v>192638.18374214231</v>
      </c>
      <c r="AJ52" s="20">
        <v>242004.11079595151</v>
      </c>
      <c r="AK52" s="20">
        <v>277416.8194951808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K102"/>
  <sheetViews>
    <sheetView topLeftCell="A46" workbookViewId="0">
      <selection activeCell="I70" sqref="I70"/>
    </sheetView>
  </sheetViews>
  <sheetFormatPr defaultRowHeight="15" x14ac:dyDescent="0.25"/>
  <cols>
    <col min="1" max="16384" width="9.140625" style="20"/>
  </cols>
  <sheetData>
    <row r="1" spans="1:37" x14ac:dyDescent="0.25">
      <c r="A1" s="20" t="s">
        <v>49</v>
      </c>
      <c r="B1" s="20" t="s">
        <v>61</v>
      </c>
    </row>
    <row r="2" spans="1:37" x14ac:dyDescent="0.25">
      <c r="A2" s="20" t="s">
        <v>33</v>
      </c>
      <c r="B2" s="20">
        <v>0.27500000000000002</v>
      </c>
    </row>
    <row r="3" spans="1:37" x14ac:dyDescent="0.25">
      <c r="A3" s="20" t="s">
        <v>14</v>
      </c>
      <c r="B3" s="20">
        <v>0.75</v>
      </c>
    </row>
    <row r="4" spans="1:37" x14ac:dyDescent="0.25">
      <c r="A4" s="20" t="s">
        <v>23</v>
      </c>
      <c r="B4" s="20">
        <v>0.4</v>
      </c>
    </row>
    <row r="5" spans="1:37" x14ac:dyDescent="0.25">
      <c r="A5" s="20" t="s">
        <v>16</v>
      </c>
      <c r="B5" s="20">
        <v>0.1893549842288946</v>
      </c>
    </row>
    <row r="6" spans="1:37" x14ac:dyDescent="0.25">
      <c r="A6" s="20" t="s">
        <v>17</v>
      </c>
      <c r="B6" s="20">
        <v>0.2556026411779832</v>
      </c>
    </row>
    <row r="7" spans="1:37" x14ac:dyDescent="0.25">
      <c r="A7" s="20" t="s">
        <v>15</v>
      </c>
      <c r="B7" s="20">
        <v>2000</v>
      </c>
      <c r="C7" s="20">
        <v>2020</v>
      </c>
      <c r="D7" s="20">
        <v>2040</v>
      </c>
      <c r="E7" s="20">
        <v>2060</v>
      </c>
      <c r="F7" s="20">
        <v>2080</v>
      </c>
      <c r="G7" s="20">
        <v>2100</v>
      </c>
      <c r="K7" s="20" t="s">
        <v>15</v>
      </c>
      <c r="L7" s="20">
        <v>2000</v>
      </c>
      <c r="M7" s="20">
        <v>2020</v>
      </c>
      <c r="N7" s="20">
        <v>2040</v>
      </c>
      <c r="O7" s="20">
        <v>2060</v>
      </c>
      <c r="P7" s="20">
        <v>2080</v>
      </c>
      <c r="Q7" s="20">
        <v>2100</v>
      </c>
      <c r="U7" s="20" t="s">
        <v>15</v>
      </c>
      <c r="V7" s="20">
        <v>2000</v>
      </c>
      <c r="W7" s="20">
        <v>2020</v>
      </c>
      <c r="X7" s="20">
        <v>2040</v>
      </c>
      <c r="Y7" s="20">
        <v>2060</v>
      </c>
      <c r="Z7" s="20">
        <v>2080</v>
      </c>
      <c r="AA7" s="20">
        <v>2100</v>
      </c>
      <c r="AE7" s="20" t="s">
        <v>15</v>
      </c>
      <c r="AF7" s="20">
        <v>2000</v>
      </c>
      <c r="AG7" s="20">
        <v>2020</v>
      </c>
      <c r="AH7" s="20">
        <v>2040</v>
      </c>
      <c r="AI7" s="20">
        <v>2060</v>
      </c>
      <c r="AJ7" s="20">
        <v>2080</v>
      </c>
      <c r="AK7" s="20">
        <v>2100</v>
      </c>
    </row>
    <row r="8" spans="1:37" x14ac:dyDescent="0.25">
      <c r="A8" s="20" t="s">
        <v>11</v>
      </c>
      <c r="B8" s="20">
        <v>152969731967.8754</v>
      </c>
      <c r="C8" s="20">
        <v>2147693800223.9009</v>
      </c>
      <c r="D8" s="20">
        <v>22628781992354.191</v>
      </c>
      <c r="E8" s="20">
        <v>208485645731570.31</v>
      </c>
      <c r="F8" s="20">
        <v>1727746327113788</v>
      </c>
      <c r="G8" s="20">
        <v>1.310417773214338E+16</v>
      </c>
      <c r="K8" s="20" t="s">
        <v>11</v>
      </c>
      <c r="L8" s="20">
        <v>152969731967.8754</v>
      </c>
      <c r="M8" s="20">
        <v>2147693800223.9009</v>
      </c>
      <c r="N8" s="20">
        <v>22628781992354.191</v>
      </c>
      <c r="O8" s="20">
        <v>208485645731570.31</v>
      </c>
      <c r="P8" s="20">
        <v>1727746327113788</v>
      </c>
      <c r="Q8" s="20">
        <v>1.310417773214338E+16</v>
      </c>
      <c r="U8" s="20" t="s">
        <v>11</v>
      </c>
      <c r="V8" s="20">
        <v>152969731967.8754</v>
      </c>
      <c r="W8" s="20">
        <v>2147693800223.9009</v>
      </c>
      <c r="X8" s="20">
        <v>22628781992354.191</v>
      </c>
      <c r="Y8" s="20">
        <v>208485645731570.31</v>
      </c>
      <c r="Z8" s="20">
        <v>1727746327113788</v>
      </c>
      <c r="AA8" s="20">
        <v>1.310417773214338E+16</v>
      </c>
      <c r="AE8" s="20" t="s">
        <v>11</v>
      </c>
      <c r="AF8" s="20">
        <v>152969731967.8754</v>
      </c>
      <c r="AG8" s="20">
        <v>2147693800223.9009</v>
      </c>
      <c r="AH8" s="20">
        <v>22628781992354.191</v>
      </c>
      <c r="AI8" s="20">
        <v>208485645731570.31</v>
      </c>
      <c r="AJ8" s="20">
        <v>1727746327113788</v>
      </c>
      <c r="AK8" s="20">
        <v>1.310417773214338E+16</v>
      </c>
    </row>
    <row r="9" spans="1:37" x14ac:dyDescent="0.25">
      <c r="A9" s="20" t="s">
        <v>13</v>
      </c>
      <c r="B9" s="20">
        <v>339981048690.66803</v>
      </c>
      <c r="C9" s="20">
        <v>684959444684.7157</v>
      </c>
      <c r="D9" s="20">
        <v>1129282582470.3621</v>
      </c>
      <c r="E9" s="20">
        <v>1628045607807.8899</v>
      </c>
      <c r="F9" s="20">
        <v>2111151220908.302</v>
      </c>
      <c r="G9" s="20">
        <v>2505521279759.9512</v>
      </c>
      <c r="K9" s="20" t="s">
        <v>13</v>
      </c>
      <c r="L9" s="20">
        <v>339981048690.66803</v>
      </c>
      <c r="M9" s="20">
        <v>684959444684.7157</v>
      </c>
      <c r="N9" s="20">
        <v>1129282582470.3621</v>
      </c>
      <c r="O9" s="20">
        <v>1628045607807.8899</v>
      </c>
      <c r="P9" s="20">
        <v>2111151220908.302</v>
      </c>
      <c r="Q9" s="20">
        <v>2505521279759.9512</v>
      </c>
      <c r="U9" s="20" t="s">
        <v>13</v>
      </c>
      <c r="V9" s="20">
        <v>339981048690.66803</v>
      </c>
      <c r="W9" s="20">
        <v>684959444684.7157</v>
      </c>
      <c r="X9" s="20">
        <v>1129282582470.3621</v>
      </c>
      <c r="Y9" s="20">
        <v>1628045607807.8899</v>
      </c>
      <c r="Z9" s="20">
        <v>2111151220908.302</v>
      </c>
      <c r="AA9" s="20">
        <v>2505521279759.9512</v>
      </c>
      <c r="AE9" s="20" t="s">
        <v>13</v>
      </c>
      <c r="AF9" s="20">
        <v>339981048690.66803</v>
      </c>
      <c r="AG9" s="20">
        <v>684959444684.7157</v>
      </c>
      <c r="AH9" s="20">
        <v>1129282582470.3621</v>
      </c>
      <c r="AI9" s="20">
        <v>1628045607807.8899</v>
      </c>
      <c r="AJ9" s="20">
        <v>2111151220908.302</v>
      </c>
      <c r="AK9" s="20">
        <v>2505521279759.9512</v>
      </c>
    </row>
    <row r="10" spans="1:37" x14ac:dyDescent="0.25">
      <c r="A10" s="20" t="s">
        <v>51</v>
      </c>
      <c r="B10" s="20">
        <v>267000000000</v>
      </c>
      <c r="C10" s="20">
        <v>1012675517152.626</v>
      </c>
      <c r="D10" s="20">
        <v>2073820425371.936</v>
      </c>
      <c r="E10" s="20">
        <v>3508932908699.7729</v>
      </c>
      <c r="F10" s="20">
        <v>5012591880060.8174</v>
      </c>
      <c r="G10" s="20">
        <v>6276134370299.8877</v>
      </c>
      <c r="K10" s="20" t="s">
        <v>51</v>
      </c>
      <c r="L10" s="20">
        <v>267000000000</v>
      </c>
      <c r="M10" s="20">
        <v>1012675517152.626</v>
      </c>
      <c r="N10" s="20">
        <v>2073820425371.936</v>
      </c>
      <c r="O10" s="20">
        <v>3508932908699.7729</v>
      </c>
      <c r="P10" s="20">
        <v>5012591880060.8174</v>
      </c>
      <c r="Q10" s="20">
        <v>6276134370299.8877</v>
      </c>
      <c r="U10" s="20" t="s">
        <v>51</v>
      </c>
      <c r="V10" s="20">
        <v>267000000000</v>
      </c>
      <c r="W10" s="20">
        <v>1012675517152.626</v>
      </c>
      <c r="X10" s="20">
        <v>2073820425371.936</v>
      </c>
      <c r="Y10" s="20">
        <v>3508932908699.7729</v>
      </c>
      <c r="Z10" s="20">
        <v>5012591880060.8174</v>
      </c>
      <c r="AA10" s="20">
        <v>6276134370299.8877</v>
      </c>
      <c r="AE10" s="20" t="s">
        <v>51</v>
      </c>
      <c r="AF10" s="20">
        <v>267000000000</v>
      </c>
      <c r="AG10" s="20">
        <v>1012675517152.626</v>
      </c>
      <c r="AH10" s="20">
        <v>2073820425371.936</v>
      </c>
      <c r="AI10" s="20">
        <v>3508932908699.7729</v>
      </c>
      <c r="AJ10" s="20">
        <v>5012591880060.8174</v>
      </c>
      <c r="AK10" s="20">
        <v>6276134370299.8877</v>
      </c>
    </row>
    <row r="11" spans="1:37" x14ac:dyDescent="0.25">
      <c r="A11" s="20" t="s">
        <v>0</v>
      </c>
      <c r="B11" s="20">
        <v>11.890499999999999</v>
      </c>
      <c r="C11" s="20">
        <v>10.53334762993039</v>
      </c>
      <c r="D11" s="20">
        <v>7.6693701468347113</v>
      </c>
      <c r="E11" s="20">
        <v>4.8829147897699654</v>
      </c>
      <c r="F11" s="20">
        <v>2.7963236207692268</v>
      </c>
      <c r="G11" s="20">
        <v>1.46562105</v>
      </c>
      <c r="K11" s="20" t="s">
        <v>0</v>
      </c>
      <c r="L11" s="20">
        <v>11.890499999999999</v>
      </c>
      <c r="M11" s="20">
        <v>10.53334762993039</v>
      </c>
      <c r="N11" s="20">
        <v>7.6693701468347113</v>
      </c>
      <c r="O11" s="20">
        <v>4.8829147897699654</v>
      </c>
      <c r="P11" s="20">
        <v>2.7963236207692268</v>
      </c>
      <c r="Q11" s="20">
        <v>1.46562105</v>
      </c>
      <c r="U11" s="20" t="s">
        <v>0</v>
      </c>
      <c r="V11" s="20">
        <v>11.890499999999999</v>
      </c>
      <c r="W11" s="20">
        <v>10.53334762993039</v>
      </c>
      <c r="X11" s="20">
        <v>7.6693701468347113</v>
      </c>
      <c r="Y11" s="20">
        <v>4.8829147897699654</v>
      </c>
      <c r="Z11" s="20">
        <v>2.7963236207692268</v>
      </c>
      <c r="AA11" s="20">
        <v>1.46562105</v>
      </c>
      <c r="AE11" s="20" t="s">
        <v>0</v>
      </c>
      <c r="AF11" s="20">
        <v>11.890499999999999</v>
      </c>
      <c r="AG11" s="20">
        <v>10.53334762993039</v>
      </c>
      <c r="AH11" s="20">
        <v>7.6693701468347113</v>
      </c>
      <c r="AI11" s="20">
        <v>4.8829147897699654</v>
      </c>
      <c r="AJ11" s="20">
        <v>2.7963236207692268</v>
      </c>
      <c r="AK11" s="20">
        <v>1.46562105</v>
      </c>
    </row>
    <row r="12" spans="1:37" x14ac:dyDescent="0.25">
      <c r="A12" s="20" t="s">
        <v>1</v>
      </c>
      <c r="B12" s="20">
        <v>17.795100000000001</v>
      </c>
      <c r="C12" s="20">
        <v>29.253898316069609</v>
      </c>
      <c r="D12" s="20">
        <v>39.527017251165283</v>
      </c>
      <c r="E12" s="20">
        <v>46.70146504323003</v>
      </c>
      <c r="F12" s="20">
        <v>49.631317600230773</v>
      </c>
      <c r="G12" s="20">
        <v>48.273310400000007</v>
      </c>
      <c r="K12" s="20" t="s">
        <v>1</v>
      </c>
      <c r="L12" s="20">
        <v>17.795100000000001</v>
      </c>
      <c r="M12" s="20">
        <v>29.253898316069609</v>
      </c>
      <c r="N12" s="20">
        <v>39.527017251165283</v>
      </c>
      <c r="O12" s="20">
        <v>46.70146504323003</v>
      </c>
      <c r="P12" s="20">
        <v>49.631317600230773</v>
      </c>
      <c r="Q12" s="20">
        <v>48.273310400000007</v>
      </c>
      <c r="U12" s="20" t="s">
        <v>1</v>
      </c>
      <c r="V12" s="20">
        <v>17.795100000000001</v>
      </c>
      <c r="W12" s="20">
        <v>29.253898316069609</v>
      </c>
      <c r="X12" s="20">
        <v>39.527017251165283</v>
      </c>
      <c r="Y12" s="20">
        <v>46.70146504323003</v>
      </c>
      <c r="Z12" s="20">
        <v>49.631317600230773</v>
      </c>
      <c r="AA12" s="20">
        <v>48.273310400000007</v>
      </c>
      <c r="AE12" s="20" t="s">
        <v>1</v>
      </c>
      <c r="AF12" s="20">
        <v>17.795100000000001</v>
      </c>
      <c r="AG12" s="20">
        <v>29.253898316069609</v>
      </c>
      <c r="AH12" s="20">
        <v>39.527017251165283</v>
      </c>
      <c r="AI12" s="20">
        <v>46.70146504323003</v>
      </c>
      <c r="AJ12" s="20">
        <v>49.631317600230773</v>
      </c>
      <c r="AK12" s="20">
        <v>48.273310400000007</v>
      </c>
    </row>
    <row r="13" spans="1:37" x14ac:dyDescent="0.25">
      <c r="A13" s="20" t="s">
        <v>2</v>
      </c>
      <c r="B13" s="20">
        <v>29.685600000000001</v>
      </c>
      <c r="C13" s="20">
        <v>39.787245945999999</v>
      </c>
      <c r="D13" s="20">
        <v>47.196387397999999</v>
      </c>
      <c r="E13" s="20">
        <v>51.584379833</v>
      </c>
      <c r="F13" s="20">
        <v>52.427641221000002</v>
      </c>
      <c r="G13" s="20">
        <v>49.738931450000003</v>
      </c>
      <c r="K13" s="20" t="s">
        <v>2</v>
      </c>
      <c r="L13" s="20">
        <v>29.685600000000001</v>
      </c>
      <c r="M13" s="20">
        <v>39.787245945999999</v>
      </c>
      <c r="N13" s="20">
        <v>47.196387397999999</v>
      </c>
      <c r="O13" s="20">
        <v>51.584379833</v>
      </c>
      <c r="P13" s="20">
        <v>52.427641221000002</v>
      </c>
      <c r="Q13" s="20">
        <v>49.738931450000003</v>
      </c>
      <c r="U13" s="20" t="s">
        <v>2</v>
      </c>
      <c r="V13" s="20">
        <v>29.685600000000001</v>
      </c>
      <c r="W13" s="20">
        <v>39.787245945999999</v>
      </c>
      <c r="X13" s="20">
        <v>47.196387397999999</v>
      </c>
      <c r="Y13" s="20">
        <v>51.584379833</v>
      </c>
      <c r="Z13" s="20">
        <v>52.427641221000002</v>
      </c>
      <c r="AA13" s="20">
        <v>49.738931450000003</v>
      </c>
      <c r="AE13" s="20" t="s">
        <v>2</v>
      </c>
      <c r="AF13" s="20">
        <v>29.685600000000001</v>
      </c>
      <c r="AG13" s="20">
        <v>39.787245945999999</v>
      </c>
      <c r="AH13" s="20">
        <v>47.196387397999999</v>
      </c>
      <c r="AI13" s="20">
        <v>51.584379833</v>
      </c>
      <c r="AJ13" s="20">
        <v>52.427641221000002</v>
      </c>
      <c r="AK13" s="20">
        <v>49.738931450000003</v>
      </c>
    </row>
    <row r="14" spans="1:37" x14ac:dyDescent="0.25">
      <c r="A14" s="20" t="s">
        <v>3</v>
      </c>
      <c r="B14" s="20">
        <v>1.496581304402675</v>
      </c>
      <c r="C14" s="20">
        <v>2.777265057971217</v>
      </c>
      <c r="D14" s="20">
        <v>5.1538805005361237</v>
      </c>
      <c r="E14" s="20">
        <v>9.5642596797045769</v>
      </c>
      <c r="F14" s="20">
        <v>17.748774580882721</v>
      </c>
      <c r="G14" s="20">
        <v>32.937102261188187</v>
      </c>
      <c r="K14" s="20" t="s">
        <v>3</v>
      </c>
      <c r="L14" s="20">
        <v>1.496581304402675</v>
      </c>
      <c r="M14" s="20">
        <v>2.777265057971217</v>
      </c>
      <c r="N14" s="20">
        <v>5.1538805005361237</v>
      </c>
      <c r="O14" s="20">
        <v>9.5642596797045769</v>
      </c>
      <c r="P14" s="20">
        <v>17.748774580882721</v>
      </c>
      <c r="Q14" s="20">
        <v>32.937102261188187</v>
      </c>
      <c r="U14" s="20" t="s">
        <v>3</v>
      </c>
      <c r="V14" s="20">
        <v>1.496581304402675</v>
      </c>
      <c r="W14" s="20">
        <v>2.777265057971217</v>
      </c>
      <c r="X14" s="20">
        <v>5.1538805005361237</v>
      </c>
      <c r="Y14" s="20">
        <v>9.5642596797045769</v>
      </c>
      <c r="Z14" s="20">
        <v>17.748774580882721</v>
      </c>
      <c r="AA14" s="20">
        <v>32.937102261188187</v>
      </c>
      <c r="AE14" s="20" t="s">
        <v>3</v>
      </c>
      <c r="AF14" s="20">
        <v>1.496581304402675</v>
      </c>
      <c r="AG14" s="20">
        <v>2.777265057971217</v>
      </c>
      <c r="AH14" s="20">
        <v>5.1538805005361237</v>
      </c>
      <c r="AI14" s="20">
        <v>9.5642596797045769</v>
      </c>
      <c r="AJ14" s="20">
        <v>17.748774580882721</v>
      </c>
      <c r="AK14" s="20">
        <v>32.937102261188187</v>
      </c>
    </row>
    <row r="15" spans="1:37" x14ac:dyDescent="0.25">
      <c r="A15" s="20" t="s">
        <v>18</v>
      </c>
      <c r="B15" s="20">
        <v>12693901918.097731</v>
      </c>
      <c r="C15" s="20">
        <v>30828552397.620178</v>
      </c>
      <c r="D15" s="20">
        <v>49660386078.816383</v>
      </c>
      <c r="E15" s="20">
        <v>73633303313.683334</v>
      </c>
      <c r="F15" s="20">
        <v>100124513929.9736</v>
      </c>
      <c r="G15" s="20">
        <v>128627500430.7878</v>
      </c>
      <c r="K15" s="20" t="s">
        <v>18</v>
      </c>
      <c r="L15" s="20">
        <v>12693901918.097731</v>
      </c>
      <c r="M15" s="20">
        <v>30828552397.620178</v>
      </c>
      <c r="N15" s="20">
        <v>49660386078.816383</v>
      </c>
      <c r="O15" s="20">
        <v>73633303313.683334</v>
      </c>
      <c r="P15" s="20">
        <v>100124513929.9736</v>
      </c>
      <c r="Q15" s="20">
        <v>128627500430.7878</v>
      </c>
      <c r="U15" s="20" t="s">
        <v>18</v>
      </c>
      <c r="V15" s="20">
        <v>12693901918.097731</v>
      </c>
      <c r="W15" s="20">
        <v>30828552397.620178</v>
      </c>
      <c r="X15" s="20">
        <v>49660386078.816383</v>
      </c>
      <c r="Y15" s="20">
        <v>73633303313.683334</v>
      </c>
      <c r="Z15" s="20">
        <v>100124513929.9736</v>
      </c>
      <c r="AA15" s="20">
        <v>128627500430.7878</v>
      </c>
      <c r="AE15" s="20" t="s">
        <v>18</v>
      </c>
      <c r="AF15" s="20">
        <v>12693901918.097731</v>
      </c>
      <c r="AG15" s="20">
        <v>30828552397.620178</v>
      </c>
      <c r="AH15" s="20">
        <v>49660386078.816383</v>
      </c>
      <c r="AI15" s="20">
        <v>73633303313.683334</v>
      </c>
      <c r="AJ15" s="20">
        <v>100124513929.9736</v>
      </c>
      <c r="AK15" s="20">
        <v>128627500430.7878</v>
      </c>
    </row>
    <row r="16" spans="1:37" x14ac:dyDescent="0.25">
      <c r="A16" s="20" t="s">
        <v>19</v>
      </c>
      <c r="B16" s="20">
        <v>16550655338.802481</v>
      </c>
      <c r="C16" s="20">
        <v>40195106959.175758</v>
      </c>
      <c r="D16" s="20">
        <v>64748565042.128838</v>
      </c>
      <c r="E16" s="20">
        <v>96005108001.094727</v>
      </c>
      <c r="F16" s="20">
        <v>130545070515.91071</v>
      </c>
      <c r="G16" s="20">
        <v>167708041267.16171</v>
      </c>
      <c r="K16" s="20" t="s">
        <v>19</v>
      </c>
      <c r="L16" s="20">
        <v>16550655338.802481</v>
      </c>
      <c r="M16" s="20">
        <v>40195106959.175758</v>
      </c>
      <c r="N16" s="20">
        <v>64748565042.128838</v>
      </c>
      <c r="O16" s="20">
        <v>96005108001.094727</v>
      </c>
      <c r="P16" s="20">
        <v>130545070515.91071</v>
      </c>
      <c r="Q16" s="20">
        <v>167708041267.16171</v>
      </c>
      <c r="U16" s="20" t="s">
        <v>19</v>
      </c>
      <c r="V16" s="20">
        <v>16550655338.802481</v>
      </c>
      <c r="W16" s="20">
        <v>40195106959.175758</v>
      </c>
      <c r="X16" s="20">
        <v>64748565042.128838</v>
      </c>
      <c r="Y16" s="20">
        <v>96005108001.094727</v>
      </c>
      <c r="Z16" s="20">
        <v>130545070515.91071</v>
      </c>
      <c r="AA16" s="20">
        <v>167708041267.16171</v>
      </c>
      <c r="AE16" s="20" t="s">
        <v>19</v>
      </c>
      <c r="AF16" s="20">
        <v>16550655338.802481</v>
      </c>
      <c r="AG16" s="20">
        <v>40195106959.175758</v>
      </c>
      <c r="AH16" s="20">
        <v>64748565042.128838</v>
      </c>
      <c r="AI16" s="20">
        <v>96005108001.094727</v>
      </c>
      <c r="AJ16" s="20">
        <v>130545070515.91071</v>
      </c>
      <c r="AK16" s="20">
        <v>167708041267.16171</v>
      </c>
    </row>
    <row r="17" spans="1:37" x14ac:dyDescent="0.25">
      <c r="A17" s="20" t="s">
        <v>7</v>
      </c>
      <c r="B17" s="20">
        <v>17.474866370000001</v>
      </c>
      <c r="C17" s="20">
        <v>17.474866370000001</v>
      </c>
      <c r="D17" s="20">
        <v>17.474866370000001</v>
      </c>
      <c r="E17" s="20">
        <v>17.474866370000001</v>
      </c>
      <c r="F17" s="20">
        <v>17.474866370000001</v>
      </c>
      <c r="G17" s="20">
        <v>17.474866370000001</v>
      </c>
      <c r="K17" s="20" t="s">
        <v>7</v>
      </c>
      <c r="L17" s="20">
        <v>17.474866370000001</v>
      </c>
      <c r="M17" s="20">
        <v>17.474866370000001</v>
      </c>
      <c r="N17" s="20">
        <v>17.474866370000001</v>
      </c>
      <c r="O17" s="20">
        <v>17.474866370000001</v>
      </c>
      <c r="P17" s="20">
        <v>17.474866370000001</v>
      </c>
      <c r="Q17" s="20">
        <v>17.474866370000001</v>
      </c>
      <c r="U17" s="20" t="s">
        <v>7</v>
      </c>
      <c r="V17" s="20">
        <v>17.474866370000001</v>
      </c>
      <c r="W17" s="20">
        <v>17.474866370000001</v>
      </c>
      <c r="X17" s="20">
        <v>17.474866370000001</v>
      </c>
      <c r="Y17" s="20">
        <v>17.474866370000001</v>
      </c>
      <c r="Z17" s="20">
        <v>17.474866370000001</v>
      </c>
      <c r="AA17" s="20">
        <v>17.474866370000001</v>
      </c>
      <c r="AE17" s="20" t="s">
        <v>7</v>
      </c>
      <c r="AF17" s="20">
        <v>17.474866370000001</v>
      </c>
      <c r="AG17" s="20">
        <v>17.474866370000001</v>
      </c>
      <c r="AH17" s="20">
        <v>17.474866370000001</v>
      </c>
      <c r="AI17" s="20">
        <v>17.474866370000001</v>
      </c>
      <c r="AJ17" s="20">
        <v>17.474866370000001</v>
      </c>
      <c r="AK17" s="20">
        <v>17.474866370000001</v>
      </c>
    </row>
    <row r="18" spans="1:37" x14ac:dyDescent="0.25">
      <c r="A18" s="20" t="s">
        <v>52</v>
      </c>
      <c r="B18" s="20">
        <v>27.774387432326002</v>
      </c>
      <c r="C18" s="20">
        <v>27.774387432326002</v>
      </c>
      <c r="D18" s="20">
        <v>27.774387432326002</v>
      </c>
      <c r="E18" s="20">
        <v>27.774387432326002</v>
      </c>
      <c r="F18" s="20">
        <v>27.774387432326002</v>
      </c>
      <c r="G18" s="20">
        <v>27.774387432326002</v>
      </c>
      <c r="K18" s="20" t="s">
        <v>52</v>
      </c>
      <c r="L18" s="20">
        <v>27.774387432326002</v>
      </c>
      <c r="M18" s="20">
        <v>27.774387432326002</v>
      </c>
      <c r="N18" s="20">
        <v>27.774387432326002</v>
      </c>
      <c r="O18" s="20">
        <v>27.774387432326002</v>
      </c>
      <c r="P18" s="20">
        <v>27.774387432326002</v>
      </c>
      <c r="Q18" s="20">
        <v>27.774387432326002</v>
      </c>
      <c r="U18" s="20" t="s">
        <v>52</v>
      </c>
      <c r="V18" s="20">
        <v>27.774387432326002</v>
      </c>
      <c r="W18" s="20">
        <v>27.774387432326002</v>
      </c>
      <c r="X18" s="20">
        <v>27.774387432326002</v>
      </c>
      <c r="Y18" s="20">
        <v>27.774387432326002</v>
      </c>
      <c r="Z18" s="20">
        <v>27.774387432326002</v>
      </c>
      <c r="AA18" s="20">
        <v>27.774387432326002</v>
      </c>
      <c r="AE18" s="20" t="s">
        <v>52</v>
      </c>
      <c r="AF18" s="20">
        <v>27.774387432326002</v>
      </c>
      <c r="AG18" s="20">
        <v>27.774387432326002</v>
      </c>
      <c r="AH18" s="20">
        <v>27.774387432326002</v>
      </c>
      <c r="AI18" s="20">
        <v>27.774387432326002</v>
      </c>
      <c r="AJ18" s="20">
        <v>27.774387432326002</v>
      </c>
      <c r="AK18" s="20">
        <v>27.774387432326002</v>
      </c>
    </row>
    <row r="19" spans="1:37" x14ac:dyDescent="0.25">
      <c r="A19" s="20" t="s">
        <v>4</v>
      </c>
      <c r="B19" s="20">
        <v>0.91305087301969401</v>
      </c>
      <c r="C19" s="20">
        <v>0.91305087301969401</v>
      </c>
      <c r="D19" s="20">
        <v>0.91305087301969401</v>
      </c>
      <c r="E19" s="20">
        <v>0.91305087301969401</v>
      </c>
      <c r="F19" s="20">
        <v>0.91305087301969401</v>
      </c>
      <c r="G19" s="20">
        <v>0.91305087301969401</v>
      </c>
      <c r="K19" s="20" t="s">
        <v>4</v>
      </c>
      <c r="L19" s="20">
        <v>0.91305087301969401</v>
      </c>
      <c r="M19" s="20">
        <v>0.91305087301969401</v>
      </c>
      <c r="N19" s="20">
        <v>0.91305087301969401</v>
      </c>
      <c r="O19" s="20">
        <v>0.91305087301969401</v>
      </c>
      <c r="P19" s="20">
        <v>0.91305087301969401</v>
      </c>
      <c r="Q19" s="20">
        <v>0.91305087301969401</v>
      </c>
      <c r="U19" s="20" t="s">
        <v>4</v>
      </c>
      <c r="V19" s="20">
        <v>0.91305087301969401</v>
      </c>
      <c r="W19" s="20">
        <v>0.91305087301969401</v>
      </c>
      <c r="X19" s="20">
        <v>0.91305087301969401</v>
      </c>
      <c r="Y19" s="20">
        <v>0.91305087301969401</v>
      </c>
      <c r="Z19" s="20">
        <v>0.91305087301969401</v>
      </c>
      <c r="AA19" s="20">
        <v>0.91305087301969401</v>
      </c>
      <c r="AE19" s="20" t="s">
        <v>4</v>
      </c>
      <c r="AF19" s="20">
        <v>0.91305087301969401</v>
      </c>
      <c r="AG19" s="20">
        <v>0.91305087301969401</v>
      </c>
      <c r="AH19" s="20">
        <v>0.91305087301969401</v>
      </c>
      <c r="AI19" s="20">
        <v>0.91305087301969401</v>
      </c>
      <c r="AJ19" s="20">
        <v>0.91305087301969401</v>
      </c>
      <c r="AK19" s="20">
        <v>0.91305087301969401</v>
      </c>
    </row>
    <row r="20" spans="1:37" x14ac:dyDescent="0.25">
      <c r="A20" s="20" t="s">
        <v>5</v>
      </c>
      <c r="B20" s="20">
        <v>0.99563611390647888</v>
      </c>
      <c r="C20" s="20">
        <v>0.99563611390647888</v>
      </c>
      <c r="D20" s="20">
        <v>0.99563611390647888</v>
      </c>
      <c r="E20" s="20">
        <v>0.99563611390647888</v>
      </c>
      <c r="F20" s="20">
        <v>0.99563611390647888</v>
      </c>
      <c r="G20" s="20">
        <v>0.99563611390647888</v>
      </c>
      <c r="K20" s="20" t="s">
        <v>5</v>
      </c>
      <c r="L20" s="20">
        <v>0.99563611390647888</v>
      </c>
      <c r="M20" s="20">
        <v>0.99563611390647888</v>
      </c>
      <c r="N20" s="20">
        <v>0.99563611390647888</v>
      </c>
      <c r="O20" s="20">
        <v>0.99563611390647888</v>
      </c>
      <c r="P20" s="20">
        <v>0.99563611390647888</v>
      </c>
      <c r="Q20" s="20">
        <v>0.99563611390647888</v>
      </c>
      <c r="U20" s="20" t="s">
        <v>5</v>
      </c>
      <c r="V20" s="20">
        <v>0.99563611390647888</v>
      </c>
      <c r="W20" s="20">
        <v>0.99563611390647888</v>
      </c>
      <c r="X20" s="20">
        <v>0.99563611390647888</v>
      </c>
      <c r="Y20" s="20">
        <v>0.99563611390647888</v>
      </c>
      <c r="Z20" s="20">
        <v>0.99563611390647888</v>
      </c>
      <c r="AA20" s="20">
        <v>0.99563611390647888</v>
      </c>
      <c r="AE20" s="20" t="s">
        <v>5</v>
      </c>
      <c r="AF20" s="20">
        <v>0.99563611390647888</v>
      </c>
      <c r="AG20" s="20">
        <v>0.99563611390647888</v>
      </c>
      <c r="AH20" s="20">
        <v>0.99563611390647888</v>
      </c>
      <c r="AI20" s="20">
        <v>0.99563611390647888</v>
      </c>
      <c r="AJ20" s="20">
        <v>0.99563611390647888</v>
      </c>
      <c r="AK20" s="20">
        <v>0.99563611390647888</v>
      </c>
    </row>
    <row r="21" spans="1:37" x14ac:dyDescent="0.25">
      <c r="A21" s="20" t="s">
        <v>20</v>
      </c>
      <c r="B21" s="20">
        <v>0.96439833420871968</v>
      </c>
      <c r="C21" s="20">
        <v>0.96439833420871968</v>
      </c>
      <c r="D21" s="20">
        <v>0.96439833420871968</v>
      </c>
      <c r="E21" s="20">
        <v>0.96439833420871968</v>
      </c>
      <c r="F21" s="20">
        <v>0.96439833420871968</v>
      </c>
      <c r="G21" s="20">
        <v>0.96439833420871968</v>
      </c>
      <c r="K21" s="20" t="s">
        <v>20</v>
      </c>
      <c r="L21" s="20">
        <v>0.96439833420871968</v>
      </c>
      <c r="M21" s="20">
        <v>0.96439833420871968</v>
      </c>
      <c r="N21" s="20">
        <v>0.96439833420871968</v>
      </c>
      <c r="O21" s="20">
        <v>0.96439833420871968</v>
      </c>
      <c r="P21" s="20">
        <v>0.96439833420871968</v>
      </c>
      <c r="Q21" s="20">
        <v>0.96439833420871968</v>
      </c>
      <c r="U21" s="20" t="s">
        <v>20</v>
      </c>
      <c r="V21" s="20">
        <v>0.96439833420871968</v>
      </c>
      <c r="W21" s="20">
        <v>0.96439833420871968</v>
      </c>
      <c r="X21" s="20">
        <v>0.96439833420871968</v>
      </c>
      <c r="Y21" s="20">
        <v>0.96439833420871968</v>
      </c>
      <c r="Z21" s="20">
        <v>0.96439833420871968</v>
      </c>
      <c r="AA21" s="20">
        <v>0.96439833420871968</v>
      </c>
      <c r="AE21" s="20" t="s">
        <v>20</v>
      </c>
      <c r="AF21" s="20">
        <v>0.96439833420871968</v>
      </c>
      <c r="AG21" s="20">
        <v>0.96439833420871968</v>
      </c>
      <c r="AH21" s="20">
        <v>0.96439833420871968</v>
      </c>
      <c r="AI21" s="20">
        <v>0.96439833420871968</v>
      </c>
      <c r="AJ21" s="20">
        <v>0.96439833420871968</v>
      </c>
      <c r="AK21" s="20">
        <v>0.96439833420871968</v>
      </c>
    </row>
    <row r="22" spans="1:37" x14ac:dyDescent="0.25">
      <c r="A22" s="20" t="s">
        <v>21</v>
      </c>
      <c r="B22" s="20">
        <v>0.99844694181596516</v>
      </c>
      <c r="C22" s="20">
        <v>0.99844694181596516</v>
      </c>
      <c r="D22" s="20">
        <v>0.99844694181596516</v>
      </c>
      <c r="E22" s="20">
        <v>0.99844694181596516</v>
      </c>
      <c r="F22" s="20">
        <v>0.99844694181596516</v>
      </c>
      <c r="G22" s="20">
        <v>0.99844694181596516</v>
      </c>
      <c r="K22" s="20" t="s">
        <v>21</v>
      </c>
      <c r="L22" s="20">
        <v>0.99844694181596516</v>
      </c>
      <c r="M22" s="20">
        <v>0.99844694181596516</v>
      </c>
      <c r="N22" s="20">
        <v>0.99844694181596516</v>
      </c>
      <c r="O22" s="20">
        <v>0.99844694181596516</v>
      </c>
      <c r="P22" s="20">
        <v>0.99844694181596516</v>
      </c>
      <c r="Q22" s="20">
        <v>0.99844694181596516</v>
      </c>
      <c r="U22" s="20" t="s">
        <v>21</v>
      </c>
      <c r="V22" s="20">
        <v>0.99844694181596516</v>
      </c>
      <c r="W22" s="20">
        <v>0.99844694181596516</v>
      </c>
      <c r="X22" s="20">
        <v>0.99844694181596516</v>
      </c>
      <c r="Y22" s="20">
        <v>0.99844694181596516</v>
      </c>
      <c r="Z22" s="20">
        <v>0.99844694181596516</v>
      </c>
      <c r="AA22" s="20">
        <v>0.99844694181596516</v>
      </c>
      <c r="AE22" s="20" t="s">
        <v>21</v>
      </c>
      <c r="AF22" s="20">
        <v>0.99844694181596516</v>
      </c>
      <c r="AG22" s="20">
        <v>0.99844694181596516</v>
      </c>
      <c r="AH22" s="20">
        <v>0.99844694181596516</v>
      </c>
      <c r="AI22" s="20">
        <v>0.99844694181596516</v>
      </c>
      <c r="AJ22" s="20">
        <v>0.99844694181596516</v>
      </c>
      <c r="AK22" s="20">
        <v>0.99844694181596516</v>
      </c>
    </row>
    <row r="23" spans="1:37" x14ac:dyDescent="0.25">
      <c r="A23" s="20" t="s">
        <v>10</v>
      </c>
      <c r="B23" s="20">
        <v>0.9515819628126353</v>
      </c>
      <c r="C23" s="20">
        <v>0.14581548197325231</v>
      </c>
      <c r="D23" s="20">
        <v>1.6231739469737539E-2</v>
      </c>
      <c r="E23" s="20">
        <v>1.6631588157386269E-3</v>
      </c>
      <c r="F23" s="20">
        <v>1.5628033198607699E-4</v>
      </c>
      <c r="G23" s="20">
        <v>1.387401631686837E-5</v>
      </c>
      <c r="K23" s="20" t="s">
        <v>10</v>
      </c>
      <c r="L23" s="20">
        <v>0.9515819628126353</v>
      </c>
      <c r="M23" s="20">
        <v>0.14581548197325231</v>
      </c>
      <c r="N23" s="20">
        <v>1.6231739469737539E-2</v>
      </c>
      <c r="O23" s="20">
        <v>1.6631588157386269E-3</v>
      </c>
      <c r="P23" s="20">
        <v>1.5628033198607699E-4</v>
      </c>
      <c r="Q23" s="20">
        <v>1.387401631686837E-5</v>
      </c>
      <c r="U23" s="20" t="s">
        <v>10</v>
      </c>
      <c r="V23" s="20">
        <v>0.9515819628126353</v>
      </c>
      <c r="W23" s="20">
        <v>0.14581548197325231</v>
      </c>
      <c r="X23" s="20">
        <v>1.6231739469737539E-2</v>
      </c>
      <c r="Y23" s="20">
        <v>1.6631588157386269E-3</v>
      </c>
      <c r="Z23" s="20">
        <v>1.5628033198607699E-4</v>
      </c>
      <c r="AA23" s="20">
        <v>1.387401631686837E-5</v>
      </c>
      <c r="AE23" s="20" t="s">
        <v>10</v>
      </c>
      <c r="AF23" s="20">
        <v>0.9515819628126353</v>
      </c>
      <c r="AG23" s="20">
        <v>0.14581548197325231</v>
      </c>
      <c r="AH23" s="20">
        <v>1.6231739469737539E-2</v>
      </c>
      <c r="AI23" s="20">
        <v>1.6631588157386269E-3</v>
      </c>
      <c r="AJ23" s="20">
        <v>1.5628033198607699E-4</v>
      </c>
      <c r="AK23" s="20">
        <v>1.387401631686837E-5</v>
      </c>
    </row>
    <row r="24" spans="1:37" x14ac:dyDescent="0.25">
      <c r="A24" s="20" t="s">
        <v>12</v>
      </c>
      <c r="B24" s="20">
        <v>0.8649398558400585</v>
      </c>
      <c r="C24" s="20">
        <v>1.7140246716127869</v>
      </c>
      <c r="D24" s="20">
        <v>2.2628019929260148</v>
      </c>
      <c r="E24" s="20">
        <v>2.749687056954909</v>
      </c>
      <c r="F24" s="20">
        <v>3.0642340233716761</v>
      </c>
      <c r="G24" s="20">
        <v>3.2261745748612878</v>
      </c>
      <c r="K24" s="20" t="s">
        <v>12</v>
      </c>
      <c r="L24" s="20">
        <v>0.8649398558400585</v>
      </c>
      <c r="M24" s="20">
        <v>1.7140246716127869</v>
      </c>
      <c r="N24" s="20">
        <v>2.2628019929260148</v>
      </c>
      <c r="O24" s="20">
        <v>2.749687056954909</v>
      </c>
      <c r="P24" s="20">
        <v>3.0642340233716761</v>
      </c>
      <c r="Q24" s="20">
        <v>3.2261745748612878</v>
      </c>
      <c r="U24" s="20" t="s">
        <v>12</v>
      </c>
      <c r="V24" s="20">
        <v>0.8649398558400585</v>
      </c>
      <c r="W24" s="20">
        <v>1.7140246716127869</v>
      </c>
      <c r="X24" s="20">
        <v>2.2628019929260148</v>
      </c>
      <c r="Y24" s="20">
        <v>2.749687056954909</v>
      </c>
      <c r="Z24" s="20">
        <v>3.0642340233716761</v>
      </c>
      <c r="AA24" s="20">
        <v>3.2261745748612878</v>
      </c>
      <c r="AE24" s="20" t="s">
        <v>12</v>
      </c>
      <c r="AF24" s="20">
        <v>0.8649398558400585</v>
      </c>
      <c r="AG24" s="20">
        <v>1.7140246716127869</v>
      </c>
      <c r="AH24" s="20">
        <v>2.2628019929260148</v>
      </c>
      <c r="AI24" s="20">
        <v>2.749687056954909</v>
      </c>
      <c r="AJ24" s="20">
        <v>3.0642340233716761</v>
      </c>
      <c r="AK24" s="20">
        <v>3.2261745748612878</v>
      </c>
    </row>
    <row r="25" spans="1:37" x14ac:dyDescent="0.25">
      <c r="A25" s="20" t="s">
        <v>11</v>
      </c>
      <c r="B25" s="20">
        <v>152969731967.8754</v>
      </c>
      <c r="C25" s="20">
        <v>2147693800223.9009</v>
      </c>
      <c r="D25" s="20">
        <v>22628781992354.191</v>
      </c>
      <c r="E25" s="20">
        <v>208485645731570.31</v>
      </c>
      <c r="F25" s="20">
        <v>1727746327113788</v>
      </c>
      <c r="G25" s="20">
        <v>1.310417773214338E+16</v>
      </c>
      <c r="K25" s="20" t="s">
        <v>11</v>
      </c>
      <c r="L25" s="20">
        <v>152969731967.8754</v>
      </c>
      <c r="M25" s="20">
        <v>2147693800223.9009</v>
      </c>
      <c r="N25" s="20">
        <v>22628781992354.191</v>
      </c>
      <c r="O25" s="20">
        <v>208485645731570.31</v>
      </c>
      <c r="P25" s="20">
        <v>1727746327113788</v>
      </c>
      <c r="Q25" s="20">
        <v>1.310417773214338E+16</v>
      </c>
      <c r="U25" s="20" t="s">
        <v>11</v>
      </c>
      <c r="V25" s="20">
        <v>152969731967.8754</v>
      </c>
      <c r="W25" s="20">
        <v>2147693800223.9009</v>
      </c>
      <c r="X25" s="20">
        <v>22628781992354.191</v>
      </c>
      <c r="Y25" s="20">
        <v>208485645731570.31</v>
      </c>
      <c r="Z25" s="20">
        <v>1727746327113788</v>
      </c>
      <c r="AA25" s="20">
        <v>1.310417773214338E+16</v>
      </c>
      <c r="AE25" s="20" t="s">
        <v>11</v>
      </c>
      <c r="AF25" s="20">
        <v>152969731967.8754</v>
      </c>
      <c r="AG25" s="20">
        <v>2147693800223.9009</v>
      </c>
      <c r="AH25" s="20">
        <v>22628781992354.191</v>
      </c>
      <c r="AI25" s="20">
        <v>208485645731570.31</v>
      </c>
      <c r="AJ25" s="20">
        <v>1727746327113788</v>
      </c>
      <c r="AK25" s="20">
        <v>1.310417773214338E+16</v>
      </c>
    </row>
    <row r="26" spans="1:37" x14ac:dyDescent="0.25">
      <c r="A26" s="20" t="s">
        <v>13</v>
      </c>
      <c r="B26" s="20">
        <v>339981048690.66803</v>
      </c>
      <c r="C26" s="20">
        <v>684959444684.7157</v>
      </c>
      <c r="D26" s="20">
        <v>1129282582470.3621</v>
      </c>
      <c r="E26" s="20">
        <v>1628045607807.8899</v>
      </c>
      <c r="F26" s="20">
        <v>2111151220908.302</v>
      </c>
      <c r="G26" s="20">
        <v>2505521279759.9512</v>
      </c>
      <c r="K26" s="20" t="s">
        <v>13</v>
      </c>
      <c r="L26" s="20">
        <v>339981048690.66803</v>
      </c>
      <c r="M26" s="20">
        <v>684959444684.7157</v>
      </c>
      <c r="N26" s="20">
        <v>1129282582470.3621</v>
      </c>
      <c r="O26" s="20">
        <v>1628045607807.8899</v>
      </c>
      <c r="P26" s="20">
        <v>2111151220908.302</v>
      </c>
      <c r="Q26" s="20">
        <v>2505521279759.9512</v>
      </c>
      <c r="U26" s="20" t="s">
        <v>13</v>
      </c>
      <c r="V26" s="20">
        <v>339981048690.66803</v>
      </c>
      <c r="W26" s="20">
        <v>684959444684.7157</v>
      </c>
      <c r="X26" s="20">
        <v>1129282582470.3621</v>
      </c>
      <c r="Y26" s="20">
        <v>1628045607807.8899</v>
      </c>
      <c r="Z26" s="20">
        <v>2111151220908.302</v>
      </c>
      <c r="AA26" s="20">
        <v>2505521279759.9512</v>
      </c>
      <c r="AE26" s="20" t="s">
        <v>13</v>
      </c>
      <c r="AF26" s="20">
        <v>339981048690.66803</v>
      </c>
      <c r="AG26" s="20">
        <v>684959444684.7157</v>
      </c>
      <c r="AH26" s="20">
        <v>1129282582470.3621</v>
      </c>
      <c r="AI26" s="20">
        <v>1628045607807.8899</v>
      </c>
      <c r="AJ26" s="20">
        <v>2111151220908.302</v>
      </c>
      <c r="AK26" s="20">
        <v>2505521279759.9512</v>
      </c>
    </row>
    <row r="27" spans="1:37" x14ac:dyDescent="0.25">
      <c r="A27" s="20" t="s">
        <v>22</v>
      </c>
      <c r="B27" s="20">
        <v>5152994447.4046478</v>
      </c>
      <c r="C27" s="20">
        <v>25452264741.496521</v>
      </c>
      <c r="D27" s="20">
        <v>43940236524.539932</v>
      </c>
      <c r="E27" s="20">
        <v>68023167479.373451</v>
      </c>
      <c r="F27" s="20">
        <v>95609715854.487335</v>
      </c>
      <c r="G27" s="20">
        <v>126181527976.91209</v>
      </c>
      <c r="K27" s="20" t="s">
        <v>22</v>
      </c>
      <c r="L27" s="20">
        <v>5152994447.4046478</v>
      </c>
      <c r="M27" s="20">
        <v>25452264741.496521</v>
      </c>
      <c r="N27" s="20">
        <v>43940236524.539932</v>
      </c>
      <c r="O27" s="20">
        <v>68023167479.373451</v>
      </c>
      <c r="P27" s="20">
        <v>95609715854.487335</v>
      </c>
      <c r="Q27" s="20">
        <v>126181527976.91209</v>
      </c>
      <c r="U27" s="20" t="s">
        <v>22</v>
      </c>
      <c r="V27" s="20">
        <v>5152994447.4046478</v>
      </c>
      <c r="W27" s="20">
        <v>25452264741.496521</v>
      </c>
      <c r="X27" s="20">
        <v>43940236524.539932</v>
      </c>
      <c r="Y27" s="20">
        <v>68023167479.373451</v>
      </c>
      <c r="Z27" s="20">
        <v>95609715854.487335</v>
      </c>
      <c r="AA27" s="20">
        <v>126181527976.91209</v>
      </c>
      <c r="AE27" s="20" t="s">
        <v>22</v>
      </c>
      <c r="AF27" s="20">
        <v>5152994447.4046478</v>
      </c>
      <c r="AG27" s="20">
        <v>25452264741.496521</v>
      </c>
      <c r="AH27" s="20">
        <v>43940236524.539932</v>
      </c>
      <c r="AI27" s="20">
        <v>68023167479.373451</v>
      </c>
      <c r="AJ27" s="20">
        <v>95609715854.487335</v>
      </c>
      <c r="AK27" s="20">
        <v>126181527976.91209</v>
      </c>
    </row>
    <row r="32" spans="1:37" x14ac:dyDescent="0.25">
      <c r="A32" s="20" t="s">
        <v>15</v>
      </c>
      <c r="B32" s="20">
        <v>2000</v>
      </c>
      <c r="C32" s="20">
        <v>2020</v>
      </c>
      <c r="D32" s="20">
        <v>2040</v>
      </c>
      <c r="E32" s="20">
        <v>2060</v>
      </c>
      <c r="F32" s="20">
        <v>2080</v>
      </c>
      <c r="G32" s="20">
        <v>2100</v>
      </c>
      <c r="K32" s="20" t="s">
        <v>15</v>
      </c>
      <c r="L32" s="20">
        <v>2000</v>
      </c>
      <c r="M32" s="20">
        <v>2020</v>
      </c>
      <c r="N32" s="20">
        <v>2040</v>
      </c>
      <c r="O32" s="20">
        <v>2060</v>
      </c>
      <c r="P32" s="20">
        <v>2080</v>
      </c>
      <c r="Q32" s="20">
        <v>2100</v>
      </c>
      <c r="U32" s="20" t="s">
        <v>15</v>
      </c>
      <c r="V32" s="20">
        <v>2000</v>
      </c>
      <c r="W32" s="20">
        <v>2020</v>
      </c>
      <c r="X32" s="20">
        <v>2040</v>
      </c>
      <c r="Y32" s="20">
        <v>2060</v>
      </c>
      <c r="Z32" s="20">
        <v>2080</v>
      </c>
      <c r="AA32" s="20">
        <v>2100</v>
      </c>
      <c r="AE32" s="20" t="s">
        <v>15</v>
      </c>
      <c r="AF32" s="20">
        <v>2000</v>
      </c>
      <c r="AG32" s="20">
        <v>2020</v>
      </c>
      <c r="AH32" s="20">
        <v>2040</v>
      </c>
      <c r="AI32" s="20">
        <v>2060</v>
      </c>
      <c r="AJ32" s="20">
        <v>2080</v>
      </c>
      <c r="AK32" s="20">
        <v>2100</v>
      </c>
    </row>
    <row r="33" spans="1:37" x14ac:dyDescent="0.25">
      <c r="A33" s="20" t="s">
        <v>11</v>
      </c>
      <c r="B33" s="20">
        <v>152969731967.8754</v>
      </c>
      <c r="C33" s="20">
        <v>2135307379899.8279</v>
      </c>
      <c r="D33" s="20">
        <v>22418521176818.469</v>
      </c>
      <c r="E33" s="20">
        <v>205886863909214.91</v>
      </c>
      <c r="F33" s="20">
        <v>1705413578138399</v>
      </c>
      <c r="G33" s="20">
        <v>1.293852958186189E+16</v>
      </c>
      <c r="K33" s="20" t="s">
        <v>11</v>
      </c>
      <c r="L33" s="20">
        <v>152969731967.8754</v>
      </c>
      <c r="M33" s="20">
        <v>2135640230178.0669</v>
      </c>
      <c r="N33" s="20">
        <v>22359587959654.32</v>
      </c>
      <c r="O33" s="20">
        <v>204758820028085.09</v>
      </c>
      <c r="P33" s="20">
        <v>1691400272254837</v>
      </c>
      <c r="Q33" s="20">
        <v>1.280568016157596E+16</v>
      </c>
      <c r="U33" s="20" t="s">
        <v>11</v>
      </c>
      <c r="V33" s="20">
        <v>152969731967.8754</v>
      </c>
      <c r="W33" s="20">
        <v>2131852831666.866</v>
      </c>
      <c r="X33" s="20">
        <v>22343524328414.012</v>
      </c>
      <c r="Y33" s="20">
        <v>204546651743909</v>
      </c>
      <c r="Z33" s="20">
        <v>1684768582146779</v>
      </c>
      <c r="AA33" s="20">
        <v>1.273541177925903E+16</v>
      </c>
      <c r="AE33" s="20" t="s">
        <v>11</v>
      </c>
      <c r="AF33" s="20">
        <v>152969731967.8754</v>
      </c>
      <c r="AG33" s="20">
        <v>2137455555442.7939</v>
      </c>
      <c r="AH33" s="20">
        <v>22322469915792.91</v>
      </c>
      <c r="AI33" s="20">
        <v>203711112162694</v>
      </c>
      <c r="AJ33" s="20">
        <v>1675129576979480</v>
      </c>
      <c r="AK33" s="20">
        <v>1.26490778163502E+16</v>
      </c>
    </row>
    <row r="34" spans="1:37" x14ac:dyDescent="0.25">
      <c r="A34" s="20" t="s">
        <v>13</v>
      </c>
      <c r="B34" s="20">
        <v>339981048690.66803</v>
      </c>
      <c r="C34" s="20">
        <v>686381842177.77075</v>
      </c>
      <c r="D34" s="20">
        <v>1131318524703.335</v>
      </c>
      <c r="E34" s="20">
        <v>1630167429422.03</v>
      </c>
      <c r="F34" s="20">
        <v>2112688714007.126</v>
      </c>
      <c r="G34" s="20">
        <v>2506482868841.2129</v>
      </c>
      <c r="K34" s="20" t="s">
        <v>13</v>
      </c>
      <c r="L34" s="20">
        <v>339981048690.66803</v>
      </c>
      <c r="M34" s="20">
        <v>686343619237.73303</v>
      </c>
      <c r="N34" s="20">
        <v>1131889171333.064</v>
      </c>
      <c r="O34" s="20">
        <v>1631088440900.5969</v>
      </c>
      <c r="P34" s="20">
        <v>2113653456910.5381</v>
      </c>
      <c r="Q34" s="20">
        <v>2507254060984.21</v>
      </c>
      <c r="U34" s="20" t="s">
        <v>13</v>
      </c>
      <c r="V34" s="20">
        <v>339981048690.66803</v>
      </c>
      <c r="W34" s="20">
        <v>686778546037.13</v>
      </c>
      <c r="X34" s="20">
        <v>1132044714462.552</v>
      </c>
      <c r="Y34" s="20">
        <v>1631261669467.6609</v>
      </c>
      <c r="Z34" s="20">
        <v>2114110014129.979</v>
      </c>
      <c r="AA34" s="20">
        <v>2507661969609.083</v>
      </c>
      <c r="AE34" s="20" t="s">
        <v>13</v>
      </c>
      <c r="AF34" s="20">
        <v>339981048690.66803</v>
      </c>
      <c r="AG34" s="20">
        <v>686135155933.72192</v>
      </c>
      <c r="AH34" s="20">
        <v>1132248583013.792</v>
      </c>
      <c r="AI34" s="20">
        <v>1631943860611.0811</v>
      </c>
      <c r="AJ34" s="20">
        <v>2114773609280.7859</v>
      </c>
      <c r="AK34" s="20">
        <v>2508163139081.4502</v>
      </c>
    </row>
    <row r="35" spans="1:37" x14ac:dyDescent="0.25">
      <c r="A35" s="20" t="s">
        <v>51</v>
      </c>
      <c r="B35" s="20">
        <v>267000000000</v>
      </c>
      <c r="C35" s="20">
        <v>1012981328959.855</v>
      </c>
      <c r="D35" s="20">
        <v>2074876474524.1111</v>
      </c>
      <c r="E35" s="20">
        <v>3510384056186.3809</v>
      </c>
      <c r="F35" s="20">
        <v>5013920288152.0928</v>
      </c>
      <c r="G35" s="20">
        <v>6277040265623.4004</v>
      </c>
      <c r="K35" s="20" t="s">
        <v>51</v>
      </c>
      <c r="L35" s="20">
        <v>267000000000</v>
      </c>
      <c r="M35" s="20">
        <v>1012973292301.402</v>
      </c>
      <c r="N35" s="20">
        <v>2075038900017.7571</v>
      </c>
      <c r="O35" s="20">
        <v>3510905342524.6069</v>
      </c>
      <c r="P35" s="20">
        <v>5014615561428.3105</v>
      </c>
      <c r="Q35" s="20">
        <v>6277676403594.9316</v>
      </c>
      <c r="U35" s="20" t="s">
        <v>51</v>
      </c>
      <c r="V35" s="20">
        <v>267000000000</v>
      </c>
      <c r="W35" s="20">
        <v>1013064145839.115</v>
      </c>
      <c r="X35" s="20">
        <v>2075212044367.8899</v>
      </c>
      <c r="Y35" s="20">
        <v>3511016035669.229</v>
      </c>
      <c r="Z35" s="20">
        <v>5014864996046.1328</v>
      </c>
      <c r="AA35" s="20">
        <v>6277991081082.3984</v>
      </c>
      <c r="AE35" s="20" t="s">
        <v>51</v>
      </c>
      <c r="AF35" s="20">
        <v>267000000000</v>
      </c>
      <c r="AG35" s="20">
        <v>1012929284806.6379</v>
      </c>
      <c r="AH35" s="20">
        <v>2075086110491.0281</v>
      </c>
      <c r="AI35" s="20">
        <v>3511330165234.4541</v>
      </c>
      <c r="AJ35" s="20">
        <v>5015339259945.5498</v>
      </c>
      <c r="AK35" s="20">
        <v>6278396055880.4941</v>
      </c>
    </row>
    <row r="36" spans="1:37" x14ac:dyDescent="0.25">
      <c r="A36" s="20" t="s">
        <v>0</v>
      </c>
      <c r="B36" s="20">
        <v>11.890499999999999</v>
      </c>
      <c r="C36" s="20">
        <v>10.47259852726487</v>
      </c>
      <c r="D36" s="20">
        <v>7.598108334234122</v>
      </c>
      <c r="E36" s="20">
        <v>4.8220490637328712</v>
      </c>
      <c r="F36" s="20">
        <v>2.7601785035743238</v>
      </c>
      <c r="G36" s="20">
        <v>1.447094331200192</v>
      </c>
      <c r="K36" s="20" t="s">
        <v>0</v>
      </c>
      <c r="L36" s="20">
        <v>11.890499999999999</v>
      </c>
      <c r="M36" s="20">
        <v>10.47423098887977</v>
      </c>
      <c r="N36" s="20">
        <v>7.5781346274509449</v>
      </c>
      <c r="O36" s="20">
        <v>4.7956292968882508</v>
      </c>
      <c r="P36" s="20">
        <v>2.737498242223269</v>
      </c>
      <c r="Q36" s="20">
        <v>1.432235947039715</v>
      </c>
      <c r="U36" s="20" t="s">
        <v>0</v>
      </c>
      <c r="V36" s="20">
        <v>11.890499999999999</v>
      </c>
      <c r="W36" s="20">
        <v>10.455655722178619</v>
      </c>
      <c r="X36" s="20">
        <v>7.5726903249725446</v>
      </c>
      <c r="Y36" s="20">
        <v>4.7906601315095569</v>
      </c>
      <c r="Z36" s="20">
        <v>2.7267649815566051</v>
      </c>
      <c r="AA36" s="20">
        <v>1.424376864052729</v>
      </c>
      <c r="AE36" s="20" t="s">
        <v>0</v>
      </c>
      <c r="AF36" s="20">
        <v>11.890499999999999</v>
      </c>
      <c r="AG36" s="20">
        <v>10.48313423759836</v>
      </c>
      <c r="AH36" s="20">
        <v>7.5655545417178383</v>
      </c>
      <c r="AI36" s="20">
        <v>4.7710910692643536</v>
      </c>
      <c r="AJ36" s="20">
        <v>2.7111644403156561</v>
      </c>
      <c r="AK36" s="20">
        <v>1.414720945462832</v>
      </c>
    </row>
    <row r="37" spans="1:37" x14ac:dyDescent="0.25">
      <c r="A37" s="20" t="s">
        <v>1</v>
      </c>
      <c r="B37" s="20">
        <v>17.795100000000001</v>
      </c>
      <c r="C37" s="20">
        <v>29.31464741873512</v>
      </c>
      <c r="D37" s="20">
        <v>39.598279063765879</v>
      </c>
      <c r="E37" s="20">
        <v>46.76233076926713</v>
      </c>
      <c r="F37" s="20">
        <v>49.667462717425678</v>
      </c>
      <c r="G37" s="20">
        <v>48.291837118799812</v>
      </c>
      <c r="K37" s="20" t="s">
        <v>1</v>
      </c>
      <c r="L37" s="20">
        <v>17.795100000000001</v>
      </c>
      <c r="M37" s="20">
        <v>29.313014957120231</v>
      </c>
      <c r="N37" s="20">
        <v>39.618252770549063</v>
      </c>
      <c r="O37" s="20">
        <v>46.788750536111749</v>
      </c>
      <c r="P37" s="20">
        <v>49.690142978776727</v>
      </c>
      <c r="Q37" s="20">
        <v>48.306695502960288</v>
      </c>
      <c r="U37" s="20" t="s">
        <v>1</v>
      </c>
      <c r="V37" s="20">
        <v>17.795100000000001</v>
      </c>
      <c r="W37" s="20">
        <v>29.331590223821379</v>
      </c>
      <c r="X37" s="20">
        <v>39.623697073027451</v>
      </c>
      <c r="Y37" s="20">
        <v>46.793719701490453</v>
      </c>
      <c r="Z37" s="20">
        <v>49.700876239443403</v>
      </c>
      <c r="AA37" s="20">
        <v>48.314554585947278</v>
      </c>
      <c r="AE37" s="20" t="s">
        <v>1</v>
      </c>
      <c r="AF37" s="20">
        <v>17.795100000000001</v>
      </c>
      <c r="AG37" s="20">
        <v>29.304111708401638</v>
      </c>
      <c r="AH37" s="20">
        <v>39.630832856282161</v>
      </c>
      <c r="AI37" s="20">
        <v>46.813288763735649</v>
      </c>
      <c r="AJ37" s="20">
        <v>49.716476780684353</v>
      </c>
      <c r="AK37" s="20">
        <v>48.32421050453717</v>
      </c>
    </row>
    <row r="38" spans="1:37" x14ac:dyDescent="0.25">
      <c r="A38" s="20" t="s">
        <v>2</v>
      </c>
      <c r="B38" s="20">
        <v>29.685600000000001</v>
      </c>
      <c r="C38" s="20">
        <v>39.787245945999999</v>
      </c>
      <c r="D38" s="20">
        <v>47.196387397999999</v>
      </c>
      <c r="E38" s="20">
        <v>51.584379833</v>
      </c>
      <c r="F38" s="20">
        <v>52.427641221000002</v>
      </c>
      <c r="G38" s="20">
        <v>49.738931450000003</v>
      </c>
      <c r="K38" s="20" t="s">
        <v>2</v>
      </c>
      <c r="L38" s="20">
        <v>29.685600000000001</v>
      </c>
      <c r="M38" s="20">
        <v>39.787245945999999</v>
      </c>
      <c r="N38" s="20">
        <v>47.196387397999999</v>
      </c>
      <c r="O38" s="20">
        <v>51.584379833</v>
      </c>
      <c r="P38" s="20">
        <v>52.427641221000002</v>
      </c>
      <c r="Q38" s="20">
        <v>49.738931450000003</v>
      </c>
      <c r="U38" s="20" t="s">
        <v>2</v>
      </c>
      <c r="V38" s="20">
        <v>29.685600000000001</v>
      </c>
      <c r="W38" s="20">
        <v>39.787245945999999</v>
      </c>
      <c r="X38" s="20">
        <v>47.196387397999999</v>
      </c>
      <c r="Y38" s="20">
        <v>51.584379833</v>
      </c>
      <c r="Z38" s="20">
        <v>52.427641221000002</v>
      </c>
      <c r="AA38" s="20">
        <v>49.738931450000003</v>
      </c>
      <c r="AE38" s="20" t="s">
        <v>2</v>
      </c>
      <c r="AF38" s="20">
        <v>29.685600000000001</v>
      </c>
      <c r="AG38" s="20">
        <v>39.787245945999999</v>
      </c>
      <c r="AH38" s="20">
        <v>47.196387397999999</v>
      </c>
      <c r="AI38" s="20">
        <v>51.584379833</v>
      </c>
      <c r="AJ38" s="20">
        <v>52.427641221000002</v>
      </c>
      <c r="AK38" s="20">
        <v>49.738931450000003</v>
      </c>
    </row>
    <row r="39" spans="1:37" x14ac:dyDescent="0.25">
      <c r="A39" s="20" t="s">
        <v>3</v>
      </c>
      <c r="B39" s="20">
        <v>1.496581304402675</v>
      </c>
      <c r="C39" s="20">
        <v>2.799176092009632</v>
      </c>
      <c r="D39" s="20">
        <v>5.2115970609883817</v>
      </c>
      <c r="E39" s="20">
        <v>9.6976057587160298</v>
      </c>
      <c r="F39" s="20">
        <v>17.9942937216228</v>
      </c>
      <c r="G39" s="20">
        <v>33.371588898940338</v>
      </c>
      <c r="K39" s="20" t="s">
        <v>3</v>
      </c>
      <c r="L39" s="20">
        <v>1.496581304402675</v>
      </c>
      <c r="M39" s="20">
        <v>2.7985839712949931</v>
      </c>
      <c r="N39" s="20">
        <v>5.227968981579763</v>
      </c>
      <c r="O39" s="20">
        <v>9.756540307748903</v>
      </c>
      <c r="P39" s="20">
        <v>18.151662058573859</v>
      </c>
      <c r="Q39" s="20">
        <v>33.728168604345719</v>
      </c>
      <c r="U39" s="20" t="s">
        <v>3</v>
      </c>
      <c r="V39" s="20">
        <v>1.496581304402675</v>
      </c>
      <c r="W39" s="20">
        <v>2.805332444296436</v>
      </c>
      <c r="X39" s="20">
        <v>5.232446511428039</v>
      </c>
      <c r="Y39" s="20">
        <v>9.7676976485379576</v>
      </c>
      <c r="Z39" s="20">
        <v>18.227048013162872</v>
      </c>
      <c r="AA39" s="20">
        <v>33.919783313862311</v>
      </c>
      <c r="AE39" s="20" t="s">
        <v>3</v>
      </c>
      <c r="AF39" s="20">
        <v>1.496581304402675</v>
      </c>
      <c r="AG39" s="20">
        <v>2.795357861897902</v>
      </c>
      <c r="AH39" s="20">
        <v>5.2383249156093674</v>
      </c>
      <c r="AI39" s="20">
        <v>9.8118623359150661</v>
      </c>
      <c r="AJ39" s="20">
        <v>18.337684000788951</v>
      </c>
      <c r="AK39" s="20">
        <v>34.158121896419431</v>
      </c>
    </row>
    <row r="40" spans="1:37" x14ac:dyDescent="0.25">
      <c r="A40" s="20" t="s">
        <v>18</v>
      </c>
      <c r="B40" s="20">
        <v>12693901918.097731</v>
      </c>
      <c r="C40" s="20">
        <v>30830903454.68837</v>
      </c>
      <c r="D40" s="20">
        <v>49673690439.481033</v>
      </c>
      <c r="E40" s="20">
        <v>73649317317.036758</v>
      </c>
      <c r="F40" s="20">
        <v>100139154502.7887</v>
      </c>
      <c r="G40" s="20">
        <v>128637518425.6395</v>
      </c>
      <c r="K40" s="20" t="s">
        <v>18</v>
      </c>
      <c r="L40" s="20">
        <v>12693901918.097731</v>
      </c>
      <c r="M40" s="20">
        <v>30830845736.570389</v>
      </c>
      <c r="N40" s="20">
        <v>49674221997.701302</v>
      </c>
      <c r="O40" s="20">
        <v>73653989743.993576</v>
      </c>
      <c r="P40" s="20">
        <v>100145579096.9169</v>
      </c>
      <c r="Q40" s="20">
        <v>128643700177.65469</v>
      </c>
      <c r="U40" s="20" t="s">
        <v>18</v>
      </c>
      <c r="V40" s="20">
        <v>12693901918.097731</v>
      </c>
      <c r="W40" s="20">
        <v>30831484624.524731</v>
      </c>
      <c r="X40" s="20">
        <v>49677451955.330933</v>
      </c>
      <c r="Y40" s="20">
        <v>73655133894.516205</v>
      </c>
      <c r="Z40" s="20">
        <v>100147029886.2072</v>
      </c>
      <c r="AA40" s="20">
        <v>128646523193.2536</v>
      </c>
      <c r="AE40" s="20" t="s">
        <v>18</v>
      </c>
      <c r="AF40" s="20">
        <v>12693901918.097731</v>
      </c>
      <c r="AG40" s="20">
        <v>30830525629.866371</v>
      </c>
      <c r="AH40" s="20">
        <v>49673238278.756691</v>
      </c>
      <c r="AI40" s="20">
        <v>73657084862.11673</v>
      </c>
      <c r="AJ40" s="20">
        <v>100151369617.2818</v>
      </c>
      <c r="AK40" s="20">
        <v>128650367663.29491</v>
      </c>
    </row>
    <row r="41" spans="1:37" x14ac:dyDescent="0.25">
      <c r="A41" s="20" t="s">
        <v>19</v>
      </c>
      <c r="B41" s="20">
        <v>16550655338.802481</v>
      </c>
      <c r="C41" s="20">
        <v>40198172331.467773</v>
      </c>
      <c r="D41" s="20">
        <v>64765911630.221657</v>
      </c>
      <c r="E41" s="20">
        <v>96025987495.186234</v>
      </c>
      <c r="F41" s="20">
        <v>130564159293.8284</v>
      </c>
      <c r="G41" s="20">
        <v>167721103001.92581</v>
      </c>
      <c r="K41" s="20" t="s">
        <v>19</v>
      </c>
      <c r="L41" s="20">
        <v>16550655338.802481</v>
      </c>
      <c r="M41" s="20">
        <v>40198097077.012222</v>
      </c>
      <c r="N41" s="20">
        <v>64766604690.318741</v>
      </c>
      <c r="O41" s="20">
        <v>96032079532.816284</v>
      </c>
      <c r="P41" s="20">
        <v>130572535854.77831</v>
      </c>
      <c r="Q41" s="20">
        <v>167729162938.7092</v>
      </c>
      <c r="U41" s="20" t="s">
        <v>19</v>
      </c>
      <c r="V41" s="20">
        <v>16550655338.802481</v>
      </c>
      <c r="W41" s="20">
        <v>40198930076.542282</v>
      </c>
      <c r="X41" s="20">
        <v>64770815997.120392</v>
      </c>
      <c r="Y41" s="20">
        <v>96033571307.455612</v>
      </c>
      <c r="Z41" s="20">
        <v>130574427433.4014</v>
      </c>
      <c r="AA41" s="20">
        <v>167732843663.3985</v>
      </c>
      <c r="AE41" s="20" t="s">
        <v>19</v>
      </c>
      <c r="AF41" s="20">
        <v>16550655338.802481</v>
      </c>
      <c r="AG41" s="20">
        <v>40197679713.165894</v>
      </c>
      <c r="AH41" s="20">
        <v>64765322090.744034</v>
      </c>
      <c r="AI41" s="20">
        <v>96036115032.193893</v>
      </c>
      <c r="AJ41" s="20">
        <v>130580085693.0715</v>
      </c>
      <c r="AK41" s="20">
        <v>167737856188.23318</v>
      </c>
    </row>
    <row r="42" spans="1:37" x14ac:dyDescent="0.25">
      <c r="A42" s="20" t="s">
        <v>7</v>
      </c>
      <c r="B42" s="20">
        <v>17.474866370000001</v>
      </c>
      <c r="C42" s="20">
        <v>18.0549994</v>
      </c>
      <c r="D42" s="20">
        <v>18.325375709999999</v>
      </c>
      <c r="E42" s="20">
        <v>18.56457399</v>
      </c>
      <c r="F42" s="20">
        <v>18.554772239999998</v>
      </c>
      <c r="G42" s="20">
        <v>18.497632930000002</v>
      </c>
      <c r="K42" s="20" t="s">
        <v>7</v>
      </c>
      <c r="L42" s="20">
        <v>17.474866370000001</v>
      </c>
      <c r="M42" s="20">
        <v>18.038191579999999</v>
      </c>
      <c r="N42" s="20">
        <v>18.603739640000001</v>
      </c>
      <c r="O42" s="20">
        <v>19.164979110000001</v>
      </c>
      <c r="P42" s="20">
        <v>19.45193622</v>
      </c>
      <c r="Q42" s="20">
        <v>19.607758270000001</v>
      </c>
      <c r="U42" s="20" t="s">
        <v>7</v>
      </c>
      <c r="V42" s="20">
        <v>17.474866370000001</v>
      </c>
      <c r="W42" s="20">
        <v>18.23406022</v>
      </c>
      <c r="X42" s="20">
        <v>18.683535670000001</v>
      </c>
      <c r="Y42" s="20">
        <v>19.29096251</v>
      </c>
      <c r="Z42" s="20">
        <v>19.984736860000002</v>
      </c>
      <c r="AA42" s="20">
        <v>20.412206680000001</v>
      </c>
      <c r="AE42" s="20" t="s">
        <v>7</v>
      </c>
      <c r="AF42" s="20">
        <v>17.474866370000001</v>
      </c>
      <c r="AG42" s="20">
        <v>17.947823400000001</v>
      </c>
      <c r="AH42" s="20">
        <v>18.790946000000002</v>
      </c>
      <c r="AI42" s="20">
        <v>19.843035539999999</v>
      </c>
      <c r="AJ42" s="20">
        <v>21.022310900000001</v>
      </c>
      <c r="AK42" s="20">
        <v>22.185305060000001</v>
      </c>
    </row>
    <row r="43" spans="1:37" x14ac:dyDescent="0.25">
      <c r="A43" s="20" t="s">
        <v>52</v>
      </c>
      <c r="B43" s="20">
        <v>27.774387432326002</v>
      </c>
      <c r="C43" s="20">
        <v>28.284788472119999</v>
      </c>
      <c r="D43" s="20">
        <v>28.522665549658001</v>
      </c>
      <c r="E43" s="20">
        <v>28.733112196402001</v>
      </c>
      <c r="F43" s="20">
        <v>28.724488616752001</v>
      </c>
      <c r="G43" s="20">
        <v>28.674217451813998</v>
      </c>
      <c r="K43" s="20" t="s">
        <v>52</v>
      </c>
      <c r="L43" s="20">
        <v>27.774387432326002</v>
      </c>
      <c r="M43" s="20">
        <v>28.270000952084001</v>
      </c>
      <c r="N43" s="20">
        <v>28.767570135271999</v>
      </c>
      <c r="O43" s="20">
        <v>29.261348620978001</v>
      </c>
      <c r="P43" s="20">
        <v>29.513813486356</v>
      </c>
      <c r="Q43" s="20">
        <v>29.650905725946</v>
      </c>
      <c r="U43" s="20" t="s">
        <v>52</v>
      </c>
      <c r="V43" s="20">
        <v>27.774387432326002</v>
      </c>
      <c r="W43" s="20">
        <v>28.442326181555998</v>
      </c>
      <c r="X43" s="20">
        <v>28.837774682466009</v>
      </c>
      <c r="Y43" s="20">
        <v>29.372188816297999</v>
      </c>
      <c r="Z43" s="20">
        <v>29.982571489428</v>
      </c>
      <c r="AA43" s="20">
        <v>30.358659437063999</v>
      </c>
      <c r="AE43" s="20" t="s">
        <v>52</v>
      </c>
      <c r="AF43" s="20">
        <v>27.774387432326002</v>
      </c>
      <c r="AG43" s="20">
        <v>28.190495027320001</v>
      </c>
      <c r="AH43" s="20">
        <v>28.932274290799999</v>
      </c>
      <c r="AI43" s="20">
        <v>29.857902668091999</v>
      </c>
      <c r="AJ43" s="20">
        <v>30.895429129819998</v>
      </c>
      <c r="AK43" s="20">
        <v>31.918631391788001</v>
      </c>
    </row>
    <row r="44" spans="1:37" x14ac:dyDescent="0.25">
      <c r="A44" s="20" t="s">
        <v>4</v>
      </c>
      <c r="B44" s="20">
        <v>0.91305087301969401</v>
      </c>
      <c r="C44" s="20">
        <v>0.94126389086179651</v>
      </c>
      <c r="D44" s="20">
        <v>0.95273413581759669</v>
      </c>
      <c r="E44" s="20">
        <v>0.96199191467965273</v>
      </c>
      <c r="F44" s="20">
        <v>0.96162896790859476</v>
      </c>
      <c r="G44" s="20">
        <v>0.95948524714495109</v>
      </c>
      <c r="K44" s="20" t="s">
        <v>4</v>
      </c>
      <c r="L44" s="20">
        <v>0.91305087301969401</v>
      </c>
      <c r="M44" s="20">
        <v>0.94051561165948439</v>
      </c>
      <c r="N44" s="20">
        <v>0.9634281703917762</v>
      </c>
      <c r="O44" s="20">
        <v>0.98154966858682346</v>
      </c>
      <c r="P44" s="20">
        <v>0.98903824999927981</v>
      </c>
      <c r="Q44" s="20">
        <v>0.99260100122429984</v>
      </c>
      <c r="U44" s="20" t="s">
        <v>4</v>
      </c>
      <c r="V44" s="20">
        <v>0.91305087301969401</v>
      </c>
      <c r="W44" s="20">
        <v>0.94897959738191817</v>
      </c>
      <c r="X44" s="20">
        <v>0.96628509889521474</v>
      </c>
      <c r="Y44" s="20">
        <v>0.98498544077575323</v>
      </c>
      <c r="Z44" s="20">
        <v>0.99975408912686881</v>
      </c>
      <c r="AA44" s="20">
        <v>1.005354932146632</v>
      </c>
      <c r="AE44" s="20" t="s">
        <v>4</v>
      </c>
      <c r="AF44" s="20">
        <v>0.91305087301969401</v>
      </c>
      <c r="AG44" s="20">
        <v>0.93642174417761037</v>
      </c>
      <c r="AH44" s="20">
        <v>0.96998391150311303</v>
      </c>
      <c r="AI44" s="20">
        <v>0.99730871239556729</v>
      </c>
      <c r="AJ44" s="20">
        <v>1.00872760149331</v>
      </c>
      <c r="AK44" s="20">
        <v>1.00010330606159</v>
      </c>
    </row>
    <row r="45" spans="1:37" x14ac:dyDescent="0.25">
      <c r="A45" s="20" t="s">
        <v>5</v>
      </c>
      <c r="B45" s="20">
        <v>0.99563611390647888</v>
      </c>
      <c r="C45" s="20">
        <v>0.99463904433179928</v>
      </c>
      <c r="D45" s="20">
        <v>0.99364544850088676</v>
      </c>
      <c r="E45" s="20">
        <v>0.99248608211057576</v>
      </c>
      <c r="F45" s="20">
        <v>0.99253876157996834</v>
      </c>
      <c r="G45" s="20">
        <v>0.99283705917005327</v>
      </c>
      <c r="K45" s="20" t="s">
        <v>5</v>
      </c>
      <c r="L45" s="20">
        <v>0.99563611390647888</v>
      </c>
      <c r="M45" s="20">
        <v>0.99468970880339935</v>
      </c>
      <c r="N45" s="20">
        <v>0.99227117543631316</v>
      </c>
      <c r="O45" s="20">
        <v>0.98841655294050634</v>
      </c>
      <c r="P45" s="20">
        <v>0.9858859053740201</v>
      </c>
      <c r="Q45" s="20">
        <v>0.98435303753806735</v>
      </c>
      <c r="U45" s="20" t="s">
        <v>5</v>
      </c>
      <c r="V45" s="20">
        <v>0.99563611390647888</v>
      </c>
      <c r="W45" s="20">
        <v>0.99401862775485128</v>
      </c>
      <c r="X45" s="20">
        <v>0.99181149179602657</v>
      </c>
      <c r="Y45" s="20">
        <v>0.98735216130688142</v>
      </c>
      <c r="Z45" s="20">
        <v>0.980182621864082</v>
      </c>
      <c r="AA45" s="20">
        <v>0.97466271684181582</v>
      </c>
      <c r="AE45" s="20" t="s">
        <v>5</v>
      </c>
      <c r="AF45" s="20">
        <v>0.99563611390647888</v>
      </c>
      <c r="AG45" s="20">
        <v>0.99493983296554867</v>
      </c>
      <c r="AH45" s="20">
        <v>0.99114648137769323</v>
      </c>
      <c r="AI45" s="20">
        <v>0.98182690648408288</v>
      </c>
      <c r="AJ45" s="20">
        <v>0.96532849417460498</v>
      </c>
      <c r="AK45" s="20">
        <v>0.94279255540789841</v>
      </c>
    </row>
    <row r="46" spans="1:37" x14ac:dyDescent="0.25">
      <c r="A46" s="20" t="s">
        <v>20</v>
      </c>
      <c r="B46" s="20">
        <v>0.96439833420871968</v>
      </c>
      <c r="C46" s="20">
        <v>0.96439833420871968</v>
      </c>
      <c r="D46" s="20">
        <v>0.96439833420871968</v>
      </c>
      <c r="E46" s="20">
        <v>0.96439833420871968</v>
      </c>
      <c r="F46" s="20">
        <v>0.96439833420871968</v>
      </c>
      <c r="G46" s="20">
        <v>0.96439833420871968</v>
      </c>
      <c r="K46" s="20" t="s">
        <v>20</v>
      </c>
      <c r="L46" s="20">
        <v>0.96439833420871968</v>
      </c>
      <c r="M46" s="20">
        <v>0.96439833420871968</v>
      </c>
      <c r="N46" s="20">
        <v>0.96439833420871968</v>
      </c>
      <c r="O46" s="20">
        <v>0.96439833420871968</v>
      </c>
      <c r="P46" s="20">
        <v>0.96439833420871968</v>
      </c>
      <c r="Q46" s="20">
        <v>0.96439833420871968</v>
      </c>
      <c r="U46" s="20" t="s">
        <v>20</v>
      </c>
      <c r="V46" s="20">
        <v>0.96439833420871968</v>
      </c>
      <c r="W46" s="20">
        <v>0.96439833420871968</v>
      </c>
      <c r="X46" s="20">
        <v>0.96439833420871968</v>
      </c>
      <c r="Y46" s="20">
        <v>0.96439833420871968</v>
      </c>
      <c r="Z46" s="20">
        <v>0.96439833420871968</v>
      </c>
      <c r="AA46" s="20">
        <v>0.96439833420871968</v>
      </c>
      <c r="AE46" s="20" t="s">
        <v>20</v>
      </c>
      <c r="AF46" s="20">
        <v>0.96439833420871968</v>
      </c>
      <c r="AG46" s="20">
        <v>0.96439833420871968</v>
      </c>
      <c r="AH46" s="20">
        <v>0.96439833420871968</v>
      </c>
      <c r="AI46" s="20">
        <v>0.96439833420871968</v>
      </c>
      <c r="AJ46" s="20">
        <v>0.96439833420871968</v>
      </c>
      <c r="AK46" s="20">
        <v>0.96439833420871968</v>
      </c>
    </row>
    <row r="47" spans="1:37" x14ac:dyDescent="0.25">
      <c r="A47" s="20" t="s">
        <v>21</v>
      </c>
      <c r="B47" s="20">
        <v>0.99844694181596516</v>
      </c>
      <c r="C47" s="20">
        <v>0.99844694181596516</v>
      </c>
      <c r="D47" s="20">
        <v>0.99844694181596516</v>
      </c>
      <c r="E47" s="20">
        <v>0.99844694181596516</v>
      </c>
      <c r="F47" s="20">
        <v>0.99844694181596516</v>
      </c>
      <c r="G47" s="20">
        <v>0.99844694181596516</v>
      </c>
      <c r="K47" s="20" t="s">
        <v>21</v>
      </c>
      <c r="L47" s="20">
        <v>0.99844694181596516</v>
      </c>
      <c r="M47" s="20">
        <v>0.99844694181596516</v>
      </c>
      <c r="N47" s="20">
        <v>0.99844694181596516</v>
      </c>
      <c r="O47" s="20">
        <v>0.99844694181596516</v>
      </c>
      <c r="P47" s="20">
        <v>0.99844694181596516</v>
      </c>
      <c r="Q47" s="20">
        <v>0.99844694181596516</v>
      </c>
      <c r="U47" s="20" t="s">
        <v>21</v>
      </c>
      <c r="V47" s="20">
        <v>0.99844694181596516</v>
      </c>
      <c r="W47" s="20">
        <v>0.99844694181596516</v>
      </c>
      <c r="X47" s="20">
        <v>0.99844694181596516</v>
      </c>
      <c r="Y47" s="20">
        <v>0.99844694181596516</v>
      </c>
      <c r="Z47" s="20">
        <v>0.99844694181596516</v>
      </c>
      <c r="AA47" s="20">
        <v>0.99844694181596516</v>
      </c>
      <c r="AE47" s="20" t="s">
        <v>21</v>
      </c>
      <c r="AF47" s="20">
        <v>0.99844694181596516</v>
      </c>
      <c r="AG47" s="20">
        <v>0.99844694181596516</v>
      </c>
      <c r="AH47" s="20">
        <v>0.99844694181596516</v>
      </c>
      <c r="AI47" s="20">
        <v>0.99844694181596516</v>
      </c>
      <c r="AJ47" s="20">
        <v>0.99844694181596516</v>
      </c>
      <c r="AK47" s="20">
        <v>0.99844694181596516</v>
      </c>
    </row>
    <row r="48" spans="1:37" x14ac:dyDescent="0.25">
      <c r="A48" s="20" t="s">
        <v>10</v>
      </c>
      <c r="B48" s="20">
        <v>0.9515819628126353</v>
      </c>
      <c r="C48" s="20">
        <v>0.14582660220086219</v>
      </c>
      <c r="D48" s="20">
        <v>1.6236088064929231E-2</v>
      </c>
      <c r="E48" s="20">
        <v>1.6635205247704629E-3</v>
      </c>
      <c r="F48" s="20">
        <v>1.5630318386810081E-4</v>
      </c>
      <c r="G48" s="20">
        <v>1.3875096877584941E-5</v>
      </c>
      <c r="K48" s="20" t="s">
        <v>10</v>
      </c>
      <c r="L48" s="20">
        <v>0.9515819628126353</v>
      </c>
      <c r="M48" s="20">
        <v>0.14582632920084959</v>
      </c>
      <c r="N48" s="20">
        <v>1.623626180732686E-2</v>
      </c>
      <c r="O48" s="20">
        <v>1.663626061093491E-3</v>
      </c>
      <c r="P48" s="20">
        <v>1.563132117590119E-4</v>
      </c>
      <c r="Q48" s="20">
        <v>1.387576365357015E-5</v>
      </c>
      <c r="U48" s="20" t="s">
        <v>10</v>
      </c>
      <c r="V48" s="20">
        <v>0.9515819628126353</v>
      </c>
      <c r="W48" s="20">
        <v>0.14582935106687131</v>
      </c>
      <c r="X48" s="20">
        <v>1.6237317534736211E-2</v>
      </c>
      <c r="Y48" s="20">
        <v>1.6636519040740801E-3</v>
      </c>
      <c r="Z48" s="20">
        <v>1.5631547623773981E-4</v>
      </c>
      <c r="AA48" s="20">
        <v>1.387606814960989E-5</v>
      </c>
      <c r="AE48" s="20" t="s">
        <v>10</v>
      </c>
      <c r="AF48" s="20">
        <v>0.9515819628126353</v>
      </c>
      <c r="AG48" s="20">
        <v>0.14582481513321749</v>
      </c>
      <c r="AH48" s="20">
        <v>1.6235940273990512E-2</v>
      </c>
      <c r="AI48" s="20">
        <v>1.6636959706691941E-3</v>
      </c>
      <c r="AJ48" s="20">
        <v>1.5632224994965551E-4</v>
      </c>
      <c r="AK48" s="20">
        <v>1.38764828217438E-5</v>
      </c>
    </row>
    <row r="49" spans="1:37" x14ac:dyDescent="0.25">
      <c r="A49" s="20" t="s">
        <v>12</v>
      </c>
      <c r="B49" s="20">
        <v>0.8649398558400585</v>
      </c>
      <c r="C49" s="20">
        <v>1.71415538711857</v>
      </c>
      <c r="D49" s="20">
        <v>2.263408213219567</v>
      </c>
      <c r="E49" s="20">
        <v>2.75028506758012</v>
      </c>
      <c r="F49" s="20">
        <v>3.0646820868836029</v>
      </c>
      <c r="G49" s="20">
        <v>3.2264258415046818</v>
      </c>
      <c r="K49" s="20" t="s">
        <v>12</v>
      </c>
      <c r="L49" s="20">
        <v>0.8649398558400585</v>
      </c>
      <c r="M49" s="20">
        <v>1.71415217807142</v>
      </c>
      <c r="N49" s="20">
        <v>2.2634324339535379</v>
      </c>
      <c r="O49" s="20">
        <v>2.7504595499318469</v>
      </c>
      <c r="P49" s="20">
        <v>3.0648787066637291</v>
      </c>
      <c r="Q49" s="20">
        <v>3.2265808893063799</v>
      </c>
      <c r="U49" s="20" t="s">
        <v>12</v>
      </c>
      <c r="V49" s="20">
        <v>0.8649398558400585</v>
      </c>
      <c r="W49" s="20">
        <v>1.7141876993538341</v>
      </c>
      <c r="X49" s="20">
        <v>2.263579608696598</v>
      </c>
      <c r="Y49" s="20">
        <v>2.7505022759232349</v>
      </c>
      <c r="Z49" s="20">
        <v>3.064923106958219</v>
      </c>
      <c r="AA49" s="20">
        <v>3.2266516948582189</v>
      </c>
      <c r="AE49" s="20" t="s">
        <v>12</v>
      </c>
      <c r="AF49" s="20">
        <v>0.8649398558400585</v>
      </c>
      <c r="AG49" s="20">
        <v>1.7141343805835221</v>
      </c>
      <c r="AH49" s="20">
        <v>2.2633876102748678</v>
      </c>
      <c r="AI49" s="20">
        <v>2.750575130869549</v>
      </c>
      <c r="AJ49" s="20">
        <v>3.0650559211022181</v>
      </c>
      <c r="AK49" s="20">
        <v>3.2267481200508068</v>
      </c>
    </row>
    <row r="50" spans="1:37" x14ac:dyDescent="0.25">
      <c r="A50" s="20" t="s">
        <v>11</v>
      </c>
      <c r="B50" s="20">
        <v>152969731967.8754</v>
      </c>
      <c r="C50" s="20">
        <v>2135307379899.8279</v>
      </c>
      <c r="D50" s="20">
        <v>22418521176818.469</v>
      </c>
      <c r="E50" s="20">
        <v>205886863909214.91</v>
      </c>
      <c r="F50" s="20">
        <v>1705413578138399</v>
      </c>
      <c r="G50" s="20">
        <v>1.293852958186189E+16</v>
      </c>
      <c r="K50" s="20" t="s">
        <v>11</v>
      </c>
      <c r="L50" s="20">
        <v>152969731967.8754</v>
      </c>
      <c r="M50" s="20">
        <v>2135640230178.0669</v>
      </c>
      <c r="N50" s="20">
        <v>22359587959654.32</v>
      </c>
      <c r="O50" s="20">
        <v>204758820028085.09</v>
      </c>
      <c r="P50" s="20">
        <v>1691400272254837</v>
      </c>
      <c r="Q50" s="20">
        <v>1.280568016157596E+16</v>
      </c>
      <c r="U50" s="20" t="s">
        <v>11</v>
      </c>
      <c r="V50" s="20">
        <v>152969731967.8754</v>
      </c>
      <c r="W50" s="20">
        <v>2131852831666.866</v>
      </c>
      <c r="X50" s="20">
        <v>22343524328414.012</v>
      </c>
      <c r="Y50" s="20">
        <v>204546651743909</v>
      </c>
      <c r="Z50" s="20">
        <v>1684768582146779</v>
      </c>
      <c r="AA50" s="20">
        <v>1.273541177925903E+16</v>
      </c>
      <c r="AE50" s="20" t="s">
        <v>11</v>
      </c>
      <c r="AF50" s="20">
        <v>152969731967.8754</v>
      </c>
      <c r="AG50" s="20">
        <v>2137455555442.7939</v>
      </c>
      <c r="AH50" s="20">
        <v>22322469915792.91</v>
      </c>
      <c r="AI50" s="20">
        <v>203711112162694</v>
      </c>
      <c r="AJ50" s="20">
        <v>1675129576979480</v>
      </c>
      <c r="AK50" s="20">
        <v>1.26490778163502E+16</v>
      </c>
    </row>
    <row r="51" spans="1:37" x14ac:dyDescent="0.25">
      <c r="A51" s="20" t="s">
        <v>13</v>
      </c>
      <c r="B51" s="20">
        <v>339981048690.66803</v>
      </c>
      <c r="C51" s="20">
        <v>686381842177.77075</v>
      </c>
      <c r="D51" s="20">
        <v>1131318524703.335</v>
      </c>
      <c r="E51" s="20">
        <v>1630167429422.03</v>
      </c>
      <c r="F51" s="20">
        <v>2112688714007.126</v>
      </c>
      <c r="G51" s="20">
        <v>2506482868841.2129</v>
      </c>
      <c r="K51" s="20" t="s">
        <v>13</v>
      </c>
      <c r="L51" s="20">
        <v>339981048690.66803</v>
      </c>
      <c r="M51" s="20">
        <v>686343619237.73303</v>
      </c>
      <c r="N51" s="20">
        <v>1131889171333.064</v>
      </c>
      <c r="O51" s="20">
        <v>1631088440900.5969</v>
      </c>
      <c r="P51" s="20">
        <v>2113653456910.5381</v>
      </c>
      <c r="Q51" s="20">
        <v>2507254060984.21</v>
      </c>
      <c r="U51" s="20" t="s">
        <v>13</v>
      </c>
      <c r="V51" s="20">
        <v>339981048690.66803</v>
      </c>
      <c r="W51" s="20">
        <v>686778546037.13</v>
      </c>
      <c r="X51" s="20">
        <v>1132044714462.552</v>
      </c>
      <c r="Y51" s="20">
        <v>1631261669467.6609</v>
      </c>
      <c r="Z51" s="20">
        <v>2114110014129.979</v>
      </c>
      <c r="AA51" s="20">
        <v>2507661969609.083</v>
      </c>
      <c r="AE51" s="20" t="s">
        <v>13</v>
      </c>
      <c r="AF51" s="20">
        <v>339981048690.66803</v>
      </c>
      <c r="AG51" s="20">
        <v>686135155933.72192</v>
      </c>
      <c r="AH51" s="20">
        <v>1132248583013.792</v>
      </c>
      <c r="AI51" s="20">
        <v>1631943860611.0811</v>
      </c>
      <c r="AJ51" s="20">
        <v>2114773609280.7859</v>
      </c>
      <c r="AK51" s="20">
        <v>2508163139081.4502</v>
      </c>
    </row>
    <row r="52" spans="1:37" x14ac:dyDescent="0.25">
      <c r="A52" s="20" t="s">
        <v>22</v>
      </c>
      <c r="B52" s="20">
        <v>5152994447.4046478</v>
      </c>
      <c r="C52" s="20">
        <v>25459950918.309151</v>
      </c>
      <c r="D52" s="20">
        <v>43962612159.845871</v>
      </c>
      <c r="E52" s="20">
        <v>68051299008.555458</v>
      </c>
      <c r="F52" s="20">
        <v>95635053788.072327</v>
      </c>
      <c r="G52" s="20">
        <v>126199740980.22971</v>
      </c>
      <c r="K52" s="20" t="s">
        <v>22</v>
      </c>
      <c r="L52" s="20">
        <v>5152994447.4046478</v>
      </c>
      <c r="M52" s="20">
        <v>25459748927.488682</v>
      </c>
      <c r="N52" s="20">
        <v>43966053641.336304</v>
      </c>
      <c r="O52" s="20">
        <v>68061404516.0737</v>
      </c>
      <c r="P52" s="20">
        <v>95648315366.507385</v>
      </c>
      <c r="Q52" s="20">
        <v>126212530518.58501</v>
      </c>
      <c r="U52" s="20" t="s">
        <v>22</v>
      </c>
      <c r="V52" s="20">
        <v>5152994447.4046478</v>
      </c>
      <c r="W52" s="20">
        <v>25462032411.44323</v>
      </c>
      <c r="X52" s="20">
        <v>43969722234.626556</v>
      </c>
      <c r="Y52" s="20">
        <v>68063550381.643494</v>
      </c>
      <c r="Z52" s="20">
        <v>95653073059.434494</v>
      </c>
      <c r="AA52" s="20">
        <v>126218857101.77229</v>
      </c>
      <c r="AE52" s="20" t="s">
        <v>22</v>
      </c>
      <c r="AF52" s="20">
        <v>5152994447.4046478</v>
      </c>
      <c r="AG52" s="20">
        <v>25458642857.095589</v>
      </c>
      <c r="AH52" s="20">
        <v>43967053939.788673</v>
      </c>
      <c r="AI52" s="20">
        <v>68069640007.344917</v>
      </c>
      <c r="AJ52" s="20">
        <v>95662119125.371704</v>
      </c>
      <c r="AK52" s="20">
        <v>126226999110.1808</v>
      </c>
    </row>
    <row r="57" spans="1:37" x14ac:dyDescent="0.25">
      <c r="A57" s="20" t="s">
        <v>15</v>
      </c>
      <c r="B57" s="20">
        <v>2000</v>
      </c>
      <c r="C57" s="20">
        <v>2020</v>
      </c>
      <c r="D57" s="20">
        <v>2040</v>
      </c>
      <c r="E57" s="20">
        <v>2060</v>
      </c>
      <c r="F57" s="20">
        <v>2080</v>
      </c>
      <c r="G57" s="20">
        <v>2100</v>
      </c>
      <c r="K57" s="20" t="s">
        <v>15</v>
      </c>
      <c r="L57" s="20">
        <v>2000</v>
      </c>
      <c r="M57" s="20">
        <v>2020</v>
      </c>
      <c r="N57" s="20">
        <v>2040</v>
      </c>
      <c r="O57" s="20">
        <v>2060</v>
      </c>
      <c r="P57" s="20">
        <v>2080</v>
      </c>
      <c r="Q57" s="20">
        <v>2100</v>
      </c>
      <c r="U57" s="20" t="s">
        <v>15</v>
      </c>
      <c r="V57" s="20">
        <v>2000</v>
      </c>
      <c r="W57" s="20">
        <v>2020</v>
      </c>
      <c r="X57" s="20">
        <v>2040</v>
      </c>
      <c r="Y57" s="20">
        <v>2060</v>
      </c>
      <c r="Z57" s="20">
        <v>2080</v>
      </c>
      <c r="AA57" s="20">
        <v>2100</v>
      </c>
      <c r="AE57" s="20" t="s">
        <v>15</v>
      </c>
      <c r="AF57" s="20">
        <v>2000</v>
      </c>
      <c r="AG57" s="20">
        <v>2020</v>
      </c>
      <c r="AH57" s="20">
        <v>2040</v>
      </c>
      <c r="AI57" s="20">
        <v>2060</v>
      </c>
      <c r="AJ57" s="20">
        <v>2080</v>
      </c>
      <c r="AK57" s="20">
        <v>2100</v>
      </c>
    </row>
    <row r="58" spans="1:37" x14ac:dyDescent="0.25">
      <c r="A58" s="20" t="s">
        <v>11</v>
      </c>
      <c r="B58" s="20">
        <v>152969731967.8754</v>
      </c>
      <c r="C58" s="20">
        <v>2125270252944.0491</v>
      </c>
      <c r="D58" s="20">
        <v>22131367242250.551</v>
      </c>
      <c r="E58" s="20">
        <v>202638403663635.81</v>
      </c>
      <c r="F58" s="20">
        <v>1679703678741413</v>
      </c>
      <c r="G58" s="20">
        <v>1.282420503578716E+16</v>
      </c>
      <c r="K58" s="20" t="s">
        <v>11</v>
      </c>
      <c r="L58" s="20">
        <v>152969731967.8754</v>
      </c>
      <c r="M58" s="20">
        <v>2125270252944.0491</v>
      </c>
      <c r="N58" s="20">
        <v>21985229483665.25</v>
      </c>
      <c r="O58" s="20">
        <v>199748562952004.31</v>
      </c>
      <c r="P58" s="20">
        <v>1629704050244598</v>
      </c>
      <c r="Q58" s="20">
        <v>1.236384290345054E+16</v>
      </c>
      <c r="U58" s="20" t="s">
        <v>11</v>
      </c>
      <c r="V58" s="20">
        <v>152969731967.8754</v>
      </c>
      <c r="W58" s="20">
        <v>2112780741507.248</v>
      </c>
      <c r="X58" s="20">
        <v>21985229483665.25</v>
      </c>
      <c r="Y58" s="20">
        <v>198192830535162</v>
      </c>
      <c r="Z58" s="20">
        <v>1601171189915251</v>
      </c>
      <c r="AA58" s="20">
        <v>1.191597350924434E+16</v>
      </c>
      <c r="AE58" s="20" t="s">
        <v>11</v>
      </c>
      <c r="AF58" s="20">
        <v>152969731967.8754</v>
      </c>
      <c r="AG58" s="20">
        <v>2125270252944.0491</v>
      </c>
      <c r="AH58" s="20">
        <v>21830712428676.211</v>
      </c>
      <c r="AI58" s="20">
        <v>194867293404057.19</v>
      </c>
      <c r="AJ58" s="20">
        <v>1537727022536413</v>
      </c>
      <c r="AK58" s="20">
        <v>1.084475875171922E+16</v>
      </c>
    </row>
    <row r="59" spans="1:37" x14ac:dyDescent="0.25">
      <c r="A59" s="20" t="s">
        <v>13</v>
      </c>
      <c r="B59" s="20">
        <v>339981048690.66803</v>
      </c>
      <c r="C59" s="20">
        <v>682558370086.10718</v>
      </c>
      <c r="D59" s="20">
        <v>1120232315476.9839</v>
      </c>
      <c r="E59" s="20">
        <v>1610897425424.1431</v>
      </c>
      <c r="F59" s="20">
        <v>2089429690737.614</v>
      </c>
      <c r="G59" s="20">
        <v>2487007954013.334</v>
      </c>
      <c r="K59" s="20" t="s">
        <v>13</v>
      </c>
      <c r="L59" s="20">
        <v>339981048690.66803</v>
      </c>
      <c r="M59" s="20">
        <v>682558370086.10718</v>
      </c>
      <c r="N59" s="20">
        <v>1116935716257.8811</v>
      </c>
      <c r="O59" s="20">
        <v>1599897240220.583</v>
      </c>
      <c r="P59" s="20">
        <v>2058354704965.229</v>
      </c>
      <c r="Q59" s="20">
        <v>2443508793497.604</v>
      </c>
      <c r="U59" s="20" t="s">
        <v>13</v>
      </c>
      <c r="V59" s="20">
        <v>339981048690.66803</v>
      </c>
      <c r="W59" s="20">
        <v>680974987020.37622</v>
      </c>
      <c r="X59" s="20">
        <v>1116935716257.8811</v>
      </c>
      <c r="Y59" s="20">
        <v>1593537608818.3081</v>
      </c>
      <c r="Z59" s="20">
        <v>2038431074601.5449</v>
      </c>
      <c r="AA59" s="20">
        <v>2393175644880.8081</v>
      </c>
      <c r="AE59" s="20" t="s">
        <v>13</v>
      </c>
      <c r="AF59" s="20">
        <v>339981048690.66803</v>
      </c>
      <c r="AG59" s="20">
        <v>682558370086.10718</v>
      </c>
      <c r="AH59" s="20">
        <v>1113228478703.97</v>
      </c>
      <c r="AI59" s="20">
        <v>1579112989147.3879</v>
      </c>
      <c r="AJ59" s="20">
        <v>1990235782333.7881</v>
      </c>
      <c r="AK59" s="20">
        <v>2254935540934.3301</v>
      </c>
    </row>
    <row r="60" spans="1:37" x14ac:dyDescent="0.25">
      <c r="A60" s="20" t="s">
        <v>51</v>
      </c>
      <c r="B60" s="20">
        <v>267000000000</v>
      </c>
      <c r="C60" s="20">
        <v>1002773979648.201</v>
      </c>
      <c r="D60" s="20">
        <v>2033670642324.1931</v>
      </c>
      <c r="E60" s="20">
        <v>3426756992674.9678</v>
      </c>
      <c r="F60" s="20">
        <v>4903033054133.541</v>
      </c>
      <c r="G60" s="20">
        <v>6179893825888.3115</v>
      </c>
      <c r="K60" s="20" t="s">
        <v>51</v>
      </c>
      <c r="L60" s="20">
        <v>267000000000</v>
      </c>
      <c r="M60" s="20">
        <v>1002773979648.201</v>
      </c>
      <c r="N60" s="20">
        <v>2019916289213.8311</v>
      </c>
      <c r="O60" s="20">
        <v>3376510666836.8911</v>
      </c>
      <c r="P60" s="20">
        <v>4752504288257.3467</v>
      </c>
      <c r="Q60" s="20">
        <v>5960628795109.2656</v>
      </c>
      <c r="U60" s="20" t="s">
        <v>51</v>
      </c>
      <c r="V60" s="20">
        <v>267000000000</v>
      </c>
      <c r="W60" s="20">
        <v>996688338861.24646</v>
      </c>
      <c r="X60" s="20">
        <v>2019855173061.8569</v>
      </c>
      <c r="Y60" s="20">
        <v>3347912134639.4229</v>
      </c>
      <c r="Z60" s="20">
        <v>4657950647646.957</v>
      </c>
      <c r="AA60" s="20">
        <v>5713476944449.6465</v>
      </c>
      <c r="AE60" s="20" t="s">
        <v>51</v>
      </c>
      <c r="AF60" s="20">
        <v>267000000000</v>
      </c>
      <c r="AG60" s="20">
        <v>1002773979648.201</v>
      </c>
      <c r="AH60" s="20">
        <v>2004707164089.1931</v>
      </c>
      <c r="AI60" s="20">
        <v>3283862718799.769</v>
      </c>
      <c r="AJ60" s="20">
        <v>4434256871077.5469</v>
      </c>
      <c r="AK60" s="20">
        <v>5064289884728.0674</v>
      </c>
    </row>
    <row r="61" spans="1:37" x14ac:dyDescent="0.25">
      <c r="A61" s="20" t="s">
        <v>0</v>
      </c>
      <c r="B61" s="20">
        <v>11.890499999999999</v>
      </c>
      <c r="C61" s="20">
        <v>10.55138738558381</v>
      </c>
      <c r="D61" s="20">
        <v>7.6997789906882614</v>
      </c>
      <c r="E61" s="20">
        <v>4.9092936545792094</v>
      </c>
      <c r="F61" s="20">
        <v>2.8121235332504422</v>
      </c>
      <c r="G61" s="20">
        <v>1.4723595131964109</v>
      </c>
      <c r="K61" s="20" t="s">
        <v>0</v>
      </c>
      <c r="L61" s="20">
        <v>11.890499999999999</v>
      </c>
      <c r="M61" s="20">
        <v>10.55138738558381</v>
      </c>
      <c r="N61" s="20">
        <v>7.7076820634137357</v>
      </c>
      <c r="O61" s="20">
        <v>4.9204274606531149</v>
      </c>
      <c r="P61" s="20">
        <v>2.825668916711825</v>
      </c>
      <c r="Q61" s="20">
        <v>1.481393633609742</v>
      </c>
      <c r="U61" s="20" t="s">
        <v>0</v>
      </c>
      <c r="V61" s="20">
        <v>11.890499999999999</v>
      </c>
      <c r="W61" s="20">
        <v>10.560620248899999</v>
      </c>
      <c r="X61" s="20">
        <v>7.7076820634137357</v>
      </c>
      <c r="Y61" s="20">
        <v>4.9261218569004868</v>
      </c>
      <c r="Z61" s="20">
        <v>2.832749712420394</v>
      </c>
      <c r="AA61" s="20">
        <v>1.489118150618695</v>
      </c>
      <c r="AE61" s="20" t="s">
        <v>0</v>
      </c>
      <c r="AF61" s="20">
        <v>11.890499999999999</v>
      </c>
      <c r="AG61" s="20">
        <v>10.55138738558381</v>
      </c>
      <c r="AH61" s="20">
        <v>7.7157001535268783</v>
      </c>
      <c r="AI61" s="20">
        <v>4.9377612758189988</v>
      </c>
      <c r="AJ61" s="20">
        <v>2.8475266179944279</v>
      </c>
      <c r="AK61" s="20">
        <v>1.505916841511562</v>
      </c>
    </row>
    <row r="62" spans="1:37" x14ac:dyDescent="0.25">
      <c r="A62" s="20" t="s">
        <v>1</v>
      </c>
      <c r="B62" s="20">
        <v>17.795100000000001</v>
      </c>
      <c r="C62" s="20">
        <v>29.23585856041619</v>
      </c>
      <c r="D62" s="20">
        <v>39.49660840731174</v>
      </c>
      <c r="E62" s="20">
        <v>46.675086178420791</v>
      </c>
      <c r="F62" s="20">
        <v>49.615517687749573</v>
      </c>
      <c r="G62" s="20">
        <v>48.266571936803587</v>
      </c>
      <c r="K62" s="20" t="s">
        <v>1</v>
      </c>
      <c r="L62" s="20">
        <v>17.795100000000001</v>
      </c>
      <c r="M62" s="20">
        <v>29.23585856041619</v>
      </c>
      <c r="N62" s="20">
        <v>39.488705334586257</v>
      </c>
      <c r="O62" s="20">
        <v>46.663952372346877</v>
      </c>
      <c r="P62" s="20">
        <v>49.601972304288182</v>
      </c>
      <c r="Q62" s="20">
        <v>48.257537816390261</v>
      </c>
      <c r="U62" s="20" t="s">
        <v>1</v>
      </c>
      <c r="V62" s="20">
        <v>17.795100000000001</v>
      </c>
      <c r="W62" s="20">
        <v>29.226625697100001</v>
      </c>
      <c r="X62" s="20">
        <v>39.488705334586257</v>
      </c>
      <c r="Y62" s="20">
        <v>46.658257976099513</v>
      </c>
      <c r="Z62" s="20">
        <v>49.594891508579607</v>
      </c>
      <c r="AA62" s="20">
        <v>48.249813299381309</v>
      </c>
      <c r="AE62" s="20" t="s">
        <v>1</v>
      </c>
      <c r="AF62" s="20">
        <v>17.795100000000001</v>
      </c>
      <c r="AG62" s="20">
        <v>29.23585856041619</v>
      </c>
      <c r="AH62" s="20">
        <v>39.480687244473117</v>
      </c>
      <c r="AI62" s="20">
        <v>46.646618557181</v>
      </c>
      <c r="AJ62" s="20">
        <v>49.580114603005583</v>
      </c>
      <c r="AK62" s="20">
        <v>48.233014608488439</v>
      </c>
    </row>
    <row r="63" spans="1:37" x14ac:dyDescent="0.25">
      <c r="A63" s="20" t="s">
        <v>2</v>
      </c>
      <c r="B63" s="20">
        <v>29.685600000000001</v>
      </c>
      <c r="C63" s="20">
        <v>39.787245945999999</v>
      </c>
      <c r="D63" s="20">
        <v>47.196387397999999</v>
      </c>
      <c r="E63" s="20">
        <v>51.584379833</v>
      </c>
      <c r="F63" s="20">
        <v>52.427641221000002</v>
      </c>
      <c r="G63" s="20">
        <v>49.738931450000003</v>
      </c>
      <c r="K63" s="20" t="s">
        <v>2</v>
      </c>
      <c r="L63" s="20">
        <v>29.685600000000001</v>
      </c>
      <c r="M63" s="20">
        <v>39.787245945999999</v>
      </c>
      <c r="N63" s="20">
        <v>47.196387397999999</v>
      </c>
      <c r="O63" s="20">
        <v>51.584379833</v>
      </c>
      <c r="P63" s="20">
        <v>52.427641221000002</v>
      </c>
      <c r="Q63" s="20">
        <v>49.738931450000003</v>
      </c>
      <c r="U63" s="20" t="s">
        <v>2</v>
      </c>
      <c r="V63" s="20">
        <v>29.685600000000001</v>
      </c>
      <c r="W63" s="20">
        <v>39.787245945999999</v>
      </c>
      <c r="X63" s="20">
        <v>47.196387397999999</v>
      </c>
      <c r="Y63" s="20">
        <v>51.584379833</v>
      </c>
      <c r="Z63" s="20">
        <v>52.427641221000002</v>
      </c>
      <c r="AA63" s="20">
        <v>49.738931450000003</v>
      </c>
      <c r="AE63" s="20" t="s">
        <v>2</v>
      </c>
      <c r="AF63" s="20">
        <v>29.685600000000001</v>
      </c>
      <c r="AG63" s="20">
        <v>39.787245945999999</v>
      </c>
      <c r="AH63" s="20">
        <v>47.196387397999999</v>
      </c>
      <c r="AI63" s="20">
        <v>51.584379833</v>
      </c>
      <c r="AJ63" s="20">
        <v>52.427641221000002</v>
      </c>
      <c r="AK63" s="20">
        <v>49.738931450000003</v>
      </c>
    </row>
    <row r="64" spans="1:37" x14ac:dyDescent="0.25">
      <c r="A64" s="20" t="s">
        <v>3</v>
      </c>
      <c r="B64" s="20">
        <v>1.496581304402675</v>
      </c>
      <c r="C64" s="20">
        <v>2.7708070504889868</v>
      </c>
      <c r="D64" s="20">
        <v>5.1295768950091967</v>
      </c>
      <c r="E64" s="20">
        <v>9.5074952656140219</v>
      </c>
      <c r="F64" s="20">
        <v>17.64343461483735</v>
      </c>
      <c r="G64" s="20">
        <v>32.781784274969311</v>
      </c>
      <c r="K64" s="20" t="s">
        <v>3</v>
      </c>
      <c r="L64" s="20">
        <v>1.496581304402675</v>
      </c>
      <c r="M64" s="20">
        <v>2.7708070504889868</v>
      </c>
      <c r="N64" s="20">
        <v>5.12329193260687</v>
      </c>
      <c r="O64" s="20">
        <v>9.4837191982813884</v>
      </c>
      <c r="P64" s="20">
        <v>17.554063751392722</v>
      </c>
      <c r="Q64" s="20">
        <v>32.575769681688278</v>
      </c>
      <c r="U64" s="20" t="s">
        <v>3</v>
      </c>
      <c r="V64" s="20">
        <v>1.496581304402675</v>
      </c>
      <c r="W64" s="20">
        <v>2.767510336350202</v>
      </c>
      <c r="X64" s="20">
        <v>5.12329193260687</v>
      </c>
      <c r="Y64" s="20">
        <v>9.4716004458437943</v>
      </c>
      <c r="Z64" s="20">
        <v>17.507685656493852</v>
      </c>
      <c r="AA64" s="20">
        <v>32.401601766343802</v>
      </c>
      <c r="AE64" s="20" t="s">
        <v>3</v>
      </c>
      <c r="AF64" s="20">
        <v>1.496581304402675</v>
      </c>
      <c r="AG64" s="20">
        <v>2.7708070504889868</v>
      </c>
      <c r="AH64" s="20">
        <v>5.1169286596014656</v>
      </c>
      <c r="AI64" s="20">
        <v>9.4469165177378862</v>
      </c>
      <c r="AJ64" s="20">
        <v>17.411642191399739</v>
      </c>
      <c r="AK64" s="20">
        <v>32.029002717092013</v>
      </c>
    </row>
    <row r="65" spans="1:37" x14ac:dyDescent="0.25">
      <c r="A65" s="20" t="s">
        <v>18</v>
      </c>
      <c r="B65" s="20">
        <v>12693901918.097731</v>
      </c>
      <c r="C65" s="20">
        <v>30904117901.550819</v>
      </c>
      <c r="D65" s="20">
        <v>49996060924.901176</v>
      </c>
      <c r="E65" s="20">
        <v>74389853719.903137</v>
      </c>
      <c r="F65" s="20">
        <v>101311726363.9946</v>
      </c>
      <c r="G65" s="20">
        <v>130018335770.1618</v>
      </c>
      <c r="K65" s="20" t="s">
        <v>18</v>
      </c>
      <c r="L65" s="20">
        <v>12693901918.097731</v>
      </c>
      <c r="M65" s="20">
        <v>30904117901.550819</v>
      </c>
      <c r="N65" s="20">
        <v>50040650029.048317</v>
      </c>
      <c r="O65" s="20">
        <v>74530840516.150345</v>
      </c>
      <c r="P65" s="20">
        <v>101706229967.56979</v>
      </c>
      <c r="Q65" s="20">
        <v>130876997147.7057</v>
      </c>
      <c r="U65" s="20" t="s">
        <v>18</v>
      </c>
      <c r="V65" s="20">
        <v>12693901918.097731</v>
      </c>
      <c r="W65" s="20">
        <v>30926243684.432449</v>
      </c>
      <c r="X65" s="20">
        <v>50039135960.377037</v>
      </c>
      <c r="Y65" s="20">
        <v>74567220401.13562</v>
      </c>
      <c r="Z65" s="20">
        <v>101715687282.7511</v>
      </c>
      <c r="AA65" s="20">
        <v>130847790106.52299</v>
      </c>
      <c r="AE65" s="20" t="s">
        <v>18</v>
      </c>
      <c r="AF65" s="20">
        <v>12693901918.097731</v>
      </c>
      <c r="AG65" s="20">
        <v>30904117901.550819</v>
      </c>
      <c r="AH65" s="20">
        <v>50068773817.99649</v>
      </c>
      <c r="AI65" s="20">
        <v>74567419344.981842</v>
      </c>
      <c r="AJ65" s="20">
        <v>101356851181.76759</v>
      </c>
      <c r="AK65" s="20">
        <v>128881954228.63589</v>
      </c>
    </row>
    <row r="66" spans="1:37" x14ac:dyDescent="0.25">
      <c r="A66" s="20" t="s">
        <v>19</v>
      </c>
      <c r="B66" s="20">
        <v>16550655338.802481</v>
      </c>
      <c r="C66" s="20">
        <v>39920155480.680656</v>
      </c>
      <c r="D66" s="20">
        <v>63965329952.928093</v>
      </c>
      <c r="E66" s="20">
        <v>94709336867.782776</v>
      </c>
      <c r="F66" s="20">
        <v>128984880881.63811</v>
      </c>
      <c r="G66" s="20">
        <v>166346419970.19351</v>
      </c>
      <c r="K66" s="20" t="s">
        <v>19</v>
      </c>
      <c r="L66" s="20">
        <v>16550655338.802481</v>
      </c>
      <c r="M66" s="20">
        <v>39920155480.680656</v>
      </c>
      <c r="N66" s="20">
        <v>63709182686.777496</v>
      </c>
      <c r="O66" s="20">
        <v>93943207668.488022</v>
      </c>
      <c r="P66" s="20">
        <v>126883398667.8252</v>
      </c>
      <c r="Q66" s="20">
        <v>163275329454.599</v>
      </c>
      <c r="U66" s="20" t="s">
        <v>19</v>
      </c>
      <c r="V66" s="20">
        <v>16550655338.802481</v>
      </c>
      <c r="W66" s="20">
        <v>39758950854.713432</v>
      </c>
      <c r="X66" s="20">
        <v>63707255052.393799</v>
      </c>
      <c r="Y66" s="20">
        <v>93509568173.621979</v>
      </c>
      <c r="Z66" s="20">
        <v>125559466405.5213</v>
      </c>
      <c r="AA66" s="20">
        <v>159775732001.5322</v>
      </c>
      <c r="AE66" s="20" t="s">
        <v>19</v>
      </c>
      <c r="AF66" s="20">
        <v>16550655338.802481</v>
      </c>
      <c r="AG66" s="20">
        <v>39920155480.680656</v>
      </c>
      <c r="AH66" s="20">
        <v>63428885681.096703</v>
      </c>
      <c r="AI66" s="20">
        <v>92538838256.411591</v>
      </c>
      <c r="AJ66" s="20">
        <v>122393571290.09151</v>
      </c>
      <c r="AK66" s="20">
        <v>150260310374.4921</v>
      </c>
    </row>
    <row r="67" spans="1:37" x14ac:dyDescent="0.25">
      <c r="A67" s="20" t="s">
        <v>7</v>
      </c>
      <c r="B67" s="20">
        <v>17.474866370000001</v>
      </c>
      <c r="C67" s="20">
        <v>18.0549994</v>
      </c>
      <c r="D67" s="20">
        <v>18.325375709999999</v>
      </c>
      <c r="E67" s="20">
        <v>18.56457399</v>
      </c>
      <c r="F67" s="20">
        <v>18.554772239999998</v>
      </c>
      <c r="G67" s="20">
        <v>18.497632930000002</v>
      </c>
      <c r="K67" s="20" t="s">
        <v>7</v>
      </c>
      <c r="L67" s="20">
        <v>17.474866370000001</v>
      </c>
      <c r="M67" s="20">
        <v>18.038191579999999</v>
      </c>
      <c r="N67" s="20">
        <v>18.603739640000001</v>
      </c>
      <c r="O67" s="20">
        <v>19.164979110000001</v>
      </c>
      <c r="P67" s="20">
        <v>19.45193622</v>
      </c>
      <c r="Q67" s="20">
        <v>19.607758270000001</v>
      </c>
      <c r="U67" s="20" t="s">
        <v>7</v>
      </c>
      <c r="V67" s="20">
        <v>17.474866370000001</v>
      </c>
      <c r="W67" s="20">
        <v>18.23406022</v>
      </c>
      <c r="X67" s="20">
        <v>18.683535670000001</v>
      </c>
      <c r="Y67" s="20">
        <v>19.29096251</v>
      </c>
      <c r="Z67" s="20">
        <v>19.984736860000002</v>
      </c>
      <c r="AA67" s="20">
        <v>20.412206680000001</v>
      </c>
      <c r="AE67" s="20" t="s">
        <v>7</v>
      </c>
      <c r="AF67" s="20">
        <v>17.474866370000001</v>
      </c>
      <c r="AG67" s="20">
        <v>17.947823400000001</v>
      </c>
      <c r="AH67" s="20">
        <v>18.790946000000002</v>
      </c>
      <c r="AI67" s="20">
        <v>19.843035539999999</v>
      </c>
      <c r="AJ67" s="20">
        <v>21.022310900000001</v>
      </c>
      <c r="AK67" s="20">
        <v>22.185305060000001</v>
      </c>
    </row>
    <row r="68" spans="1:37" x14ac:dyDescent="0.25">
      <c r="A68" s="20" t="s">
        <v>52</v>
      </c>
      <c r="B68" s="20">
        <v>27.774387432326002</v>
      </c>
      <c r="C68" s="20">
        <v>28.284788472119999</v>
      </c>
      <c r="D68" s="20">
        <v>28.522665549658001</v>
      </c>
      <c r="E68" s="20">
        <v>28.733112196402001</v>
      </c>
      <c r="F68" s="20">
        <v>28.724488616752001</v>
      </c>
      <c r="G68" s="20">
        <v>28.674217451813998</v>
      </c>
      <c r="K68" s="20" t="s">
        <v>52</v>
      </c>
      <c r="L68" s="20">
        <v>27.774387432326002</v>
      </c>
      <c r="M68" s="20">
        <v>28.270000952084001</v>
      </c>
      <c r="N68" s="20">
        <v>28.767570135271999</v>
      </c>
      <c r="O68" s="20">
        <v>29.261348620978001</v>
      </c>
      <c r="P68" s="20">
        <v>29.513813486356</v>
      </c>
      <c r="Q68" s="20">
        <v>29.650905725946</v>
      </c>
      <c r="U68" s="20" t="s">
        <v>52</v>
      </c>
      <c r="V68" s="20">
        <v>27.774387432326002</v>
      </c>
      <c r="W68" s="20">
        <v>28.442326181555998</v>
      </c>
      <c r="X68" s="20">
        <v>28.837774682466009</v>
      </c>
      <c r="Y68" s="20">
        <v>29.372188816297999</v>
      </c>
      <c r="Z68" s="20">
        <v>29.982571489428</v>
      </c>
      <c r="AA68" s="20">
        <v>30.358659437063999</v>
      </c>
      <c r="AE68" s="20" t="s">
        <v>52</v>
      </c>
      <c r="AF68" s="20">
        <v>27.774387432326002</v>
      </c>
      <c r="AG68" s="20">
        <v>28.190495027320001</v>
      </c>
      <c r="AH68" s="20">
        <v>28.932274290799999</v>
      </c>
      <c r="AI68" s="20">
        <v>29.857902668091999</v>
      </c>
      <c r="AJ68" s="20">
        <v>30.895429129819998</v>
      </c>
      <c r="AK68" s="20">
        <v>31.918631391788001</v>
      </c>
    </row>
    <row r="69" spans="1:37" x14ac:dyDescent="0.25">
      <c r="A69" s="20" t="s">
        <v>4</v>
      </c>
      <c r="B69" s="20">
        <v>0.91305087301969401</v>
      </c>
      <c r="C69" s="20">
        <v>0.91305087301969401</v>
      </c>
      <c r="D69" s="20">
        <v>0.91305087301969401</v>
      </c>
      <c r="E69" s="20">
        <v>0.91305087301969401</v>
      </c>
      <c r="F69" s="20">
        <v>0.91305087301969401</v>
      </c>
      <c r="G69" s="20">
        <v>0.91305087301969401</v>
      </c>
      <c r="K69" s="20" t="s">
        <v>4</v>
      </c>
      <c r="L69" s="20">
        <v>0.91305087301969401</v>
      </c>
      <c r="M69" s="20">
        <v>0.91305087301969401</v>
      </c>
      <c r="N69" s="20">
        <v>0.91305087301969401</v>
      </c>
      <c r="O69" s="20">
        <v>0.91305087301969401</v>
      </c>
      <c r="P69" s="20">
        <v>0.91305087301969401</v>
      </c>
      <c r="Q69" s="20">
        <v>0.91305087301969401</v>
      </c>
      <c r="U69" s="20" t="s">
        <v>4</v>
      </c>
      <c r="V69" s="20">
        <v>0.91305087301969401</v>
      </c>
      <c r="W69" s="20">
        <v>0.91305087301969401</v>
      </c>
      <c r="X69" s="20">
        <v>0.91305087301969401</v>
      </c>
      <c r="Y69" s="20">
        <v>0.91305087301969401</v>
      </c>
      <c r="Z69" s="20">
        <v>0.91305087301969401</v>
      </c>
      <c r="AA69" s="20">
        <v>0.91305087301969401</v>
      </c>
      <c r="AE69" s="20" t="s">
        <v>4</v>
      </c>
      <c r="AF69" s="20">
        <v>0.91305087301969401</v>
      </c>
      <c r="AG69" s="20">
        <v>0.91305087301969401</v>
      </c>
      <c r="AH69" s="20">
        <v>0.91305087301969401</v>
      </c>
      <c r="AI69" s="20">
        <v>0.91305087301969401</v>
      </c>
      <c r="AJ69" s="20">
        <v>0.91305087301969401</v>
      </c>
      <c r="AK69" s="20">
        <v>0.91305087301969401</v>
      </c>
    </row>
    <row r="70" spans="1:37" x14ac:dyDescent="0.25">
      <c r="A70" s="20" t="s">
        <v>5</v>
      </c>
      <c r="B70" s="20">
        <v>0.99563611390647888</v>
      </c>
      <c r="C70" s="20">
        <v>0.99563611390647888</v>
      </c>
      <c r="D70" s="20">
        <v>0.99563611390647888</v>
      </c>
      <c r="E70" s="20">
        <v>0.99563611390647888</v>
      </c>
      <c r="F70" s="20">
        <v>0.99563611390647888</v>
      </c>
      <c r="G70" s="20">
        <v>0.99563611390647888</v>
      </c>
      <c r="K70" s="20" t="s">
        <v>5</v>
      </c>
      <c r="L70" s="20">
        <v>0.99563611390647888</v>
      </c>
      <c r="M70" s="20">
        <v>0.99563611390647888</v>
      </c>
      <c r="N70" s="20">
        <v>0.99563611390647888</v>
      </c>
      <c r="O70" s="20">
        <v>0.99563611390647888</v>
      </c>
      <c r="P70" s="20">
        <v>0.99563611390647888</v>
      </c>
      <c r="Q70" s="20">
        <v>0.99563611390647888</v>
      </c>
      <c r="U70" s="20" t="s">
        <v>5</v>
      </c>
      <c r="V70" s="20">
        <v>0.99563611390647888</v>
      </c>
      <c r="W70" s="20">
        <v>0.99563611390647888</v>
      </c>
      <c r="X70" s="20">
        <v>0.99563611390647888</v>
      </c>
      <c r="Y70" s="20">
        <v>0.99563611390647888</v>
      </c>
      <c r="Z70" s="20">
        <v>0.99563611390647888</v>
      </c>
      <c r="AA70" s="20">
        <v>0.99563611390647888</v>
      </c>
      <c r="AE70" s="20" t="s">
        <v>5</v>
      </c>
      <c r="AF70" s="20">
        <v>0.99563611390647888</v>
      </c>
      <c r="AG70" s="20">
        <v>0.99563611390647888</v>
      </c>
      <c r="AH70" s="20">
        <v>0.99563611390647888</v>
      </c>
      <c r="AI70" s="20">
        <v>0.99563611390647888</v>
      </c>
      <c r="AJ70" s="20">
        <v>0.99563611390647888</v>
      </c>
      <c r="AK70" s="20">
        <v>0.99563611390647888</v>
      </c>
    </row>
    <row r="71" spans="1:37" x14ac:dyDescent="0.25">
      <c r="A71" s="20" t="s">
        <v>20</v>
      </c>
      <c r="B71" s="20">
        <v>0.96439833420871968</v>
      </c>
      <c r="C71" s="20">
        <v>0.95269766517752652</v>
      </c>
      <c r="D71" s="20">
        <v>0.93947441413050536</v>
      </c>
      <c r="E71" s="20">
        <v>0.93231395090361513</v>
      </c>
      <c r="F71" s="20">
        <v>0.93231395090361513</v>
      </c>
      <c r="G71" s="20">
        <v>0.93947441413050536</v>
      </c>
      <c r="K71" s="20" t="s">
        <v>20</v>
      </c>
      <c r="L71" s="20">
        <v>0.96439833420871968</v>
      </c>
      <c r="M71" s="20">
        <v>0.95269766517752652</v>
      </c>
      <c r="N71" s="20">
        <v>0.93231395090361513</v>
      </c>
      <c r="O71" s="20">
        <v>0.91693862656807257</v>
      </c>
      <c r="P71" s="20">
        <v>0.90022563327805616</v>
      </c>
      <c r="Q71" s="20">
        <v>0.90022563327805616</v>
      </c>
      <c r="U71" s="20" t="s">
        <v>20</v>
      </c>
      <c r="V71" s="20">
        <v>0.96439833420871968</v>
      </c>
      <c r="W71" s="20">
        <v>0.94627095271536965</v>
      </c>
      <c r="X71" s="20">
        <v>0.93231395090361513</v>
      </c>
      <c r="Y71" s="20">
        <v>0.9087454042219193</v>
      </c>
      <c r="Z71" s="20">
        <v>0.88225365744265238</v>
      </c>
      <c r="AA71" s="20">
        <v>0.86311515559253815</v>
      </c>
      <c r="AE71" s="20" t="s">
        <v>20</v>
      </c>
      <c r="AF71" s="20">
        <v>0.96439833420871968</v>
      </c>
      <c r="AG71" s="20">
        <v>0.95269766517752652</v>
      </c>
      <c r="AH71" s="20">
        <v>0.92479939883583451</v>
      </c>
      <c r="AI71" s="20">
        <v>0.89139111669784621</v>
      </c>
      <c r="AJ71" s="20">
        <v>0.84289864993793617</v>
      </c>
      <c r="AK71" s="20">
        <v>0.77676075594033223</v>
      </c>
    </row>
    <row r="72" spans="1:37" x14ac:dyDescent="0.25">
      <c r="A72" s="20" t="s">
        <v>21</v>
      </c>
      <c r="B72" s="20">
        <v>0.99844694181596516</v>
      </c>
      <c r="C72" s="20">
        <v>0.99556088418081246</v>
      </c>
      <c r="D72" s="20">
        <v>0.99120776832621305</v>
      </c>
      <c r="E72" s="20">
        <v>0.98848865179879042</v>
      </c>
      <c r="F72" s="20">
        <v>0.98848865179879042</v>
      </c>
      <c r="G72" s="20">
        <v>0.99120776832621305</v>
      </c>
      <c r="K72" s="20" t="s">
        <v>21</v>
      </c>
      <c r="L72" s="20">
        <v>0.99844694181596516</v>
      </c>
      <c r="M72" s="20">
        <v>0.99556088418081246</v>
      </c>
      <c r="N72" s="20">
        <v>0.98848865179879042</v>
      </c>
      <c r="O72" s="20">
        <v>0.98197288977586894</v>
      </c>
      <c r="P72" s="20">
        <v>0.97405330480158026</v>
      </c>
      <c r="Q72" s="20">
        <v>0.97405330480158026</v>
      </c>
      <c r="U72" s="20" t="s">
        <v>21</v>
      </c>
      <c r="V72" s="20">
        <v>0.99844694181596516</v>
      </c>
      <c r="W72" s="20">
        <v>0.99356517912022047</v>
      </c>
      <c r="X72" s="20">
        <v>0.98848865179879042</v>
      </c>
      <c r="Y72" s="20">
        <v>0.97818889133398601</v>
      </c>
      <c r="Z72" s="20">
        <v>0.96476277921532627</v>
      </c>
      <c r="AA72" s="20">
        <v>0.95414178358867729</v>
      </c>
      <c r="AE72" s="20" t="s">
        <v>21</v>
      </c>
      <c r="AF72" s="20">
        <v>0.99844694181596516</v>
      </c>
      <c r="AG72" s="20">
        <v>0.99556088418081246</v>
      </c>
      <c r="AH72" s="20">
        <v>0.98540782953795247</v>
      </c>
      <c r="AI72" s="20">
        <v>0.96957624782154495</v>
      </c>
      <c r="AJ72" s="20">
        <v>0.94223331790392795</v>
      </c>
      <c r="AK72" s="20">
        <v>0.8993395708601768</v>
      </c>
    </row>
    <row r="73" spans="1:37" x14ac:dyDescent="0.25">
      <c r="A73" s="20" t="s">
        <v>10</v>
      </c>
      <c r="B73" s="20">
        <v>0.9515819628126353</v>
      </c>
      <c r="C73" s="20">
        <v>0.146172898054101</v>
      </c>
      <c r="D73" s="20">
        <v>1.6341456430849059E-2</v>
      </c>
      <c r="E73" s="20">
        <v>1.680247054633666E-3</v>
      </c>
      <c r="F73" s="20">
        <v>1.5813340418632319E-4</v>
      </c>
      <c r="G73" s="20">
        <v>1.402403456434987E-5</v>
      </c>
      <c r="K73" s="20" t="s">
        <v>10</v>
      </c>
      <c r="L73" s="20">
        <v>0.9515819628126353</v>
      </c>
      <c r="M73" s="20">
        <v>0.146172898054101</v>
      </c>
      <c r="N73" s="20">
        <v>1.6356030597077988E-2</v>
      </c>
      <c r="O73" s="20">
        <v>1.6834315298986471E-3</v>
      </c>
      <c r="P73" s="20">
        <v>1.5874916901470029E-4</v>
      </c>
      <c r="Q73" s="20">
        <v>1.41166514769293E-5</v>
      </c>
      <c r="U73" s="20" t="s">
        <v>10</v>
      </c>
      <c r="V73" s="20">
        <v>0.9515819628126353</v>
      </c>
      <c r="W73" s="20">
        <v>0.14627755044430441</v>
      </c>
      <c r="X73" s="20">
        <v>1.6355535716346039E-2</v>
      </c>
      <c r="Y73" s="20">
        <v>1.684253244037575E-3</v>
      </c>
      <c r="Z73" s="20">
        <v>1.5876393055808501E-4</v>
      </c>
      <c r="AA73" s="20">
        <v>1.411350114776502E-5</v>
      </c>
      <c r="AE73" s="20" t="s">
        <v>10</v>
      </c>
      <c r="AF73" s="20">
        <v>0.9515819628126353</v>
      </c>
      <c r="AG73" s="20">
        <v>0.146172898054101</v>
      </c>
      <c r="AH73" s="20">
        <v>1.636522299470422E-2</v>
      </c>
      <c r="AI73" s="20">
        <v>1.684257737591399E-3</v>
      </c>
      <c r="AJ73" s="20">
        <v>1.5820383770180879E-4</v>
      </c>
      <c r="AK73" s="20">
        <v>1.390146220621094E-5</v>
      </c>
    </row>
    <row r="74" spans="1:37" x14ac:dyDescent="0.25">
      <c r="A74" s="20" t="s">
        <v>12</v>
      </c>
      <c r="B74" s="20">
        <v>0.8649398558400585</v>
      </c>
      <c r="C74" s="20">
        <v>1.70230002019898</v>
      </c>
      <c r="D74" s="20">
        <v>2.2354298663063759</v>
      </c>
      <c r="E74" s="20">
        <v>2.7125748116980941</v>
      </c>
      <c r="F74" s="20">
        <v>3.0276122946357211</v>
      </c>
      <c r="G74" s="20">
        <v>3.1999812690682119</v>
      </c>
      <c r="K74" s="20" t="s">
        <v>12</v>
      </c>
      <c r="L74" s="20">
        <v>0.8649398558400585</v>
      </c>
      <c r="M74" s="20">
        <v>1.70230002019898</v>
      </c>
      <c r="N74" s="20">
        <v>2.226478153724778</v>
      </c>
      <c r="O74" s="20">
        <v>2.690632067326284</v>
      </c>
      <c r="P74" s="20">
        <v>2.978285014228828</v>
      </c>
      <c r="Q74" s="20">
        <v>3.140903158897423</v>
      </c>
      <c r="U74" s="20" t="s">
        <v>12</v>
      </c>
      <c r="V74" s="20">
        <v>0.8649398558400585</v>
      </c>
      <c r="W74" s="20">
        <v>1.695425832592848</v>
      </c>
      <c r="X74" s="20">
        <v>2.2264107876770169</v>
      </c>
      <c r="Y74" s="20">
        <v>2.6782121770595699</v>
      </c>
      <c r="Z74" s="20">
        <v>2.9472088635418769</v>
      </c>
      <c r="AA74" s="20">
        <v>3.073581924685715</v>
      </c>
      <c r="AE74" s="20" t="s">
        <v>12</v>
      </c>
      <c r="AF74" s="20">
        <v>0.8649398558400585</v>
      </c>
      <c r="AG74" s="20">
        <v>1.70230002019898</v>
      </c>
      <c r="AH74" s="20">
        <v>2.2166824675554699</v>
      </c>
      <c r="AI74" s="20">
        <v>2.6504094533844729</v>
      </c>
      <c r="AJ74" s="20">
        <v>2.872897030174383</v>
      </c>
      <c r="AK74" s="20">
        <v>2.8905351781475508</v>
      </c>
    </row>
    <row r="75" spans="1:37" x14ac:dyDescent="0.25">
      <c r="A75" s="20" t="s">
        <v>11</v>
      </c>
      <c r="B75" s="20">
        <v>152969731967.8754</v>
      </c>
      <c r="C75" s="20">
        <v>2125270252944.0491</v>
      </c>
      <c r="D75" s="20">
        <v>22131367242250.551</v>
      </c>
      <c r="E75" s="20">
        <v>202638403663635.81</v>
      </c>
      <c r="F75" s="20">
        <v>1679703678741413</v>
      </c>
      <c r="G75" s="20">
        <v>1.282420503578716E+16</v>
      </c>
      <c r="K75" s="20" t="s">
        <v>11</v>
      </c>
      <c r="L75" s="20">
        <v>152969731967.8754</v>
      </c>
      <c r="M75" s="20">
        <v>2125270252944.0491</v>
      </c>
      <c r="N75" s="20">
        <v>21985229483665.25</v>
      </c>
      <c r="O75" s="20">
        <v>199748562952004.31</v>
      </c>
      <c r="P75" s="20">
        <v>1629704050244598</v>
      </c>
      <c r="Q75" s="20">
        <v>1.236384290345054E+16</v>
      </c>
      <c r="U75" s="20" t="s">
        <v>11</v>
      </c>
      <c r="V75" s="20">
        <v>152969731967.8754</v>
      </c>
      <c r="W75" s="20">
        <v>2112780741507.248</v>
      </c>
      <c r="X75" s="20">
        <v>21985229483665.25</v>
      </c>
      <c r="Y75" s="20">
        <v>198192830535162</v>
      </c>
      <c r="Z75" s="20">
        <v>1601171189915251</v>
      </c>
      <c r="AA75" s="20">
        <v>1.191597350924434E+16</v>
      </c>
      <c r="AE75" s="20" t="s">
        <v>11</v>
      </c>
      <c r="AF75" s="20">
        <v>152969731967.8754</v>
      </c>
      <c r="AG75" s="20">
        <v>2125270252944.0491</v>
      </c>
      <c r="AH75" s="20">
        <v>21830712428676.211</v>
      </c>
      <c r="AI75" s="20">
        <v>194867293404057.19</v>
      </c>
      <c r="AJ75" s="20">
        <v>1537727022536413</v>
      </c>
      <c r="AK75" s="20">
        <v>1.084475875171922E+16</v>
      </c>
    </row>
    <row r="76" spans="1:37" x14ac:dyDescent="0.25">
      <c r="A76" s="20" t="s">
        <v>13</v>
      </c>
      <c r="B76" s="20">
        <v>339981048690.66803</v>
      </c>
      <c r="C76" s="20">
        <v>682558370086.10718</v>
      </c>
      <c r="D76" s="20">
        <v>1120232315476.9839</v>
      </c>
      <c r="E76" s="20">
        <v>1610897425424.1431</v>
      </c>
      <c r="F76" s="20">
        <v>2089429690737.614</v>
      </c>
      <c r="G76" s="20">
        <v>2487007954013.334</v>
      </c>
      <c r="K76" s="20" t="s">
        <v>13</v>
      </c>
      <c r="L76" s="20">
        <v>339981048690.66803</v>
      </c>
      <c r="M76" s="20">
        <v>682558370086.10718</v>
      </c>
      <c r="N76" s="20">
        <v>1116935716257.8811</v>
      </c>
      <c r="O76" s="20">
        <v>1599897240220.583</v>
      </c>
      <c r="P76" s="20">
        <v>2058354704965.229</v>
      </c>
      <c r="Q76" s="20">
        <v>2443508793497.604</v>
      </c>
      <c r="U76" s="20" t="s">
        <v>13</v>
      </c>
      <c r="V76" s="20">
        <v>339981048690.66803</v>
      </c>
      <c r="W76" s="20">
        <v>680974987020.37622</v>
      </c>
      <c r="X76" s="20">
        <v>1116935716257.8811</v>
      </c>
      <c r="Y76" s="20">
        <v>1593537608818.3081</v>
      </c>
      <c r="Z76" s="20">
        <v>2038431074601.5449</v>
      </c>
      <c r="AA76" s="20">
        <v>2393175644880.8081</v>
      </c>
      <c r="AE76" s="20" t="s">
        <v>13</v>
      </c>
      <c r="AF76" s="20">
        <v>339981048690.66803</v>
      </c>
      <c r="AG76" s="20">
        <v>682558370086.10718</v>
      </c>
      <c r="AH76" s="20">
        <v>1113228478703.97</v>
      </c>
      <c r="AI76" s="20">
        <v>1579112989147.3879</v>
      </c>
      <c r="AJ76" s="20">
        <v>1990235782333.7881</v>
      </c>
      <c r="AK76" s="20">
        <v>2254935540934.3301</v>
      </c>
    </row>
    <row r="77" spans="1:37" x14ac:dyDescent="0.25">
      <c r="A77" s="20" t="s">
        <v>22</v>
      </c>
      <c r="B77" s="20">
        <v>5152994447.4046478</v>
      </c>
      <c r="C77" s="20">
        <v>25203402643.379349</v>
      </c>
      <c r="D77" s="20">
        <v>43089540417.035637</v>
      </c>
      <c r="E77" s="20">
        <v>66430128728.285583</v>
      </c>
      <c r="F77" s="20">
        <v>93520000899.251236</v>
      </c>
      <c r="G77" s="20">
        <v>124246614185.9248</v>
      </c>
      <c r="K77" s="20" t="s">
        <v>22</v>
      </c>
      <c r="L77" s="20">
        <v>5152994447.4046478</v>
      </c>
      <c r="M77" s="20">
        <v>25203402643.379349</v>
      </c>
      <c r="N77" s="20">
        <v>42798112325.424026</v>
      </c>
      <c r="O77" s="20">
        <v>65456067859.457733</v>
      </c>
      <c r="P77" s="20">
        <v>90648829082.810638</v>
      </c>
      <c r="Q77" s="20">
        <v>119838296106.16341</v>
      </c>
      <c r="U77" s="20" t="s">
        <v>22</v>
      </c>
      <c r="V77" s="20">
        <v>5152994447.4046478</v>
      </c>
      <c r="W77" s="20">
        <v>25050448081.125561</v>
      </c>
      <c r="X77" s="20">
        <v>42796817392.583961</v>
      </c>
      <c r="Y77" s="20">
        <v>64901664912.47934</v>
      </c>
      <c r="Z77" s="20">
        <v>88845321650.313065</v>
      </c>
      <c r="AA77" s="20">
        <v>114869314194.9202</v>
      </c>
      <c r="AE77" s="20" t="s">
        <v>22</v>
      </c>
      <c r="AF77" s="20">
        <v>5152994447.4046478</v>
      </c>
      <c r="AG77" s="20">
        <v>25203402643.379349</v>
      </c>
      <c r="AH77" s="20">
        <v>42475860433.634483</v>
      </c>
      <c r="AI77" s="20">
        <v>63660021297.745407</v>
      </c>
      <c r="AJ77" s="20">
        <v>84578607158.496307</v>
      </c>
      <c r="AK77" s="20">
        <v>101817424240.7869</v>
      </c>
    </row>
    <row r="82" spans="1:37" x14ac:dyDescent="0.25">
      <c r="A82" s="20" t="s">
        <v>15</v>
      </c>
      <c r="B82" s="20">
        <v>2000</v>
      </c>
      <c r="C82" s="20">
        <v>2020</v>
      </c>
      <c r="D82" s="20">
        <v>2040</v>
      </c>
      <c r="E82" s="20">
        <v>2060</v>
      </c>
      <c r="F82" s="20">
        <v>2080</v>
      </c>
      <c r="G82" s="20">
        <v>2100</v>
      </c>
      <c r="K82" s="20" t="s">
        <v>15</v>
      </c>
      <c r="L82" s="20">
        <v>2000</v>
      </c>
      <c r="M82" s="20">
        <v>2020</v>
      </c>
      <c r="N82" s="20">
        <v>2040</v>
      </c>
      <c r="O82" s="20">
        <v>2060</v>
      </c>
      <c r="P82" s="20">
        <v>2080</v>
      </c>
      <c r="Q82" s="20">
        <v>2100</v>
      </c>
      <c r="U82" s="20" t="s">
        <v>15</v>
      </c>
      <c r="V82" s="20">
        <v>2000</v>
      </c>
      <c r="W82" s="20">
        <v>2020</v>
      </c>
      <c r="X82" s="20">
        <v>2040</v>
      </c>
      <c r="Y82" s="20">
        <v>2060</v>
      </c>
      <c r="Z82" s="20">
        <v>2080</v>
      </c>
      <c r="AA82" s="20">
        <v>2100</v>
      </c>
      <c r="AE82" s="20" t="s">
        <v>15</v>
      </c>
      <c r="AF82" s="20">
        <v>2000</v>
      </c>
      <c r="AG82" s="20">
        <v>2020</v>
      </c>
      <c r="AH82" s="20">
        <v>2040</v>
      </c>
      <c r="AI82" s="20">
        <v>2060</v>
      </c>
      <c r="AJ82" s="20">
        <v>2080</v>
      </c>
      <c r="AK82" s="20">
        <v>2100</v>
      </c>
    </row>
    <row r="83" spans="1:37" x14ac:dyDescent="0.25">
      <c r="A83" s="20" t="s">
        <v>11</v>
      </c>
      <c r="B83" s="20">
        <v>152969731967.8754</v>
      </c>
      <c r="C83" s="20">
        <v>2113020671129.759</v>
      </c>
      <c r="D83" s="20">
        <v>21925885009390.23</v>
      </c>
      <c r="E83" s="20">
        <v>200113916898138</v>
      </c>
      <c r="F83" s="20">
        <v>1657998748784152</v>
      </c>
      <c r="G83" s="20">
        <v>1.266211832551573E+16</v>
      </c>
      <c r="K83" s="20" t="s">
        <v>11</v>
      </c>
      <c r="L83" s="20">
        <v>152969731967.8754</v>
      </c>
      <c r="M83" s="20">
        <v>2113349845396.3879</v>
      </c>
      <c r="N83" s="20">
        <v>21723941695256.691</v>
      </c>
      <c r="O83" s="20">
        <v>196180735540538.19</v>
      </c>
      <c r="P83" s="20">
        <v>1595440324376911</v>
      </c>
      <c r="Q83" s="20">
        <v>1.208229920320066E+16</v>
      </c>
      <c r="U83" s="20" t="s">
        <v>11</v>
      </c>
      <c r="V83" s="20">
        <v>152969731967.8754</v>
      </c>
      <c r="W83" s="20">
        <v>2097211705807.73</v>
      </c>
      <c r="X83" s="20">
        <v>21708349663283.48</v>
      </c>
      <c r="Y83" s="20">
        <v>194451701345288.5</v>
      </c>
      <c r="Z83" s="20">
        <v>1561370510872023</v>
      </c>
      <c r="AA83" s="20">
        <v>1.158080355871015E+16</v>
      </c>
      <c r="AE83" s="20" t="s">
        <v>11</v>
      </c>
      <c r="AF83" s="20">
        <v>152969731967.8754</v>
      </c>
      <c r="AG83" s="20">
        <v>2115145121029.9121</v>
      </c>
      <c r="AH83" s="20">
        <v>21535545020987.16</v>
      </c>
      <c r="AI83" s="20">
        <v>190409755058388.41</v>
      </c>
      <c r="AJ83" s="20">
        <v>1490943959313944</v>
      </c>
      <c r="AK83" s="20">
        <v>1.046843052802773E+16</v>
      </c>
    </row>
    <row r="84" spans="1:37" x14ac:dyDescent="0.25">
      <c r="A84" s="20" t="s">
        <v>13</v>
      </c>
      <c r="B84" s="20">
        <v>339981048690.66803</v>
      </c>
      <c r="C84" s="20">
        <v>683978214024.84717</v>
      </c>
      <c r="D84" s="20">
        <v>1122259963570.574</v>
      </c>
      <c r="E84" s="20">
        <v>1613008254716.522</v>
      </c>
      <c r="F84" s="20">
        <v>2090959968773</v>
      </c>
      <c r="G84" s="20">
        <v>2487966828009.4971</v>
      </c>
      <c r="K84" s="20" t="s">
        <v>13</v>
      </c>
      <c r="L84" s="20">
        <v>339981048690.66803</v>
      </c>
      <c r="M84" s="20">
        <v>683940059572.36475</v>
      </c>
      <c r="N84" s="20">
        <v>1119526714897.9761</v>
      </c>
      <c r="O84" s="20">
        <v>1602910479200.9309</v>
      </c>
      <c r="P84" s="20">
        <v>2060819997082.583</v>
      </c>
      <c r="Q84" s="20">
        <v>2445216886668.7241</v>
      </c>
      <c r="U84" s="20" t="s">
        <v>13</v>
      </c>
      <c r="V84" s="20">
        <v>339981048690.66803</v>
      </c>
      <c r="W84" s="20">
        <v>682788201562.32544</v>
      </c>
      <c r="X84" s="20">
        <v>1119681329600.3511</v>
      </c>
      <c r="Y84" s="20">
        <v>1596713412982.3899</v>
      </c>
      <c r="Z84" s="20">
        <v>2041325217731.188</v>
      </c>
      <c r="AA84" s="20">
        <v>2395253157357.5059</v>
      </c>
      <c r="AE84" s="20" t="s">
        <v>13</v>
      </c>
      <c r="AF84" s="20">
        <v>339981048690.66803</v>
      </c>
      <c r="AG84" s="20">
        <v>683731969919.56921</v>
      </c>
      <c r="AH84" s="20">
        <v>1116170023308.0779</v>
      </c>
      <c r="AI84" s="20">
        <v>1582936649105.876</v>
      </c>
      <c r="AJ84" s="20">
        <v>1993713338914.1589</v>
      </c>
      <c r="AK84" s="20">
        <v>2257378620497.103</v>
      </c>
    </row>
    <row r="85" spans="1:37" x14ac:dyDescent="0.25">
      <c r="A85" s="20" t="s">
        <v>51</v>
      </c>
      <c r="B85" s="20">
        <v>267000000000</v>
      </c>
      <c r="C85" s="20">
        <v>1003089687311.9709</v>
      </c>
      <c r="D85" s="20">
        <v>2034757519498.1389</v>
      </c>
      <c r="E85" s="20">
        <v>3428258652429.9692</v>
      </c>
      <c r="F85" s="20">
        <v>4904403496004.7217</v>
      </c>
      <c r="G85" s="20">
        <v>6180824471577.4385</v>
      </c>
      <c r="K85" s="20" t="s">
        <v>51</v>
      </c>
      <c r="L85" s="20">
        <v>267000000000</v>
      </c>
      <c r="M85" s="20">
        <v>1003081383200.651</v>
      </c>
      <c r="N85" s="20">
        <v>2021185121680.301</v>
      </c>
      <c r="O85" s="20">
        <v>3378578435660.6572</v>
      </c>
      <c r="P85" s="20">
        <v>4754630566838.0908</v>
      </c>
      <c r="Q85" s="20">
        <v>5962250068841.585</v>
      </c>
      <c r="U85" s="20" t="s">
        <v>51</v>
      </c>
      <c r="V85" s="20">
        <v>267000000000</v>
      </c>
      <c r="W85" s="20">
        <v>997095632032.8064</v>
      </c>
      <c r="X85" s="20">
        <v>2021297875647.061</v>
      </c>
      <c r="Y85" s="20">
        <v>3350104649157.665</v>
      </c>
      <c r="Z85" s="20">
        <v>4660361776125.5918</v>
      </c>
      <c r="AA85" s="20">
        <v>5715444654075.7578</v>
      </c>
      <c r="AE85" s="20" t="s">
        <v>51</v>
      </c>
      <c r="AF85" s="20">
        <v>267000000000</v>
      </c>
      <c r="AG85" s="20">
        <v>1003035918538.426</v>
      </c>
      <c r="AH85" s="20">
        <v>2006042701615.604</v>
      </c>
      <c r="AI85" s="20">
        <v>3286416325570.8442</v>
      </c>
      <c r="AJ85" s="20">
        <v>4437181150624.9238</v>
      </c>
      <c r="AK85" s="20">
        <v>5066645378794.5068</v>
      </c>
    </row>
    <row r="86" spans="1:37" x14ac:dyDescent="0.25">
      <c r="A86" s="20" t="s">
        <v>0</v>
      </c>
      <c r="B86" s="20">
        <v>11.890499999999999</v>
      </c>
      <c r="C86" s="20">
        <v>10.490571551524621</v>
      </c>
      <c r="D86" s="20">
        <v>7.6282891562727393</v>
      </c>
      <c r="E86" s="20">
        <v>4.8481332494691323</v>
      </c>
      <c r="F86" s="20">
        <v>2.7757856094291999</v>
      </c>
      <c r="G86" s="20">
        <v>1.4537501795835379</v>
      </c>
      <c r="K86" s="20" t="s">
        <v>0</v>
      </c>
      <c r="L86" s="20">
        <v>11.890499999999999</v>
      </c>
      <c r="M86" s="20">
        <v>10.49220581201444</v>
      </c>
      <c r="N86" s="20">
        <v>7.6160785983872712</v>
      </c>
      <c r="O86" s="20">
        <v>4.8325407909779647</v>
      </c>
      <c r="P86" s="20">
        <v>2.7662606179225269</v>
      </c>
      <c r="Q86" s="20">
        <v>1.447660024375941</v>
      </c>
      <c r="U86" s="20" t="s">
        <v>0</v>
      </c>
      <c r="V86" s="20">
        <v>11.890499999999999</v>
      </c>
      <c r="W86" s="20">
        <v>10.48279926613826</v>
      </c>
      <c r="X86" s="20">
        <v>7.6106122726770282</v>
      </c>
      <c r="Y86" s="20">
        <v>4.8331353536956962</v>
      </c>
      <c r="Z86" s="20">
        <v>2.76233540392924</v>
      </c>
      <c r="AA86" s="20">
        <v>1.447232554238741</v>
      </c>
      <c r="AE86" s="20" t="s">
        <v>0</v>
      </c>
      <c r="AF86" s="20">
        <v>11.890499999999999</v>
      </c>
      <c r="AG86" s="20">
        <v>10.501118866082249</v>
      </c>
      <c r="AH86" s="20">
        <v>7.6113781704370851</v>
      </c>
      <c r="AI86" s="20">
        <v>4.8248112786992516</v>
      </c>
      <c r="AJ86" s="20">
        <v>2.7608948453553781</v>
      </c>
      <c r="AK86" s="20">
        <v>1.4536594309994759</v>
      </c>
    </row>
    <row r="87" spans="1:37" x14ac:dyDescent="0.25">
      <c r="A87" s="20" t="s">
        <v>1</v>
      </c>
      <c r="B87" s="20">
        <v>17.795100000000001</v>
      </c>
      <c r="C87" s="20">
        <v>29.296674394475382</v>
      </c>
      <c r="D87" s="20">
        <v>39.568098241727263</v>
      </c>
      <c r="E87" s="20">
        <v>46.736246583530857</v>
      </c>
      <c r="F87" s="20">
        <v>49.651855611570802</v>
      </c>
      <c r="G87" s="20">
        <v>48.285181270416473</v>
      </c>
      <c r="K87" s="20" t="s">
        <v>1</v>
      </c>
      <c r="L87" s="20">
        <v>17.795100000000001</v>
      </c>
      <c r="M87" s="20">
        <v>29.295040133985559</v>
      </c>
      <c r="N87" s="20">
        <v>39.580308799612723</v>
      </c>
      <c r="O87" s="20">
        <v>46.751839042022041</v>
      </c>
      <c r="P87" s="20">
        <v>49.661380603077482</v>
      </c>
      <c r="Q87" s="20">
        <v>48.291271425624068</v>
      </c>
      <c r="U87" s="20" t="s">
        <v>1</v>
      </c>
      <c r="V87" s="20">
        <v>17.795100000000001</v>
      </c>
      <c r="W87" s="20">
        <v>29.304446679861741</v>
      </c>
      <c r="X87" s="20">
        <v>39.585775125322968</v>
      </c>
      <c r="Y87" s="20">
        <v>46.751244479304297</v>
      </c>
      <c r="Z87" s="20">
        <v>49.66530581707076</v>
      </c>
      <c r="AA87" s="20">
        <v>48.291698895761257</v>
      </c>
      <c r="AE87" s="20" t="s">
        <v>1</v>
      </c>
      <c r="AF87" s="20">
        <v>17.795100000000001</v>
      </c>
      <c r="AG87" s="20">
        <v>29.28612707991774</v>
      </c>
      <c r="AH87" s="20">
        <v>39.585009227562907</v>
      </c>
      <c r="AI87" s="20">
        <v>46.759568554300749</v>
      </c>
      <c r="AJ87" s="20">
        <v>49.666746375644628</v>
      </c>
      <c r="AK87" s="20">
        <v>48.285272019000523</v>
      </c>
    </row>
    <row r="88" spans="1:37" x14ac:dyDescent="0.25">
      <c r="A88" s="20" t="s">
        <v>2</v>
      </c>
      <c r="B88" s="20">
        <v>29.685600000000001</v>
      </c>
      <c r="C88" s="20">
        <v>39.787245945999999</v>
      </c>
      <c r="D88" s="20">
        <v>47.196387397999999</v>
      </c>
      <c r="E88" s="20">
        <v>51.584379833</v>
      </c>
      <c r="F88" s="20">
        <v>52.427641221000002</v>
      </c>
      <c r="G88" s="20">
        <v>49.738931450000003</v>
      </c>
      <c r="K88" s="20" t="s">
        <v>2</v>
      </c>
      <c r="L88" s="20">
        <v>29.685600000000001</v>
      </c>
      <c r="M88" s="20">
        <v>39.787245945999999</v>
      </c>
      <c r="N88" s="20">
        <v>47.196387397999999</v>
      </c>
      <c r="O88" s="20">
        <v>51.584379833</v>
      </c>
      <c r="P88" s="20">
        <v>52.427641221000002</v>
      </c>
      <c r="Q88" s="20">
        <v>49.738931450000003</v>
      </c>
      <c r="U88" s="20" t="s">
        <v>2</v>
      </c>
      <c r="V88" s="20">
        <v>29.685600000000001</v>
      </c>
      <c r="W88" s="20">
        <v>39.787245945999999</v>
      </c>
      <c r="X88" s="20">
        <v>47.196387397999999</v>
      </c>
      <c r="Y88" s="20">
        <v>51.584379833</v>
      </c>
      <c r="Z88" s="20">
        <v>52.427641221000002</v>
      </c>
      <c r="AA88" s="20">
        <v>49.738931450000003</v>
      </c>
      <c r="AE88" s="20" t="s">
        <v>2</v>
      </c>
      <c r="AF88" s="20">
        <v>29.685600000000001</v>
      </c>
      <c r="AG88" s="20">
        <v>39.787245945999999</v>
      </c>
      <c r="AH88" s="20">
        <v>47.196387397999999</v>
      </c>
      <c r="AI88" s="20">
        <v>51.584379833</v>
      </c>
      <c r="AJ88" s="20">
        <v>52.427641221000002</v>
      </c>
      <c r="AK88" s="20">
        <v>49.738931450000003</v>
      </c>
    </row>
    <row r="89" spans="1:37" x14ac:dyDescent="0.25">
      <c r="A89" s="20" t="s">
        <v>3</v>
      </c>
      <c r="B89" s="20">
        <v>1.496581304402675</v>
      </c>
      <c r="C89" s="20">
        <v>2.792667134539264</v>
      </c>
      <c r="D89" s="20">
        <v>5.1870212876225894</v>
      </c>
      <c r="E89" s="20">
        <v>9.6400499282168983</v>
      </c>
      <c r="F89" s="20">
        <v>17.88749658579756</v>
      </c>
      <c r="G89" s="20">
        <v>33.214222050344937</v>
      </c>
      <c r="K89" s="20" t="s">
        <v>3</v>
      </c>
      <c r="L89" s="20">
        <v>1.496581304402675</v>
      </c>
      <c r="M89" s="20">
        <v>2.7920763906899668</v>
      </c>
      <c r="N89" s="20">
        <v>5.1969406943875267</v>
      </c>
      <c r="O89" s="20">
        <v>9.6743806341592897</v>
      </c>
      <c r="P89" s="20">
        <v>17.95253139972522</v>
      </c>
      <c r="Q89" s="20">
        <v>33.358157725216962</v>
      </c>
      <c r="U89" s="20" t="s">
        <v>3</v>
      </c>
      <c r="V89" s="20">
        <v>1.496581304402675</v>
      </c>
      <c r="W89" s="20">
        <v>2.7954791402446779</v>
      </c>
      <c r="X89" s="20">
        <v>5.2013916498466806</v>
      </c>
      <c r="Y89" s="20">
        <v>9.6730674930416729</v>
      </c>
      <c r="Z89" s="20">
        <v>17.97946250351248</v>
      </c>
      <c r="AA89" s="20">
        <v>33.368306119373607</v>
      </c>
      <c r="AE89" s="20" t="s">
        <v>3</v>
      </c>
      <c r="AF89" s="20">
        <v>1.496581304402675</v>
      </c>
      <c r="AG89" s="20">
        <v>2.78885778300344</v>
      </c>
      <c r="AH89" s="20">
        <v>5.2007676325048164</v>
      </c>
      <c r="AI89" s="20">
        <v>9.6914813561178139</v>
      </c>
      <c r="AJ89" s="20">
        <v>17.989365462142981</v>
      </c>
      <c r="AK89" s="20">
        <v>33.216357964809937</v>
      </c>
    </row>
    <row r="90" spans="1:37" x14ac:dyDescent="0.25">
      <c r="A90" s="20" t="s">
        <v>18</v>
      </c>
      <c r="B90" s="20">
        <v>12693901918.097731</v>
      </c>
      <c r="C90" s="20">
        <v>30906862078.86179</v>
      </c>
      <c r="D90" s="20">
        <v>50010672667.588112</v>
      </c>
      <c r="E90" s="20">
        <v>74407791978.295044</v>
      </c>
      <c r="F90" s="20">
        <v>101327943033.7661</v>
      </c>
      <c r="G90" s="20">
        <v>130029235993.8179</v>
      </c>
      <c r="K90" s="20" t="s">
        <v>18</v>
      </c>
      <c r="L90" s="20">
        <v>12693901918.097731</v>
      </c>
      <c r="M90" s="20">
        <v>30906793820.379391</v>
      </c>
      <c r="N90" s="20">
        <v>50056554380.327179</v>
      </c>
      <c r="O90" s="20">
        <v>74555373778.116165</v>
      </c>
      <c r="P90" s="20">
        <v>101731870030.0946</v>
      </c>
      <c r="Q90" s="20">
        <v>130896756049.9619</v>
      </c>
      <c r="U90" s="20" t="s">
        <v>18</v>
      </c>
      <c r="V90" s="20">
        <v>12693901918.097731</v>
      </c>
      <c r="W90" s="20">
        <v>30929935758.83181</v>
      </c>
      <c r="X90" s="20">
        <v>50058420760.776337</v>
      </c>
      <c r="Y90" s="20">
        <v>74593707206.547791</v>
      </c>
      <c r="Z90" s="20">
        <v>101744791973.82851</v>
      </c>
      <c r="AA90" s="20">
        <v>130873189519.9213</v>
      </c>
      <c r="AE90" s="20" t="s">
        <v>18</v>
      </c>
      <c r="AF90" s="20">
        <v>12693901918.097731</v>
      </c>
      <c r="AG90" s="20">
        <v>30906416204.716381</v>
      </c>
      <c r="AH90" s="20">
        <v>50084433754.332863</v>
      </c>
      <c r="AI90" s="20">
        <v>74598257565.509445</v>
      </c>
      <c r="AJ90" s="20">
        <v>101394820291.7695</v>
      </c>
      <c r="AK90" s="20">
        <v>128917729721.2946</v>
      </c>
    </row>
    <row r="91" spans="1:37" x14ac:dyDescent="0.25">
      <c r="A91" s="20" t="s">
        <v>19</v>
      </c>
      <c r="B91" s="20">
        <v>16550655338.802481</v>
      </c>
      <c r="C91" s="20">
        <v>39923700250.515846</v>
      </c>
      <c r="D91" s="20">
        <v>63984024324.541901</v>
      </c>
      <c r="E91" s="20">
        <v>94732174936.03949</v>
      </c>
      <c r="F91" s="20">
        <v>129005527111.782</v>
      </c>
      <c r="G91" s="20">
        <v>166360365796.9212</v>
      </c>
      <c r="K91" s="20" t="s">
        <v>19</v>
      </c>
      <c r="L91" s="20">
        <v>16550655338.802481</v>
      </c>
      <c r="M91" s="20">
        <v>39923612078.148682</v>
      </c>
      <c r="N91" s="20">
        <v>63729431289.074806</v>
      </c>
      <c r="O91" s="20">
        <v>93974130885.074234</v>
      </c>
      <c r="P91" s="20">
        <v>126915385875.25819</v>
      </c>
      <c r="Q91" s="20">
        <v>163299979632.59711</v>
      </c>
      <c r="U91" s="20" t="s">
        <v>19</v>
      </c>
      <c r="V91" s="20">
        <v>16550655338.802481</v>
      </c>
      <c r="W91" s="20">
        <v>39763697406.092056</v>
      </c>
      <c r="X91" s="20">
        <v>63731807468.699364</v>
      </c>
      <c r="Y91" s="20">
        <v>93542783435.275345</v>
      </c>
      <c r="Z91" s="20">
        <v>125595393700.3092</v>
      </c>
      <c r="AA91" s="20">
        <v>159806746739.07419</v>
      </c>
      <c r="AE91" s="20" t="s">
        <v>19</v>
      </c>
      <c r="AF91" s="20">
        <v>16550655338.802481</v>
      </c>
      <c r="AG91" s="20">
        <v>39923124296.034111</v>
      </c>
      <c r="AH91" s="20">
        <v>63448724239.86116</v>
      </c>
      <c r="AI91" s="20">
        <v>92577108765.52388</v>
      </c>
      <c r="AJ91" s="20">
        <v>122439420928.45</v>
      </c>
      <c r="AK91" s="20">
        <v>150302020144.20239</v>
      </c>
    </row>
    <row r="92" spans="1:37" x14ac:dyDescent="0.25">
      <c r="A92" s="20" t="s">
        <v>7</v>
      </c>
      <c r="B92" s="20">
        <v>17.474866370000001</v>
      </c>
      <c r="C92" s="20">
        <v>18.0549994</v>
      </c>
      <c r="D92" s="20">
        <v>18.325375709999999</v>
      </c>
      <c r="E92" s="20">
        <v>18.56457399</v>
      </c>
      <c r="F92" s="20">
        <v>18.554772239999998</v>
      </c>
      <c r="G92" s="20">
        <v>18.497632930000002</v>
      </c>
      <c r="K92" s="20" t="s">
        <v>7</v>
      </c>
      <c r="L92" s="20">
        <v>17.474866370000001</v>
      </c>
      <c r="M92" s="20">
        <v>18.038191579999999</v>
      </c>
      <c r="N92" s="20">
        <v>18.603739640000001</v>
      </c>
      <c r="O92" s="20">
        <v>19.164979110000001</v>
      </c>
      <c r="P92" s="20">
        <v>19.45193622</v>
      </c>
      <c r="Q92" s="20">
        <v>19.607758270000001</v>
      </c>
      <c r="U92" s="20" t="s">
        <v>7</v>
      </c>
      <c r="V92" s="20">
        <v>17.474866370000001</v>
      </c>
      <c r="W92" s="20">
        <v>18.23406022</v>
      </c>
      <c r="X92" s="20">
        <v>18.683535670000001</v>
      </c>
      <c r="Y92" s="20">
        <v>19.29096251</v>
      </c>
      <c r="Z92" s="20">
        <v>19.984736860000002</v>
      </c>
      <c r="AA92" s="20">
        <v>20.412206680000001</v>
      </c>
      <c r="AE92" s="20" t="s">
        <v>7</v>
      </c>
      <c r="AF92" s="20">
        <v>17.474866370000001</v>
      </c>
      <c r="AG92" s="20">
        <v>17.947823400000001</v>
      </c>
      <c r="AH92" s="20">
        <v>18.790946000000002</v>
      </c>
      <c r="AI92" s="20">
        <v>19.843035539999999</v>
      </c>
      <c r="AJ92" s="20">
        <v>21.022310900000001</v>
      </c>
      <c r="AK92" s="20">
        <v>22.185305060000001</v>
      </c>
    </row>
    <row r="93" spans="1:37" x14ac:dyDescent="0.25">
      <c r="A93" s="20" t="s">
        <v>52</v>
      </c>
      <c r="B93" s="20">
        <v>27.774387432326002</v>
      </c>
      <c r="C93" s="20">
        <v>28.284788472119999</v>
      </c>
      <c r="D93" s="20">
        <v>28.522665549658001</v>
      </c>
      <c r="E93" s="20">
        <v>28.733112196402001</v>
      </c>
      <c r="F93" s="20">
        <v>28.724488616752001</v>
      </c>
      <c r="G93" s="20">
        <v>28.674217451813998</v>
      </c>
      <c r="K93" s="20" t="s">
        <v>52</v>
      </c>
      <c r="L93" s="20">
        <v>27.774387432326002</v>
      </c>
      <c r="M93" s="20">
        <v>28.270000952084001</v>
      </c>
      <c r="N93" s="20">
        <v>28.767570135271999</v>
      </c>
      <c r="O93" s="20">
        <v>29.261348620978001</v>
      </c>
      <c r="P93" s="20">
        <v>29.513813486356</v>
      </c>
      <c r="Q93" s="20">
        <v>29.650905725946</v>
      </c>
      <c r="U93" s="20" t="s">
        <v>52</v>
      </c>
      <c r="V93" s="20">
        <v>27.774387432326002</v>
      </c>
      <c r="W93" s="20">
        <v>28.442326181555998</v>
      </c>
      <c r="X93" s="20">
        <v>28.837774682466009</v>
      </c>
      <c r="Y93" s="20">
        <v>29.372188816297999</v>
      </c>
      <c r="Z93" s="20">
        <v>29.982571489428</v>
      </c>
      <c r="AA93" s="20">
        <v>30.358659437063999</v>
      </c>
      <c r="AE93" s="20" t="s">
        <v>52</v>
      </c>
      <c r="AF93" s="20">
        <v>27.774387432326002</v>
      </c>
      <c r="AG93" s="20">
        <v>28.190495027320001</v>
      </c>
      <c r="AH93" s="20">
        <v>28.932274290799999</v>
      </c>
      <c r="AI93" s="20">
        <v>29.857902668091999</v>
      </c>
      <c r="AJ93" s="20">
        <v>30.895429129819998</v>
      </c>
      <c r="AK93" s="20">
        <v>31.918631391788001</v>
      </c>
    </row>
    <row r="94" spans="1:37" x14ac:dyDescent="0.25">
      <c r="A94" s="20" t="s">
        <v>4</v>
      </c>
      <c r="B94" s="20">
        <v>0.91305087301969401</v>
      </c>
      <c r="C94" s="20">
        <v>0.94126389086179651</v>
      </c>
      <c r="D94" s="20">
        <v>0.95273413581759669</v>
      </c>
      <c r="E94" s="20">
        <v>0.96199191467965273</v>
      </c>
      <c r="F94" s="20">
        <v>0.96162896790859476</v>
      </c>
      <c r="G94" s="20">
        <v>0.95948524714495109</v>
      </c>
      <c r="K94" s="20" t="s">
        <v>4</v>
      </c>
      <c r="L94" s="20">
        <v>0.91305087301969401</v>
      </c>
      <c r="M94" s="20">
        <v>0.94051561165948439</v>
      </c>
      <c r="N94" s="20">
        <v>0.9634281703917762</v>
      </c>
      <c r="O94" s="20">
        <v>0.98154966858682346</v>
      </c>
      <c r="P94" s="20">
        <v>0.98903824999927981</v>
      </c>
      <c r="Q94" s="20">
        <v>0.99260100122429984</v>
      </c>
      <c r="U94" s="20" t="s">
        <v>4</v>
      </c>
      <c r="V94" s="20">
        <v>0.91305087301969401</v>
      </c>
      <c r="W94" s="20">
        <v>0.94897959738191817</v>
      </c>
      <c r="X94" s="20">
        <v>0.96628509889521474</v>
      </c>
      <c r="Y94" s="20">
        <v>0.98498544077575323</v>
      </c>
      <c r="Z94" s="20">
        <v>0.99975408912686881</v>
      </c>
      <c r="AA94" s="20">
        <v>1.005354932146632</v>
      </c>
      <c r="AE94" s="20" t="s">
        <v>4</v>
      </c>
      <c r="AF94" s="20">
        <v>0.91305087301969401</v>
      </c>
      <c r="AG94" s="20">
        <v>0.93642174417761037</v>
      </c>
      <c r="AH94" s="20">
        <v>0.96998391150311303</v>
      </c>
      <c r="AI94" s="20">
        <v>0.99730871239556729</v>
      </c>
      <c r="AJ94" s="20">
        <v>1.00872760149331</v>
      </c>
      <c r="AK94" s="20">
        <v>1.00010330606159</v>
      </c>
    </row>
    <row r="95" spans="1:37" x14ac:dyDescent="0.25">
      <c r="A95" s="20" t="s">
        <v>5</v>
      </c>
      <c r="B95" s="20">
        <v>0.99563611390647888</v>
      </c>
      <c r="C95" s="20">
        <v>0.99463904433179928</v>
      </c>
      <c r="D95" s="20">
        <v>0.99364544850088676</v>
      </c>
      <c r="E95" s="20">
        <v>0.99248608211057576</v>
      </c>
      <c r="F95" s="20">
        <v>0.99253876157996834</v>
      </c>
      <c r="G95" s="20">
        <v>0.99283705917005327</v>
      </c>
      <c r="K95" s="20" t="s">
        <v>5</v>
      </c>
      <c r="L95" s="20">
        <v>0.99563611390647888</v>
      </c>
      <c r="M95" s="20">
        <v>0.99468970880339935</v>
      </c>
      <c r="N95" s="20">
        <v>0.99227117543631316</v>
      </c>
      <c r="O95" s="20">
        <v>0.98841655294050634</v>
      </c>
      <c r="P95" s="20">
        <v>0.9858859053740201</v>
      </c>
      <c r="Q95" s="20">
        <v>0.98435303753806735</v>
      </c>
      <c r="U95" s="20" t="s">
        <v>5</v>
      </c>
      <c r="V95" s="20">
        <v>0.99563611390647888</v>
      </c>
      <c r="W95" s="20">
        <v>0.99401862775485128</v>
      </c>
      <c r="X95" s="20">
        <v>0.99181149179602657</v>
      </c>
      <c r="Y95" s="20">
        <v>0.98735216130688142</v>
      </c>
      <c r="Z95" s="20">
        <v>0.980182621864082</v>
      </c>
      <c r="AA95" s="20">
        <v>0.97466271684181582</v>
      </c>
      <c r="AE95" s="20" t="s">
        <v>5</v>
      </c>
      <c r="AF95" s="20">
        <v>0.99563611390647888</v>
      </c>
      <c r="AG95" s="20">
        <v>0.99493983296554867</v>
      </c>
      <c r="AH95" s="20">
        <v>0.99114648137769323</v>
      </c>
      <c r="AI95" s="20">
        <v>0.98182690648408288</v>
      </c>
      <c r="AJ95" s="20">
        <v>0.96532849417460498</v>
      </c>
      <c r="AK95" s="20">
        <v>0.94279255540789841</v>
      </c>
    </row>
    <row r="96" spans="1:37" x14ac:dyDescent="0.25">
      <c r="A96" s="20" t="s">
        <v>20</v>
      </c>
      <c r="B96" s="20">
        <v>0.96439833420871968</v>
      </c>
      <c r="C96" s="20">
        <v>0.95269766517752652</v>
      </c>
      <c r="D96" s="20">
        <v>0.93947441413050536</v>
      </c>
      <c r="E96" s="20">
        <v>0.93231395090361513</v>
      </c>
      <c r="F96" s="20">
        <v>0.93231395090361513</v>
      </c>
      <c r="G96" s="20">
        <v>0.93947441413050536</v>
      </c>
      <c r="K96" s="20" t="s">
        <v>20</v>
      </c>
      <c r="L96" s="20">
        <v>0.96439833420871968</v>
      </c>
      <c r="M96" s="20">
        <v>0.95269766517752652</v>
      </c>
      <c r="N96" s="20">
        <v>0.93231395090361513</v>
      </c>
      <c r="O96" s="20">
        <v>0.91693862656807257</v>
      </c>
      <c r="P96" s="20">
        <v>0.90022563327805616</v>
      </c>
      <c r="Q96" s="20">
        <v>0.90022563327805616</v>
      </c>
      <c r="U96" s="20" t="s">
        <v>20</v>
      </c>
      <c r="V96" s="20">
        <v>0.96439833420871968</v>
      </c>
      <c r="W96" s="20">
        <v>0.94627095271536965</v>
      </c>
      <c r="X96" s="20">
        <v>0.93231395090361513</v>
      </c>
      <c r="Y96" s="20">
        <v>0.9087454042219193</v>
      </c>
      <c r="Z96" s="20">
        <v>0.88225365744265238</v>
      </c>
      <c r="AA96" s="20">
        <v>0.86311515559253815</v>
      </c>
      <c r="AE96" s="20" t="s">
        <v>20</v>
      </c>
      <c r="AF96" s="20">
        <v>0.96439833420871968</v>
      </c>
      <c r="AG96" s="20">
        <v>0.95269766517752652</v>
      </c>
      <c r="AH96" s="20">
        <v>0.92479939883583451</v>
      </c>
      <c r="AI96" s="20">
        <v>0.89139111669784621</v>
      </c>
      <c r="AJ96" s="20">
        <v>0.84289864993793617</v>
      </c>
      <c r="AK96" s="20">
        <v>0.77676075594033223</v>
      </c>
    </row>
    <row r="97" spans="1:37" x14ac:dyDescent="0.25">
      <c r="A97" s="20" t="s">
        <v>21</v>
      </c>
      <c r="B97" s="20">
        <v>0.99844694181596516</v>
      </c>
      <c r="C97" s="20">
        <v>0.99556088418081246</v>
      </c>
      <c r="D97" s="20">
        <v>0.99120776832621305</v>
      </c>
      <c r="E97" s="20">
        <v>0.98848865179879042</v>
      </c>
      <c r="F97" s="20">
        <v>0.98848865179879042</v>
      </c>
      <c r="G97" s="20">
        <v>0.99120776832621305</v>
      </c>
      <c r="K97" s="20" t="s">
        <v>21</v>
      </c>
      <c r="L97" s="20">
        <v>0.99844694181596516</v>
      </c>
      <c r="M97" s="20">
        <v>0.99556088418081246</v>
      </c>
      <c r="N97" s="20">
        <v>0.98848865179879042</v>
      </c>
      <c r="O97" s="20">
        <v>0.98197288977586894</v>
      </c>
      <c r="P97" s="20">
        <v>0.97405330480158026</v>
      </c>
      <c r="Q97" s="20">
        <v>0.97405330480158026</v>
      </c>
      <c r="U97" s="20" t="s">
        <v>21</v>
      </c>
      <c r="V97" s="20">
        <v>0.99844694181596516</v>
      </c>
      <c r="W97" s="20">
        <v>0.99356517912022047</v>
      </c>
      <c r="X97" s="20">
        <v>0.98848865179879042</v>
      </c>
      <c r="Y97" s="20">
        <v>0.97818889133398601</v>
      </c>
      <c r="Z97" s="20">
        <v>0.96476277921532627</v>
      </c>
      <c r="AA97" s="20">
        <v>0.95414178358867729</v>
      </c>
      <c r="AE97" s="20" t="s">
        <v>21</v>
      </c>
      <c r="AF97" s="20">
        <v>0.99844694181596516</v>
      </c>
      <c r="AG97" s="20">
        <v>0.99556088418081246</v>
      </c>
      <c r="AH97" s="20">
        <v>0.98540782953795247</v>
      </c>
      <c r="AI97" s="20">
        <v>0.96957624782154495</v>
      </c>
      <c r="AJ97" s="20">
        <v>0.94223331790392795</v>
      </c>
      <c r="AK97" s="20">
        <v>0.8993395708601768</v>
      </c>
    </row>
    <row r="98" spans="1:37" x14ac:dyDescent="0.25">
      <c r="A98" s="20" t="s">
        <v>10</v>
      </c>
      <c r="B98" s="20">
        <v>0.9515819628126353</v>
      </c>
      <c r="C98" s="20">
        <v>0.14618587769492419</v>
      </c>
      <c r="D98" s="20">
        <v>1.6346232350233109E-2</v>
      </c>
      <c r="E98" s="20">
        <v>1.680652226902747E-3</v>
      </c>
      <c r="F98" s="20">
        <v>1.581587161347775E-4</v>
      </c>
      <c r="G98" s="20">
        <v>1.402521028400824E-5</v>
      </c>
      <c r="K98" s="20" t="s">
        <v>10</v>
      </c>
      <c r="L98" s="20">
        <v>0.9515819628126353</v>
      </c>
      <c r="M98" s="20">
        <v>0.14618555484020879</v>
      </c>
      <c r="N98" s="20">
        <v>1.6361229011886601E-2</v>
      </c>
      <c r="O98" s="20">
        <v>1.683985663817419E-3</v>
      </c>
      <c r="P98" s="20">
        <v>1.587891895583838E-4</v>
      </c>
      <c r="Q98" s="20">
        <v>1.411878271116294E-5</v>
      </c>
      <c r="U98" s="20" t="s">
        <v>10</v>
      </c>
      <c r="V98" s="20">
        <v>0.9515819628126353</v>
      </c>
      <c r="W98" s="20">
        <v>0.14629501352856081</v>
      </c>
      <c r="X98" s="20">
        <v>1.636183904744198E-2</v>
      </c>
      <c r="Y98" s="20">
        <v>1.684851502732209E-3</v>
      </c>
      <c r="Z98" s="20">
        <v>1.588093589013087E-4</v>
      </c>
      <c r="AA98" s="20">
        <v>1.411624077867402E-5</v>
      </c>
      <c r="AE98" s="20" t="s">
        <v>10</v>
      </c>
      <c r="AF98" s="20">
        <v>0.9515819628126353</v>
      </c>
      <c r="AG98" s="20">
        <v>0.1461837687618619</v>
      </c>
      <c r="AH98" s="20">
        <v>1.637034152129644E-2</v>
      </c>
      <c r="AI98" s="20">
        <v>1.6849542818998041E-3</v>
      </c>
      <c r="AJ98" s="20">
        <v>1.582631021604654E-4</v>
      </c>
      <c r="AK98" s="20">
        <v>1.390532102152826E-5</v>
      </c>
    </row>
    <row r="99" spans="1:37" x14ac:dyDescent="0.25">
      <c r="A99" s="20" t="s">
        <v>12</v>
      </c>
      <c r="B99" s="20">
        <v>0.8649398558400585</v>
      </c>
      <c r="C99" s="20">
        <v>1.7024511784720231</v>
      </c>
      <c r="D99" s="20">
        <v>2.236083188296087</v>
      </c>
      <c r="E99" s="20">
        <v>2.7132289179430522</v>
      </c>
      <c r="F99" s="20">
        <v>3.028096915622259</v>
      </c>
      <c r="G99" s="20">
        <v>3.2002495428568412</v>
      </c>
      <c r="K99" s="20" t="s">
        <v>12</v>
      </c>
      <c r="L99" s="20">
        <v>0.8649398558400585</v>
      </c>
      <c r="M99" s="20">
        <v>1.7024474185712759</v>
      </c>
      <c r="N99" s="20">
        <v>2.2271857922276932</v>
      </c>
      <c r="O99" s="20">
        <v>2.6915177407053039</v>
      </c>
      <c r="P99" s="20">
        <v>2.9790358375953589</v>
      </c>
      <c r="Q99" s="20">
        <v>3.141377350694802</v>
      </c>
      <c r="U99" s="20" t="s">
        <v>12</v>
      </c>
      <c r="V99" s="20">
        <v>0.8649398558400585</v>
      </c>
      <c r="W99" s="20">
        <v>1.6956282379795611</v>
      </c>
      <c r="X99" s="20">
        <v>2.2272688338207609</v>
      </c>
      <c r="Y99" s="20">
        <v>2.6791634970149691</v>
      </c>
      <c r="Z99" s="20">
        <v>2.9480521710572192</v>
      </c>
      <c r="AA99" s="20">
        <v>3.074178550565716</v>
      </c>
      <c r="AE99" s="20" t="s">
        <v>12</v>
      </c>
      <c r="AF99" s="20">
        <v>0.8649398558400585</v>
      </c>
      <c r="AG99" s="20">
        <v>1.7024266182639249</v>
      </c>
      <c r="AH99" s="20">
        <v>2.2173757760524189</v>
      </c>
      <c r="AI99" s="20">
        <v>2.6515055609329168</v>
      </c>
      <c r="AJ99" s="20">
        <v>2.8739732410283221</v>
      </c>
      <c r="AK99" s="20">
        <v>2.8913375427661232</v>
      </c>
    </row>
    <row r="100" spans="1:37" x14ac:dyDescent="0.25">
      <c r="A100" s="20" t="s">
        <v>11</v>
      </c>
      <c r="B100" s="20">
        <v>152969731967.8754</v>
      </c>
      <c r="C100" s="20">
        <v>2113020671129.759</v>
      </c>
      <c r="D100" s="20">
        <v>21925885009390.23</v>
      </c>
      <c r="E100" s="20">
        <v>200113916898138</v>
      </c>
      <c r="F100" s="20">
        <v>1657998748784152</v>
      </c>
      <c r="G100" s="20">
        <v>1.266211832551573E+16</v>
      </c>
      <c r="K100" s="20" t="s">
        <v>11</v>
      </c>
      <c r="L100" s="20">
        <v>152969731967.8754</v>
      </c>
      <c r="M100" s="20">
        <v>2113349845396.3879</v>
      </c>
      <c r="N100" s="20">
        <v>21723941695256.691</v>
      </c>
      <c r="O100" s="20">
        <v>196180735540538.19</v>
      </c>
      <c r="P100" s="20">
        <v>1595440324376911</v>
      </c>
      <c r="Q100" s="20">
        <v>1.208229920320066E+16</v>
      </c>
      <c r="U100" s="20" t="s">
        <v>11</v>
      </c>
      <c r="V100" s="20">
        <v>152969731967.8754</v>
      </c>
      <c r="W100" s="20">
        <v>2097211705807.73</v>
      </c>
      <c r="X100" s="20">
        <v>21708349663283.48</v>
      </c>
      <c r="Y100" s="20">
        <v>194451701345288.5</v>
      </c>
      <c r="Z100" s="20">
        <v>1561370510872023</v>
      </c>
      <c r="AA100" s="20">
        <v>1.158080355871015E+16</v>
      </c>
      <c r="AE100" s="20" t="s">
        <v>11</v>
      </c>
      <c r="AF100" s="20">
        <v>152969731967.8754</v>
      </c>
      <c r="AG100" s="20">
        <v>2115145121029.9121</v>
      </c>
      <c r="AH100" s="20">
        <v>21535545020987.16</v>
      </c>
      <c r="AI100" s="20">
        <v>190409755058388.41</v>
      </c>
      <c r="AJ100" s="20">
        <v>1490943959313944</v>
      </c>
      <c r="AK100" s="20">
        <v>1.046843052802773E+16</v>
      </c>
    </row>
    <row r="101" spans="1:37" x14ac:dyDescent="0.25">
      <c r="A101" s="20" t="s">
        <v>13</v>
      </c>
      <c r="B101" s="20">
        <v>339981048690.66803</v>
      </c>
      <c r="C101" s="20">
        <v>683978214024.84717</v>
      </c>
      <c r="D101" s="20">
        <v>1122259963570.574</v>
      </c>
      <c r="E101" s="20">
        <v>1613008254716.522</v>
      </c>
      <c r="F101" s="20">
        <v>2090959968773</v>
      </c>
      <c r="G101" s="20">
        <v>2487966828009.4971</v>
      </c>
      <c r="K101" s="20" t="s">
        <v>13</v>
      </c>
      <c r="L101" s="20">
        <v>339981048690.66803</v>
      </c>
      <c r="M101" s="20">
        <v>683940059572.36475</v>
      </c>
      <c r="N101" s="20">
        <v>1119526714897.9761</v>
      </c>
      <c r="O101" s="20">
        <v>1602910479200.9309</v>
      </c>
      <c r="P101" s="20">
        <v>2060819997082.583</v>
      </c>
      <c r="Q101" s="20">
        <v>2445216886668.7241</v>
      </c>
      <c r="U101" s="20" t="s">
        <v>13</v>
      </c>
      <c r="V101" s="20">
        <v>339981048690.66803</v>
      </c>
      <c r="W101" s="20">
        <v>682788201562.32544</v>
      </c>
      <c r="X101" s="20">
        <v>1119681329600.3511</v>
      </c>
      <c r="Y101" s="20">
        <v>1596713412982.3899</v>
      </c>
      <c r="Z101" s="20">
        <v>2041325217731.188</v>
      </c>
      <c r="AA101" s="20">
        <v>2395253157357.5059</v>
      </c>
      <c r="AE101" s="20" t="s">
        <v>13</v>
      </c>
      <c r="AF101" s="20">
        <v>339981048690.66803</v>
      </c>
      <c r="AG101" s="20">
        <v>683731969919.56921</v>
      </c>
      <c r="AH101" s="20">
        <v>1116170023308.0779</v>
      </c>
      <c r="AI101" s="20">
        <v>1582936649105.876</v>
      </c>
      <c r="AJ101" s="20">
        <v>1993713338914.1589</v>
      </c>
      <c r="AK101" s="20">
        <v>2257378620497.103</v>
      </c>
    </row>
    <row r="102" spans="1:37" x14ac:dyDescent="0.25">
      <c r="A102" s="20" t="s">
        <v>22</v>
      </c>
      <c r="B102" s="20">
        <v>5152994447.4046478</v>
      </c>
      <c r="C102" s="20">
        <v>25211337539.50658</v>
      </c>
      <c r="D102" s="20">
        <v>43112569238.389717</v>
      </c>
      <c r="E102" s="20">
        <v>66459239473.822548</v>
      </c>
      <c r="F102" s="20">
        <v>93546140581.282776</v>
      </c>
      <c r="G102" s="20">
        <v>124265324794.73759</v>
      </c>
      <c r="K102" s="20" t="s">
        <v>22</v>
      </c>
      <c r="L102" s="20">
        <v>5152994447.4046478</v>
      </c>
      <c r="M102" s="20">
        <v>25211128826.61071</v>
      </c>
      <c r="N102" s="20">
        <v>42824996426.865303</v>
      </c>
      <c r="O102" s="20">
        <v>65496153033.118057</v>
      </c>
      <c r="P102" s="20">
        <v>90689385524.626907</v>
      </c>
      <c r="Q102" s="20">
        <v>119870891774.88921</v>
      </c>
      <c r="U102" s="20" t="s">
        <v>22</v>
      </c>
      <c r="V102" s="20">
        <v>5152994447.4046478</v>
      </c>
      <c r="W102" s="20">
        <v>25060684858.310711</v>
      </c>
      <c r="X102" s="20">
        <v>42827385464.9459</v>
      </c>
      <c r="Y102" s="20">
        <v>64944168370.412529</v>
      </c>
      <c r="Z102" s="20">
        <v>88891311292.84668</v>
      </c>
      <c r="AA102" s="20">
        <v>114908874948.81551</v>
      </c>
      <c r="AE102" s="20" t="s">
        <v>22</v>
      </c>
      <c r="AF102" s="20">
        <v>5152994447.4046478</v>
      </c>
      <c r="AG102" s="20">
        <v>25209986132.23357</v>
      </c>
      <c r="AH102" s="20">
        <v>42504157886.046417</v>
      </c>
      <c r="AI102" s="20">
        <v>63709524786.579483</v>
      </c>
      <c r="AJ102" s="20">
        <v>84634384597.253281</v>
      </c>
      <c r="AK102" s="20">
        <v>101864781391.36839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499984740745262"/>
  </sheetPr>
  <dimension ref="A1:W136"/>
  <sheetViews>
    <sheetView zoomScale="55" zoomScaleNormal="55" workbookViewId="0">
      <selection activeCell="U29" sqref="U29:AD48"/>
    </sheetView>
  </sheetViews>
  <sheetFormatPr defaultColWidth="9.140625" defaultRowHeight="15" x14ac:dyDescent="0.25"/>
  <cols>
    <col min="1" max="1" width="5.7109375" style="72" customWidth="1"/>
    <col min="2" max="10" width="9.140625" style="20"/>
    <col min="11" max="11" width="5.7109375" style="72" customWidth="1"/>
    <col min="12" max="16384" width="9.140625" style="20"/>
  </cols>
  <sheetData>
    <row r="1" spans="1:22" ht="15" customHeight="1" x14ac:dyDescent="0.25">
      <c r="A1" s="110" t="s">
        <v>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6"/>
      <c r="V1" s="20" t="s">
        <v>34</v>
      </c>
    </row>
    <row r="2" spans="1:22" ht="15" customHeight="1" x14ac:dyDescent="0.25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6"/>
      <c r="V2" s="20" t="s">
        <v>35</v>
      </c>
    </row>
    <row r="3" spans="1:22" ht="15" customHeight="1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6"/>
      <c r="V3" s="20" t="s">
        <v>36</v>
      </c>
    </row>
    <row r="4" spans="1:22" ht="15" customHeight="1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6"/>
      <c r="V4" s="20" t="s">
        <v>37</v>
      </c>
    </row>
    <row r="5" spans="1:22" ht="15" customHeight="1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6"/>
    </row>
    <row r="6" spans="1:22" ht="15" customHeight="1" x14ac:dyDescent="0.25">
      <c r="A6" s="69"/>
      <c r="B6" s="22"/>
      <c r="C6" s="22"/>
      <c r="D6" s="22"/>
      <c r="E6" s="22"/>
      <c r="F6" s="22"/>
      <c r="G6" s="22"/>
      <c r="H6" s="22"/>
      <c r="I6" s="22"/>
      <c r="J6" s="22"/>
      <c r="K6" s="69"/>
      <c r="L6" s="22"/>
      <c r="M6" s="22"/>
      <c r="N6" s="22"/>
      <c r="O6" s="22"/>
      <c r="P6" s="22"/>
      <c r="Q6" s="22"/>
      <c r="R6" s="22"/>
      <c r="S6" s="22"/>
      <c r="T6" s="22"/>
      <c r="U6" s="16"/>
    </row>
    <row r="7" spans="1:22" x14ac:dyDescent="0.25">
      <c r="A7" s="70"/>
      <c r="B7" s="17"/>
      <c r="C7" s="17"/>
      <c r="D7" s="17"/>
      <c r="E7" s="17"/>
      <c r="F7" s="17"/>
      <c r="G7" s="17"/>
      <c r="H7" s="17"/>
      <c r="I7" s="17"/>
      <c r="J7" s="17"/>
      <c r="K7" s="70"/>
      <c r="L7" s="17"/>
      <c r="M7" s="17"/>
      <c r="N7" s="17"/>
      <c r="O7" s="17"/>
      <c r="P7" s="17"/>
      <c r="Q7" s="17"/>
      <c r="R7" s="17"/>
      <c r="S7" s="17"/>
      <c r="T7" s="17"/>
      <c r="U7" s="16"/>
    </row>
    <row r="8" spans="1:22" x14ac:dyDescent="0.25">
      <c r="A8" s="70"/>
      <c r="B8" s="17"/>
      <c r="C8" s="17"/>
      <c r="D8" s="17"/>
      <c r="E8" s="17"/>
      <c r="F8" s="17"/>
      <c r="G8" s="17"/>
      <c r="H8" s="17"/>
      <c r="I8" s="17"/>
      <c r="J8" s="17"/>
      <c r="K8" s="70"/>
      <c r="L8" s="17"/>
      <c r="M8" s="17"/>
      <c r="N8" s="17"/>
      <c r="O8" s="17"/>
      <c r="P8" s="17"/>
      <c r="Q8" s="17"/>
      <c r="R8" s="17"/>
      <c r="S8" s="17"/>
      <c r="T8" s="17"/>
      <c r="U8" s="16"/>
    </row>
    <row r="9" spans="1:22" ht="15" customHeight="1" x14ac:dyDescent="0.25">
      <c r="A9" s="109" t="s">
        <v>63</v>
      </c>
      <c r="B9" s="17"/>
      <c r="C9" s="17"/>
      <c r="D9" s="17"/>
      <c r="E9" s="17"/>
      <c r="F9" s="17"/>
      <c r="G9" s="17"/>
      <c r="H9" s="17"/>
      <c r="I9" s="17"/>
      <c r="J9" s="17"/>
      <c r="K9" s="109" t="s">
        <v>64</v>
      </c>
      <c r="L9" s="17"/>
      <c r="M9" s="17"/>
      <c r="N9" s="17"/>
      <c r="O9" s="17"/>
      <c r="P9" s="17"/>
      <c r="Q9" s="17"/>
      <c r="R9" s="17"/>
      <c r="S9" s="17"/>
      <c r="T9" s="17"/>
      <c r="U9" s="109" t="s">
        <v>38</v>
      </c>
    </row>
    <row r="10" spans="1:22" x14ac:dyDescent="0.25">
      <c r="A10" s="109"/>
      <c r="B10" s="17"/>
      <c r="C10" s="17"/>
      <c r="D10" s="17"/>
      <c r="E10" s="17"/>
      <c r="F10" s="17"/>
      <c r="G10" s="17"/>
      <c r="H10" s="17"/>
      <c r="I10" s="17"/>
      <c r="J10" s="17"/>
      <c r="K10" s="109"/>
      <c r="L10" s="17"/>
      <c r="M10" s="17"/>
      <c r="N10" s="17"/>
      <c r="O10" s="17"/>
      <c r="P10" s="17"/>
      <c r="Q10" s="17"/>
      <c r="R10" s="17"/>
      <c r="S10" s="17"/>
      <c r="T10" s="17"/>
      <c r="U10" s="109"/>
    </row>
    <row r="11" spans="1:22" x14ac:dyDescent="0.25">
      <c r="A11" s="109"/>
      <c r="B11" s="17"/>
      <c r="C11" s="17"/>
      <c r="D11" s="17"/>
      <c r="E11" s="17"/>
      <c r="F11" s="17"/>
      <c r="G11" s="17"/>
      <c r="H11" s="17"/>
      <c r="I11" s="17"/>
      <c r="J11" s="17"/>
      <c r="K11" s="109"/>
      <c r="L11" s="17"/>
      <c r="M11" s="17"/>
      <c r="N11" s="17"/>
      <c r="O11" s="17"/>
      <c r="P11" s="17"/>
      <c r="Q11" s="17"/>
      <c r="R11" s="17"/>
      <c r="S11" s="17"/>
      <c r="T11" s="17"/>
      <c r="U11" s="109"/>
    </row>
    <row r="12" spans="1:22" x14ac:dyDescent="0.25">
      <c r="A12" s="109"/>
      <c r="B12" s="17"/>
      <c r="C12" s="17"/>
      <c r="D12" s="17"/>
      <c r="E12" s="17"/>
      <c r="F12" s="17"/>
      <c r="G12" s="17"/>
      <c r="H12" s="17"/>
      <c r="I12" s="17"/>
      <c r="J12" s="17"/>
      <c r="K12" s="109"/>
      <c r="L12" s="17"/>
      <c r="M12" s="17"/>
      <c r="N12" s="17"/>
      <c r="O12" s="17"/>
      <c r="P12" s="17"/>
      <c r="Q12" s="17"/>
      <c r="R12" s="17"/>
      <c r="S12" s="17"/>
      <c r="T12" s="17"/>
      <c r="U12" s="109"/>
    </row>
    <row r="13" spans="1:22" x14ac:dyDescent="0.25">
      <c r="A13" s="109"/>
      <c r="B13" s="17"/>
      <c r="C13" s="17"/>
      <c r="D13" s="17"/>
      <c r="E13" s="17"/>
      <c r="F13" s="17"/>
      <c r="G13" s="17"/>
      <c r="H13" s="17"/>
      <c r="I13" s="17"/>
      <c r="J13" s="17"/>
      <c r="K13" s="109"/>
      <c r="L13" s="17"/>
      <c r="M13" s="17"/>
      <c r="N13" s="17"/>
      <c r="O13" s="17"/>
      <c r="P13" s="17"/>
      <c r="Q13" s="17"/>
      <c r="R13" s="17"/>
      <c r="S13" s="17"/>
      <c r="T13" s="17"/>
      <c r="U13" s="109"/>
    </row>
    <row r="14" spans="1:22" x14ac:dyDescent="0.25">
      <c r="A14" s="109"/>
      <c r="B14" s="17"/>
      <c r="C14" s="17"/>
      <c r="D14" s="17"/>
      <c r="E14" s="17"/>
      <c r="F14" s="17"/>
      <c r="G14" s="17"/>
      <c r="H14" s="17"/>
      <c r="I14" s="17"/>
      <c r="J14" s="17"/>
      <c r="K14" s="109"/>
      <c r="L14" s="17"/>
      <c r="M14" s="17"/>
      <c r="N14" s="17"/>
      <c r="O14" s="17"/>
      <c r="P14" s="17"/>
      <c r="Q14" s="17"/>
      <c r="R14" s="17"/>
      <c r="S14" s="17"/>
      <c r="T14" s="17"/>
      <c r="U14" s="109"/>
    </row>
    <row r="15" spans="1:22" x14ac:dyDescent="0.25">
      <c r="A15" s="109"/>
      <c r="B15" s="17"/>
      <c r="C15" s="17"/>
      <c r="D15" s="17"/>
      <c r="E15" s="17"/>
      <c r="F15" s="17"/>
      <c r="G15" s="17"/>
      <c r="H15" s="17"/>
      <c r="I15" s="17"/>
      <c r="J15" s="17"/>
      <c r="K15" s="109"/>
      <c r="L15" s="17"/>
      <c r="M15" s="17"/>
      <c r="N15" s="17"/>
      <c r="O15" s="17"/>
      <c r="P15" s="17"/>
      <c r="Q15" s="17"/>
      <c r="R15" s="17"/>
      <c r="S15" s="17"/>
      <c r="T15" s="17"/>
      <c r="U15" s="109"/>
    </row>
    <row r="16" spans="1:22" x14ac:dyDescent="0.25">
      <c r="A16" s="109"/>
      <c r="B16" s="17"/>
      <c r="C16" s="17"/>
      <c r="D16" s="17"/>
      <c r="E16" s="17"/>
      <c r="F16" s="17"/>
      <c r="G16" s="17"/>
      <c r="H16" s="17"/>
      <c r="I16" s="17"/>
      <c r="J16" s="17"/>
      <c r="K16" s="109"/>
      <c r="L16" s="17"/>
      <c r="M16" s="17"/>
      <c r="N16" s="17"/>
      <c r="O16" s="17"/>
      <c r="P16" s="17"/>
      <c r="Q16" s="17"/>
      <c r="R16" s="17"/>
      <c r="S16" s="17"/>
      <c r="T16" s="17"/>
      <c r="U16" s="109"/>
    </row>
    <row r="17" spans="1:21" x14ac:dyDescent="0.25">
      <c r="A17" s="109"/>
      <c r="B17" s="17"/>
      <c r="C17" s="17"/>
      <c r="D17" s="17"/>
      <c r="E17" s="17"/>
      <c r="F17" s="17"/>
      <c r="G17" s="17"/>
      <c r="H17" s="17"/>
      <c r="I17" s="17"/>
      <c r="J17" s="17"/>
      <c r="K17" s="109"/>
      <c r="L17" s="17"/>
      <c r="M17" s="17"/>
      <c r="N17" s="17"/>
      <c r="O17" s="17"/>
      <c r="P17" s="17"/>
      <c r="Q17" s="17"/>
      <c r="R17" s="17"/>
      <c r="S17" s="17"/>
      <c r="T17" s="17"/>
      <c r="U17" s="109"/>
    </row>
    <row r="18" spans="1:21" x14ac:dyDescent="0.25">
      <c r="A18" s="109"/>
      <c r="B18" s="17"/>
      <c r="C18" s="17"/>
      <c r="D18" s="17"/>
      <c r="E18" s="17"/>
      <c r="F18" s="17"/>
      <c r="G18" s="17"/>
      <c r="H18" s="17"/>
      <c r="I18" s="17"/>
      <c r="J18" s="17"/>
      <c r="K18" s="109"/>
      <c r="L18" s="17"/>
      <c r="M18" s="17"/>
      <c r="N18" s="17"/>
      <c r="O18" s="17"/>
      <c r="P18" s="17"/>
      <c r="Q18" s="17"/>
      <c r="R18" s="17"/>
      <c r="S18" s="17"/>
      <c r="T18" s="17"/>
      <c r="U18" s="109"/>
    </row>
    <row r="19" spans="1:21" x14ac:dyDescent="0.25">
      <c r="A19" s="109"/>
      <c r="B19" s="17"/>
      <c r="C19" s="17"/>
      <c r="D19" s="17"/>
      <c r="E19" s="17"/>
      <c r="F19" s="17"/>
      <c r="G19" s="17"/>
      <c r="H19" s="17"/>
      <c r="I19" s="17"/>
      <c r="J19" s="17"/>
      <c r="K19" s="109"/>
      <c r="L19" s="17"/>
      <c r="M19" s="17"/>
      <c r="N19" s="17"/>
      <c r="O19" s="17"/>
      <c r="P19" s="17"/>
      <c r="Q19" s="17"/>
      <c r="R19" s="17"/>
      <c r="S19" s="17"/>
      <c r="T19" s="17"/>
      <c r="U19" s="109"/>
    </row>
    <row r="20" spans="1:21" x14ac:dyDescent="0.25">
      <c r="A20" s="109"/>
      <c r="B20" s="17"/>
      <c r="C20" s="17"/>
      <c r="D20" s="17"/>
      <c r="E20" s="17"/>
      <c r="F20" s="17"/>
      <c r="G20" s="17"/>
      <c r="H20" s="17"/>
      <c r="I20" s="17"/>
      <c r="J20" s="17"/>
      <c r="K20" s="109"/>
      <c r="L20" s="17"/>
      <c r="M20" s="17"/>
      <c r="N20" s="17"/>
      <c r="O20" s="17"/>
      <c r="P20" s="17"/>
      <c r="Q20" s="17"/>
      <c r="R20" s="17"/>
      <c r="S20" s="17"/>
      <c r="T20" s="17"/>
      <c r="U20" s="109"/>
    </row>
    <row r="21" spans="1:21" x14ac:dyDescent="0.25">
      <c r="A21" s="109"/>
      <c r="B21" s="17"/>
      <c r="C21" s="17"/>
      <c r="D21" s="17"/>
      <c r="E21" s="17"/>
      <c r="F21" s="17"/>
      <c r="G21" s="17"/>
      <c r="H21" s="17"/>
      <c r="I21" s="17"/>
      <c r="J21" s="17"/>
      <c r="K21" s="109"/>
      <c r="L21" s="17"/>
      <c r="M21" s="17"/>
      <c r="N21" s="17"/>
      <c r="O21" s="17"/>
      <c r="P21" s="17"/>
      <c r="Q21" s="17"/>
      <c r="R21" s="17"/>
      <c r="S21" s="17"/>
      <c r="T21" s="17"/>
      <c r="U21" s="109"/>
    </row>
    <row r="22" spans="1:21" x14ac:dyDescent="0.25">
      <c r="A22" s="109"/>
      <c r="B22" s="17"/>
      <c r="C22" s="17"/>
      <c r="D22" s="17"/>
      <c r="E22" s="17"/>
      <c r="F22" s="17"/>
      <c r="G22" s="17"/>
      <c r="H22" s="17"/>
      <c r="I22" s="17"/>
      <c r="J22" s="17"/>
      <c r="K22" s="109"/>
      <c r="L22" s="17"/>
      <c r="M22" s="17"/>
      <c r="N22" s="17"/>
      <c r="O22" s="17"/>
      <c r="P22" s="17"/>
      <c r="Q22" s="17"/>
      <c r="R22" s="17"/>
      <c r="S22" s="17"/>
      <c r="T22" s="17"/>
      <c r="U22" s="109"/>
    </row>
    <row r="23" spans="1:21" x14ac:dyDescent="0.25">
      <c r="A23" s="109"/>
      <c r="B23" s="17"/>
      <c r="C23" s="17"/>
      <c r="D23" s="17"/>
      <c r="E23" s="17"/>
      <c r="F23" s="17"/>
      <c r="G23" s="17"/>
      <c r="H23" s="17"/>
      <c r="I23" s="17"/>
      <c r="J23" s="17"/>
      <c r="K23" s="109"/>
      <c r="L23" s="17"/>
      <c r="M23" s="17"/>
      <c r="N23" s="17"/>
      <c r="O23" s="17"/>
      <c r="P23" s="17"/>
      <c r="Q23" s="17"/>
      <c r="R23" s="17"/>
      <c r="S23" s="17"/>
      <c r="T23" s="17"/>
      <c r="U23" s="109"/>
    </row>
    <row r="24" spans="1:21" x14ac:dyDescent="0.25">
      <c r="A24" s="19"/>
      <c r="B24" s="17"/>
      <c r="C24" s="17"/>
      <c r="D24" s="17"/>
      <c r="E24" s="17"/>
      <c r="F24" s="17"/>
      <c r="G24" s="17"/>
      <c r="H24" s="17"/>
      <c r="I24" s="17"/>
      <c r="J24" s="17"/>
      <c r="K24" s="77"/>
      <c r="L24" s="17"/>
      <c r="M24" s="17"/>
      <c r="N24" s="17"/>
      <c r="O24" s="17"/>
      <c r="P24" s="17"/>
      <c r="Q24" s="17"/>
      <c r="R24" s="17"/>
      <c r="S24" s="17"/>
      <c r="T24" s="17"/>
      <c r="U24" s="19"/>
    </row>
    <row r="25" spans="1:21" x14ac:dyDescent="0.25">
      <c r="A25" s="19"/>
      <c r="B25" s="17"/>
      <c r="C25" s="17"/>
      <c r="D25" s="17"/>
      <c r="E25" s="17"/>
      <c r="F25" s="17"/>
      <c r="G25" s="17"/>
      <c r="H25" s="17"/>
      <c r="I25" s="17"/>
      <c r="J25" s="17"/>
      <c r="K25" s="77"/>
      <c r="L25" s="17"/>
      <c r="M25" s="17"/>
      <c r="N25" s="17"/>
      <c r="O25" s="17"/>
      <c r="P25" s="17"/>
      <c r="Q25" s="17"/>
      <c r="R25" s="17"/>
      <c r="S25" s="17"/>
      <c r="T25" s="17"/>
      <c r="U25" s="19"/>
    </row>
    <row r="26" spans="1:21" x14ac:dyDescent="0.25">
      <c r="A26" s="68"/>
      <c r="B26" s="17"/>
      <c r="C26" s="17"/>
      <c r="D26" s="17"/>
      <c r="E26" s="17"/>
      <c r="F26" s="17"/>
      <c r="G26" s="17"/>
      <c r="H26" s="17"/>
      <c r="I26" s="17"/>
      <c r="J26" s="17"/>
      <c r="K26" s="70"/>
      <c r="L26" s="17"/>
      <c r="M26" s="17"/>
      <c r="N26" s="17"/>
      <c r="O26" s="17"/>
      <c r="P26" s="17"/>
      <c r="Q26" s="17"/>
      <c r="R26" s="17"/>
      <c r="S26" s="17"/>
      <c r="T26" s="17"/>
      <c r="U26" s="16"/>
    </row>
    <row r="27" spans="1:21" ht="15" customHeight="1" x14ac:dyDescent="0.25">
      <c r="A27" s="68"/>
      <c r="B27" s="17"/>
      <c r="C27" s="17"/>
      <c r="D27" s="17"/>
      <c r="E27" s="17"/>
      <c r="F27" s="17"/>
      <c r="G27" s="17"/>
      <c r="H27" s="17"/>
      <c r="I27" s="17"/>
      <c r="J27" s="17"/>
      <c r="K27" s="68"/>
      <c r="L27" s="17"/>
      <c r="M27" s="17"/>
      <c r="N27" s="17"/>
      <c r="O27" s="17"/>
      <c r="P27" s="17"/>
      <c r="Q27" s="17"/>
      <c r="R27" s="17"/>
      <c r="S27" s="17"/>
      <c r="T27" s="17"/>
      <c r="U27" s="16"/>
    </row>
    <row r="28" spans="1:21" x14ac:dyDescent="0.25">
      <c r="A28" s="70"/>
      <c r="B28" s="17"/>
      <c r="C28" s="17"/>
      <c r="D28" s="17"/>
      <c r="E28" s="17"/>
      <c r="F28" s="17"/>
      <c r="G28" s="17"/>
      <c r="H28" s="17"/>
      <c r="I28" s="17"/>
      <c r="J28" s="17"/>
      <c r="K28" s="70"/>
      <c r="L28" s="17"/>
      <c r="M28" s="17"/>
      <c r="N28" s="17"/>
      <c r="O28" s="17"/>
      <c r="P28" s="17"/>
      <c r="Q28" s="17"/>
      <c r="R28" s="17"/>
      <c r="S28" s="17"/>
      <c r="T28" s="17"/>
    </row>
    <row r="29" spans="1:21" x14ac:dyDescent="0.25">
      <c r="A29" s="70"/>
      <c r="B29" s="17"/>
      <c r="C29" s="17"/>
      <c r="D29" s="17"/>
      <c r="E29" s="17"/>
      <c r="F29" s="17"/>
      <c r="G29" s="17"/>
      <c r="H29" s="17"/>
      <c r="I29" s="17"/>
      <c r="J29" s="17"/>
      <c r="K29" s="70"/>
      <c r="L29" s="17"/>
      <c r="M29" s="17"/>
      <c r="N29" s="17"/>
      <c r="O29" s="17"/>
      <c r="P29" s="17"/>
      <c r="Q29" s="17"/>
      <c r="R29" s="17"/>
      <c r="S29" s="17"/>
      <c r="T29" s="17"/>
      <c r="U29" s="16"/>
    </row>
    <row r="30" spans="1:21" ht="15" customHeight="1" x14ac:dyDescent="0.25">
      <c r="A30" s="109" t="s">
        <v>63</v>
      </c>
      <c r="B30" s="17"/>
      <c r="C30" s="17"/>
      <c r="D30" s="17"/>
      <c r="E30" s="17"/>
      <c r="F30" s="17"/>
      <c r="G30" s="17"/>
      <c r="H30" s="17"/>
      <c r="I30" s="17"/>
      <c r="J30" s="17"/>
      <c r="K30" s="109" t="s">
        <v>38</v>
      </c>
      <c r="L30" s="17"/>
      <c r="M30" s="17"/>
      <c r="N30" s="17"/>
      <c r="O30" s="17"/>
      <c r="P30" s="17"/>
      <c r="Q30" s="17"/>
      <c r="R30" s="17"/>
      <c r="S30" s="17"/>
      <c r="T30" s="17"/>
      <c r="U30" s="109" t="s">
        <v>38</v>
      </c>
    </row>
    <row r="31" spans="1:21" x14ac:dyDescent="0.25">
      <c r="A31" s="109"/>
      <c r="B31" s="17"/>
      <c r="C31" s="17"/>
      <c r="D31" s="17"/>
      <c r="E31" s="17"/>
      <c r="F31" s="17"/>
      <c r="G31" s="17"/>
      <c r="H31" s="17"/>
      <c r="I31" s="17"/>
      <c r="J31" s="17"/>
      <c r="K31" s="109"/>
      <c r="L31" s="17"/>
      <c r="M31" s="17"/>
      <c r="N31" s="17"/>
      <c r="O31" s="17"/>
      <c r="P31" s="17"/>
      <c r="Q31" s="17"/>
      <c r="R31" s="17"/>
      <c r="S31" s="17"/>
      <c r="T31" s="17"/>
      <c r="U31" s="109"/>
    </row>
    <row r="32" spans="1:21" x14ac:dyDescent="0.25">
      <c r="A32" s="109"/>
      <c r="B32" s="17"/>
      <c r="C32" s="17"/>
      <c r="D32" s="17"/>
      <c r="E32" s="17"/>
      <c r="F32" s="17"/>
      <c r="G32" s="17"/>
      <c r="H32" s="17"/>
      <c r="I32" s="17"/>
      <c r="J32" s="17"/>
      <c r="K32" s="109"/>
      <c r="L32" s="17"/>
      <c r="M32" s="17"/>
      <c r="N32" s="17"/>
      <c r="O32" s="17"/>
      <c r="P32" s="17"/>
      <c r="Q32" s="17"/>
      <c r="R32" s="17"/>
      <c r="S32" s="17"/>
      <c r="T32" s="17"/>
      <c r="U32" s="109"/>
    </row>
    <row r="33" spans="1:21" x14ac:dyDescent="0.25">
      <c r="A33" s="109"/>
      <c r="B33" s="17"/>
      <c r="C33" s="17"/>
      <c r="D33" s="17"/>
      <c r="E33" s="17"/>
      <c r="F33" s="17"/>
      <c r="G33" s="17"/>
      <c r="H33" s="17"/>
      <c r="I33" s="17"/>
      <c r="J33" s="17"/>
      <c r="K33" s="109"/>
      <c r="L33" s="17"/>
      <c r="M33" s="17"/>
      <c r="N33" s="17"/>
      <c r="O33" s="17"/>
      <c r="P33" s="17"/>
      <c r="Q33" s="17"/>
      <c r="R33" s="17"/>
      <c r="S33" s="17"/>
      <c r="T33" s="17"/>
      <c r="U33" s="109"/>
    </row>
    <row r="34" spans="1:21" x14ac:dyDescent="0.25">
      <c r="A34" s="109"/>
      <c r="B34" s="17"/>
      <c r="C34" s="17"/>
      <c r="D34" s="17"/>
      <c r="E34" s="17"/>
      <c r="F34" s="17"/>
      <c r="G34" s="17"/>
      <c r="H34" s="17"/>
      <c r="I34" s="17"/>
      <c r="J34" s="17"/>
      <c r="K34" s="109"/>
      <c r="L34" s="17"/>
      <c r="M34" s="17"/>
      <c r="N34" s="17"/>
      <c r="O34" s="17"/>
      <c r="P34" s="17"/>
      <c r="Q34" s="17"/>
      <c r="R34" s="17"/>
      <c r="S34" s="17"/>
      <c r="T34" s="17"/>
      <c r="U34" s="109"/>
    </row>
    <row r="35" spans="1:21" x14ac:dyDescent="0.25">
      <c r="A35" s="109"/>
      <c r="B35" s="17"/>
      <c r="C35" s="17"/>
      <c r="D35" s="17"/>
      <c r="E35" s="17"/>
      <c r="F35" s="17"/>
      <c r="G35" s="17"/>
      <c r="H35" s="17"/>
      <c r="I35" s="17"/>
      <c r="J35" s="17"/>
      <c r="K35" s="109"/>
      <c r="L35" s="17"/>
      <c r="M35" s="17"/>
      <c r="N35" s="17"/>
      <c r="O35" s="17"/>
      <c r="P35" s="17"/>
      <c r="Q35" s="17"/>
      <c r="R35" s="17"/>
      <c r="S35" s="17"/>
      <c r="T35" s="17"/>
      <c r="U35" s="109"/>
    </row>
    <row r="36" spans="1:21" x14ac:dyDescent="0.25">
      <c r="A36" s="109"/>
      <c r="B36" s="17"/>
      <c r="C36" s="17"/>
      <c r="D36" s="17"/>
      <c r="E36" s="17"/>
      <c r="F36" s="17"/>
      <c r="G36" s="17"/>
      <c r="H36" s="17"/>
      <c r="I36" s="17"/>
      <c r="J36" s="17"/>
      <c r="K36" s="109"/>
      <c r="L36" s="17"/>
      <c r="M36" s="17"/>
      <c r="N36" s="17"/>
      <c r="O36" s="17"/>
      <c r="P36" s="17"/>
      <c r="Q36" s="17"/>
      <c r="R36" s="17"/>
      <c r="S36" s="17"/>
      <c r="T36" s="17"/>
      <c r="U36" s="109"/>
    </row>
    <row r="37" spans="1:21" x14ac:dyDescent="0.25">
      <c r="A37" s="109"/>
      <c r="B37" s="17"/>
      <c r="C37" s="17"/>
      <c r="D37" s="17"/>
      <c r="E37" s="17"/>
      <c r="F37" s="17"/>
      <c r="G37" s="17"/>
      <c r="H37" s="17"/>
      <c r="I37" s="17"/>
      <c r="J37" s="17"/>
      <c r="K37" s="109"/>
      <c r="L37" s="17"/>
      <c r="M37" s="17"/>
      <c r="N37" s="17"/>
      <c r="O37" s="17"/>
      <c r="P37" s="17"/>
      <c r="Q37" s="17"/>
      <c r="R37" s="17"/>
      <c r="S37" s="17"/>
      <c r="T37" s="17"/>
      <c r="U37" s="109"/>
    </row>
    <row r="38" spans="1:21" x14ac:dyDescent="0.25">
      <c r="A38" s="109"/>
      <c r="B38" s="17"/>
      <c r="C38" s="17"/>
      <c r="D38" s="17"/>
      <c r="E38" s="17"/>
      <c r="F38" s="17"/>
      <c r="G38" s="17"/>
      <c r="H38" s="17"/>
      <c r="I38" s="17"/>
      <c r="J38" s="17"/>
      <c r="K38" s="109"/>
      <c r="L38" s="17"/>
      <c r="M38" s="17"/>
      <c r="N38" s="17"/>
      <c r="O38" s="17"/>
      <c r="P38" s="17"/>
      <c r="Q38" s="17"/>
      <c r="R38" s="17"/>
      <c r="S38" s="17"/>
      <c r="T38" s="17"/>
      <c r="U38" s="109"/>
    </row>
    <row r="39" spans="1:21" x14ac:dyDescent="0.25">
      <c r="A39" s="109"/>
      <c r="B39" s="17"/>
      <c r="C39" s="17"/>
      <c r="D39" s="17"/>
      <c r="E39" s="17"/>
      <c r="F39" s="17"/>
      <c r="G39" s="17"/>
      <c r="H39" s="17"/>
      <c r="I39" s="17"/>
      <c r="J39" s="17"/>
      <c r="K39" s="109"/>
      <c r="L39" s="17"/>
      <c r="M39" s="17"/>
      <c r="N39" s="17"/>
      <c r="O39" s="17"/>
      <c r="P39" s="17"/>
      <c r="Q39" s="17"/>
      <c r="R39" s="17"/>
      <c r="S39" s="17"/>
      <c r="T39" s="17"/>
      <c r="U39" s="109"/>
    </row>
    <row r="40" spans="1:21" x14ac:dyDescent="0.25">
      <c r="A40" s="109"/>
      <c r="B40" s="17"/>
      <c r="C40" s="17"/>
      <c r="D40" s="17"/>
      <c r="E40" s="17"/>
      <c r="F40" s="17"/>
      <c r="G40" s="17"/>
      <c r="H40" s="17"/>
      <c r="I40" s="17"/>
      <c r="J40" s="17"/>
      <c r="K40" s="109"/>
      <c r="L40" s="17"/>
      <c r="M40" s="17"/>
      <c r="N40" s="17"/>
      <c r="O40" s="17"/>
      <c r="P40" s="17"/>
      <c r="Q40" s="17"/>
      <c r="R40" s="17"/>
      <c r="S40" s="17"/>
      <c r="T40" s="17"/>
      <c r="U40" s="109"/>
    </row>
    <row r="41" spans="1:21" x14ac:dyDescent="0.25">
      <c r="A41" s="109"/>
      <c r="B41" s="17"/>
      <c r="C41" s="17"/>
      <c r="D41" s="17"/>
      <c r="E41" s="17"/>
      <c r="F41" s="17"/>
      <c r="G41" s="17"/>
      <c r="H41" s="17"/>
      <c r="I41" s="17"/>
      <c r="J41" s="17"/>
      <c r="K41" s="109"/>
      <c r="L41" s="17"/>
      <c r="M41" s="17"/>
      <c r="N41" s="17"/>
      <c r="O41" s="17"/>
      <c r="P41" s="17"/>
      <c r="Q41" s="17"/>
      <c r="R41" s="17"/>
      <c r="S41" s="17"/>
      <c r="T41" s="17"/>
      <c r="U41" s="109"/>
    </row>
    <row r="42" spans="1:21" x14ac:dyDescent="0.25">
      <c r="A42" s="109"/>
      <c r="B42" s="17"/>
      <c r="C42" s="17"/>
      <c r="D42" s="17"/>
      <c r="E42" s="17"/>
      <c r="F42" s="17"/>
      <c r="G42" s="17"/>
      <c r="H42" s="17"/>
      <c r="I42" s="17"/>
      <c r="J42" s="17"/>
      <c r="K42" s="109"/>
      <c r="L42" s="17"/>
      <c r="M42" s="17"/>
      <c r="N42" s="17"/>
      <c r="O42" s="17"/>
      <c r="P42" s="17"/>
      <c r="Q42" s="17"/>
      <c r="R42" s="17"/>
      <c r="S42" s="17"/>
      <c r="T42" s="17"/>
      <c r="U42" s="109"/>
    </row>
    <row r="43" spans="1:21" x14ac:dyDescent="0.25">
      <c r="A43" s="109"/>
      <c r="B43" s="17"/>
      <c r="C43" s="17"/>
      <c r="D43" s="17"/>
      <c r="E43" s="17"/>
      <c r="F43" s="17"/>
      <c r="G43" s="17"/>
      <c r="H43" s="17"/>
      <c r="I43" s="17"/>
      <c r="J43" s="17"/>
      <c r="K43" s="109"/>
      <c r="L43" s="17"/>
      <c r="M43" s="17"/>
      <c r="N43" s="17"/>
      <c r="O43" s="17"/>
      <c r="P43" s="17"/>
      <c r="Q43" s="17"/>
      <c r="R43" s="17"/>
      <c r="S43" s="17"/>
      <c r="T43" s="17"/>
      <c r="U43" s="109"/>
    </row>
    <row r="44" spans="1:21" x14ac:dyDescent="0.25">
      <c r="A44" s="109"/>
      <c r="B44" s="17"/>
      <c r="C44" s="17"/>
      <c r="D44" s="17"/>
      <c r="E44" s="17"/>
      <c r="F44" s="17"/>
      <c r="G44" s="17"/>
      <c r="H44" s="17"/>
      <c r="I44" s="17"/>
      <c r="J44" s="17"/>
      <c r="K44" s="109"/>
      <c r="L44" s="17"/>
      <c r="M44" s="17"/>
      <c r="N44" s="17"/>
      <c r="O44" s="17"/>
      <c r="P44" s="17"/>
      <c r="Q44" s="17"/>
      <c r="R44" s="17"/>
      <c r="S44" s="17"/>
      <c r="T44" s="17"/>
      <c r="U44" s="109"/>
    </row>
    <row r="45" spans="1:21" x14ac:dyDescent="0.25">
      <c r="A45" s="19"/>
      <c r="B45" s="17"/>
      <c r="C45" s="17"/>
      <c r="D45" s="17"/>
      <c r="E45" s="17"/>
      <c r="F45" s="17"/>
      <c r="G45" s="17"/>
      <c r="H45" s="17"/>
      <c r="I45" s="17"/>
      <c r="J45" s="17"/>
      <c r="K45" s="77"/>
      <c r="L45" s="17"/>
      <c r="M45" s="17"/>
      <c r="N45" s="17"/>
      <c r="O45" s="17"/>
      <c r="P45" s="17"/>
      <c r="Q45" s="17"/>
      <c r="R45" s="17"/>
      <c r="S45" s="17"/>
      <c r="T45" s="17"/>
      <c r="U45" s="19"/>
    </row>
    <row r="46" spans="1:21" x14ac:dyDescent="0.25">
      <c r="A46" s="19"/>
      <c r="B46" s="17"/>
      <c r="C46" s="17"/>
      <c r="D46" s="17"/>
      <c r="E46" s="17"/>
      <c r="F46" s="17"/>
      <c r="G46" s="17"/>
      <c r="H46" s="17"/>
      <c r="I46" s="17"/>
      <c r="J46" s="17"/>
      <c r="K46" s="77"/>
      <c r="L46" s="17"/>
      <c r="M46" s="17"/>
      <c r="N46" s="17"/>
      <c r="O46" s="17"/>
      <c r="P46" s="17"/>
      <c r="Q46" s="17"/>
      <c r="R46" s="17"/>
      <c r="S46" s="17"/>
      <c r="T46" s="17"/>
      <c r="U46" s="19"/>
    </row>
    <row r="47" spans="1:21" x14ac:dyDescent="0.25">
      <c r="A47" s="78"/>
      <c r="B47" s="17"/>
      <c r="C47" s="17"/>
      <c r="D47" s="17"/>
      <c r="E47" s="17"/>
      <c r="F47" s="17"/>
      <c r="G47" s="17"/>
      <c r="H47" s="17"/>
      <c r="I47" s="17"/>
      <c r="J47" s="17"/>
      <c r="K47" s="70"/>
      <c r="L47" s="17"/>
      <c r="M47" s="17"/>
      <c r="N47" s="17"/>
      <c r="O47" s="17"/>
      <c r="P47" s="17"/>
      <c r="Q47" s="17"/>
      <c r="R47" s="17"/>
      <c r="S47" s="17"/>
      <c r="T47" s="17"/>
      <c r="U47" s="16"/>
    </row>
    <row r="48" spans="1:21" ht="15" customHeight="1" x14ac:dyDescent="0.25">
      <c r="A48" s="78"/>
      <c r="B48" s="17"/>
      <c r="C48" s="17"/>
      <c r="D48" s="17"/>
      <c r="E48" s="17"/>
      <c r="F48" s="17"/>
      <c r="G48" s="17"/>
      <c r="H48" s="17"/>
      <c r="I48" s="17"/>
      <c r="J48" s="17"/>
      <c r="K48" s="78"/>
      <c r="L48" s="17"/>
      <c r="M48" s="17"/>
      <c r="N48" s="17"/>
      <c r="O48" s="17"/>
      <c r="P48" s="17"/>
      <c r="Q48" s="17"/>
      <c r="R48" s="17"/>
      <c r="S48" s="17"/>
      <c r="T48" s="17"/>
      <c r="U48" s="16"/>
    </row>
    <row r="49" spans="1:23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3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3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3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3" ht="15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3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3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3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3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3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3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3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W60" s="71"/>
    </row>
    <row r="61" spans="1:23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3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3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3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ht="1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ht="1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ht="1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K131" s="73"/>
    </row>
    <row r="132" spans="1:21" x14ac:dyDescent="0.25">
      <c r="K132" s="73"/>
    </row>
    <row r="133" spans="1:21" x14ac:dyDescent="0.25">
      <c r="K133" s="73"/>
    </row>
    <row r="134" spans="1:21" x14ac:dyDescent="0.25">
      <c r="K134" s="73"/>
    </row>
    <row r="135" spans="1:21" x14ac:dyDescent="0.25">
      <c r="K135" s="73"/>
    </row>
    <row r="136" spans="1:21" x14ac:dyDescent="0.25">
      <c r="K136" s="73"/>
    </row>
  </sheetData>
  <mergeCells count="7">
    <mergeCell ref="A9:A23"/>
    <mergeCell ref="K9:K23"/>
    <mergeCell ref="U9:U23"/>
    <mergeCell ref="A1:T5"/>
    <mergeCell ref="A30:A44"/>
    <mergeCell ref="K30:K44"/>
    <mergeCell ref="U30:U44"/>
  </mergeCells>
  <printOptions horizontalCentered="1" verticalCentered="1"/>
  <pageMargins left="0" right="0" top="0" bottom="0" header="0" footer="0"/>
  <pageSetup paperSize="5" scale="190" orientation="landscape" horizontalDpi="4294967292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499984740745262"/>
    <pageSetUpPr fitToPage="1"/>
  </sheetPr>
  <dimension ref="A1:AD93"/>
  <sheetViews>
    <sheetView zoomScale="40" zoomScaleNormal="40" workbookViewId="0">
      <selection sqref="A1:AC92"/>
    </sheetView>
  </sheetViews>
  <sheetFormatPr defaultColWidth="9.140625" defaultRowHeight="15" x14ac:dyDescent="0.25"/>
  <cols>
    <col min="1" max="1" width="9.140625" style="20"/>
    <col min="2" max="2" width="9.140625" style="20" customWidth="1"/>
    <col min="3" max="16384" width="9.140625" style="20"/>
  </cols>
  <sheetData>
    <row r="1" spans="1:30" ht="15" customHeight="1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30" ht="15" customHeight="1" x14ac:dyDescent="0.5">
      <c r="A2" s="16"/>
      <c r="B2" s="16"/>
      <c r="C2" s="16"/>
      <c r="D2" s="113" t="s">
        <v>80</v>
      </c>
      <c r="E2" s="113"/>
      <c r="F2" s="113"/>
      <c r="G2" s="113"/>
      <c r="H2" s="113"/>
      <c r="I2" s="113"/>
      <c r="J2" s="113"/>
      <c r="K2" s="62"/>
      <c r="L2" s="62"/>
      <c r="M2" s="113" t="s">
        <v>78</v>
      </c>
      <c r="N2" s="113"/>
      <c r="O2" s="113"/>
      <c r="P2" s="113"/>
      <c r="Q2" s="113"/>
      <c r="R2" s="113"/>
      <c r="S2" s="113"/>
      <c r="T2" s="62"/>
      <c r="U2" s="62"/>
      <c r="V2" s="113" t="s">
        <v>79</v>
      </c>
      <c r="W2" s="113"/>
      <c r="X2" s="113"/>
      <c r="Y2" s="113"/>
      <c r="Z2" s="113"/>
      <c r="AA2" s="113"/>
      <c r="AB2" s="113"/>
      <c r="AC2" s="16"/>
      <c r="AD2" s="20" t="s">
        <v>69</v>
      </c>
    </row>
    <row r="3" spans="1:30" ht="15" customHeight="1" x14ac:dyDescent="0.5">
      <c r="A3" s="16"/>
      <c r="B3" s="16"/>
      <c r="C3" s="16"/>
      <c r="D3" s="113"/>
      <c r="E3" s="113"/>
      <c r="F3" s="113"/>
      <c r="G3" s="113"/>
      <c r="H3" s="113"/>
      <c r="I3" s="113"/>
      <c r="J3" s="113"/>
      <c r="K3" s="62"/>
      <c r="L3" s="62"/>
      <c r="M3" s="113"/>
      <c r="N3" s="113"/>
      <c r="O3" s="113"/>
      <c r="P3" s="113"/>
      <c r="Q3" s="113"/>
      <c r="R3" s="113"/>
      <c r="S3" s="113"/>
      <c r="T3" s="62"/>
      <c r="U3" s="62"/>
      <c r="V3" s="113"/>
      <c r="W3" s="113"/>
      <c r="X3" s="113"/>
      <c r="Y3" s="113"/>
      <c r="Z3" s="113"/>
      <c r="AA3" s="113"/>
      <c r="AB3" s="113"/>
      <c r="AC3" s="16"/>
      <c r="AD3" s="20" t="s">
        <v>70</v>
      </c>
    </row>
    <row r="4" spans="1:30" ht="15" customHeight="1" x14ac:dyDescent="0.5">
      <c r="A4" s="16"/>
      <c r="B4" s="16"/>
      <c r="C4" s="16"/>
      <c r="D4" s="113"/>
      <c r="E4" s="113"/>
      <c r="F4" s="113"/>
      <c r="G4" s="113"/>
      <c r="H4" s="113"/>
      <c r="I4" s="113"/>
      <c r="J4" s="113"/>
      <c r="K4" s="62"/>
      <c r="L4" s="62"/>
      <c r="M4" s="113"/>
      <c r="N4" s="113"/>
      <c r="O4" s="113"/>
      <c r="P4" s="113"/>
      <c r="Q4" s="113"/>
      <c r="R4" s="113"/>
      <c r="S4" s="113"/>
      <c r="T4" s="62"/>
      <c r="U4" s="62"/>
      <c r="V4" s="113"/>
      <c r="W4" s="113"/>
      <c r="X4" s="113"/>
      <c r="Y4" s="113"/>
      <c r="Z4" s="113"/>
      <c r="AA4" s="113"/>
      <c r="AB4" s="113"/>
      <c r="AC4" s="16"/>
      <c r="AD4" s="20" t="s">
        <v>71</v>
      </c>
    </row>
    <row r="5" spans="1:30" ht="15" customHeight="1" x14ac:dyDescent="0.5">
      <c r="A5" s="16"/>
      <c r="B5" s="16"/>
      <c r="C5" s="16"/>
      <c r="D5" s="113"/>
      <c r="E5" s="113"/>
      <c r="F5" s="113"/>
      <c r="G5" s="113"/>
      <c r="H5" s="113"/>
      <c r="I5" s="113"/>
      <c r="J5" s="113"/>
      <c r="K5" s="62"/>
      <c r="L5" s="62"/>
      <c r="M5" s="113"/>
      <c r="N5" s="113"/>
      <c r="O5" s="113"/>
      <c r="P5" s="113"/>
      <c r="Q5" s="113"/>
      <c r="R5" s="113"/>
      <c r="S5" s="113"/>
      <c r="T5" s="62"/>
      <c r="U5" s="62"/>
      <c r="V5" s="113"/>
      <c r="W5" s="113"/>
      <c r="X5" s="113"/>
      <c r="Y5" s="113"/>
      <c r="Z5" s="113"/>
      <c r="AA5" s="113"/>
      <c r="AB5" s="113"/>
      <c r="AC5" s="16"/>
      <c r="AD5" s="20" t="s">
        <v>72</v>
      </c>
    </row>
    <row r="6" spans="1:30" x14ac:dyDescent="0.25">
      <c r="A6" s="16"/>
      <c r="B6" s="18"/>
      <c r="C6" s="17"/>
      <c r="D6" s="17"/>
      <c r="E6" s="17"/>
      <c r="F6" s="17"/>
      <c r="G6" s="17"/>
      <c r="H6" s="17"/>
      <c r="I6" s="17"/>
      <c r="J6" s="17"/>
      <c r="K6" s="17"/>
      <c r="L6" s="19"/>
      <c r="M6" s="17"/>
      <c r="N6" s="17"/>
      <c r="O6" s="17"/>
      <c r="P6" s="17"/>
      <c r="Q6" s="17"/>
      <c r="R6" s="17"/>
      <c r="S6" s="17"/>
      <c r="T6" s="17"/>
      <c r="U6" s="17"/>
      <c r="V6" s="16"/>
    </row>
    <row r="7" spans="1:30" ht="15" customHeight="1" x14ac:dyDescent="0.25">
      <c r="A7" s="111" t="s">
        <v>76</v>
      </c>
      <c r="B7" s="111"/>
      <c r="C7" s="80"/>
      <c r="D7" s="17"/>
      <c r="E7" s="17"/>
      <c r="F7" s="17"/>
      <c r="G7" s="17"/>
      <c r="H7" s="17"/>
      <c r="I7" s="17"/>
      <c r="J7" s="17"/>
      <c r="K7" s="17"/>
      <c r="L7" s="19"/>
      <c r="M7" s="17"/>
      <c r="N7" s="17"/>
      <c r="O7" s="17"/>
      <c r="P7" s="17"/>
      <c r="Q7" s="17"/>
      <c r="R7" s="17"/>
      <c r="S7" s="17"/>
      <c r="T7" s="17"/>
      <c r="U7" s="17"/>
      <c r="V7" s="16"/>
    </row>
    <row r="8" spans="1:30" ht="15" customHeight="1" x14ac:dyDescent="0.25">
      <c r="A8" s="111"/>
      <c r="B8" s="111"/>
      <c r="C8" s="80"/>
      <c r="D8" s="17"/>
      <c r="E8" s="17"/>
      <c r="F8" s="17"/>
      <c r="G8" s="17"/>
      <c r="H8" s="17"/>
      <c r="I8" s="17"/>
      <c r="J8" s="17"/>
      <c r="K8" s="17"/>
      <c r="L8" s="18"/>
      <c r="M8" s="17"/>
      <c r="N8" s="17"/>
      <c r="O8" s="17"/>
      <c r="P8" s="17"/>
      <c r="Q8" s="17"/>
      <c r="R8" s="17"/>
      <c r="S8" s="17"/>
      <c r="T8" s="17"/>
      <c r="U8" s="17"/>
      <c r="V8" s="18"/>
    </row>
    <row r="9" spans="1:30" x14ac:dyDescent="0.25">
      <c r="A9" s="111"/>
      <c r="B9" s="111"/>
      <c r="C9" s="80"/>
      <c r="D9" s="17"/>
      <c r="E9" s="17"/>
      <c r="F9" s="17"/>
      <c r="G9" s="17"/>
      <c r="H9" s="17"/>
      <c r="I9" s="17"/>
      <c r="J9" s="17"/>
      <c r="K9" s="17"/>
      <c r="L9" s="19"/>
      <c r="M9" s="17"/>
      <c r="N9" s="17"/>
      <c r="O9" s="17"/>
      <c r="P9" s="17"/>
      <c r="Q9" s="17"/>
      <c r="R9" s="17"/>
      <c r="S9" s="17"/>
      <c r="T9" s="17"/>
      <c r="U9" s="17"/>
      <c r="V9" s="19"/>
    </row>
    <row r="10" spans="1:30" x14ac:dyDescent="0.25">
      <c r="A10" s="111"/>
      <c r="B10" s="111"/>
      <c r="C10" s="80"/>
      <c r="D10" s="17"/>
      <c r="E10" s="17"/>
      <c r="F10" s="17"/>
      <c r="G10" s="17"/>
      <c r="H10" s="17"/>
      <c r="I10" s="17"/>
      <c r="J10" s="17"/>
      <c r="K10" s="17"/>
      <c r="L10" s="19"/>
      <c r="M10" s="17"/>
      <c r="N10" s="17"/>
      <c r="O10" s="17"/>
      <c r="P10" s="17"/>
      <c r="Q10" s="17"/>
      <c r="R10" s="17"/>
      <c r="S10" s="17"/>
      <c r="T10" s="17"/>
      <c r="U10" s="17"/>
      <c r="V10" s="19"/>
    </row>
    <row r="11" spans="1:30" x14ac:dyDescent="0.25">
      <c r="A11" s="111"/>
      <c r="B11" s="111"/>
      <c r="C11" s="80"/>
      <c r="D11" s="17"/>
      <c r="E11" s="17"/>
      <c r="F11" s="17"/>
      <c r="G11" s="17"/>
      <c r="H11" s="17"/>
      <c r="I11" s="17"/>
      <c r="J11" s="17"/>
      <c r="K11" s="17"/>
      <c r="L11" s="19"/>
      <c r="M11" s="17"/>
      <c r="N11" s="17"/>
      <c r="O11" s="17"/>
      <c r="P11" s="17"/>
      <c r="Q11" s="17"/>
      <c r="R11" s="17"/>
      <c r="S11" s="17"/>
      <c r="T11" s="17"/>
      <c r="U11" s="17"/>
      <c r="V11" s="19"/>
    </row>
    <row r="12" spans="1:30" x14ac:dyDescent="0.25">
      <c r="A12" s="111"/>
      <c r="B12" s="111"/>
      <c r="C12" s="80"/>
      <c r="D12" s="17"/>
      <c r="E12" s="17"/>
      <c r="F12" s="17"/>
      <c r="G12" s="17"/>
      <c r="H12" s="17"/>
      <c r="I12" s="17"/>
      <c r="J12" s="17"/>
      <c r="K12" s="17"/>
      <c r="L12" s="19"/>
      <c r="M12" s="17"/>
      <c r="N12" s="17"/>
      <c r="O12" s="17"/>
      <c r="P12" s="17"/>
      <c r="Q12" s="17"/>
      <c r="R12" s="17"/>
      <c r="S12" s="17"/>
      <c r="T12" s="17"/>
      <c r="U12" s="17"/>
      <c r="V12" s="19"/>
    </row>
    <row r="13" spans="1:30" x14ac:dyDescent="0.25">
      <c r="A13" s="111"/>
      <c r="B13" s="111"/>
      <c r="C13" s="80"/>
      <c r="D13" s="17"/>
      <c r="E13" s="17"/>
      <c r="F13" s="17"/>
      <c r="G13" s="17"/>
      <c r="H13" s="17"/>
      <c r="I13" s="17"/>
      <c r="J13" s="17"/>
      <c r="K13" s="17"/>
      <c r="L13" s="19"/>
      <c r="M13" s="17"/>
      <c r="N13" s="17"/>
      <c r="O13" s="17"/>
      <c r="P13" s="17"/>
      <c r="Q13" s="17"/>
      <c r="R13" s="17"/>
      <c r="S13" s="17"/>
      <c r="T13" s="17"/>
      <c r="U13" s="17"/>
      <c r="V13" s="19"/>
    </row>
    <row r="14" spans="1:30" x14ac:dyDescent="0.25">
      <c r="A14" s="111"/>
      <c r="B14" s="111"/>
      <c r="C14" s="80"/>
      <c r="D14" s="17"/>
      <c r="E14" s="17"/>
      <c r="F14" s="17"/>
      <c r="G14" s="17"/>
      <c r="H14" s="17"/>
      <c r="I14" s="17"/>
      <c r="J14" s="17"/>
      <c r="K14" s="17"/>
      <c r="L14" s="19"/>
      <c r="M14" s="17"/>
      <c r="N14" s="17"/>
      <c r="O14" s="17"/>
      <c r="P14" s="17"/>
      <c r="Q14" s="17"/>
      <c r="R14" s="17"/>
      <c r="S14" s="17"/>
      <c r="T14" s="17"/>
      <c r="U14" s="17"/>
      <c r="V14" s="19"/>
    </row>
    <row r="15" spans="1:30" x14ac:dyDescent="0.25">
      <c r="A15" s="111"/>
      <c r="B15" s="111"/>
      <c r="C15" s="80"/>
      <c r="D15" s="17"/>
      <c r="E15" s="17"/>
      <c r="F15" s="17"/>
      <c r="G15" s="17"/>
      <c r="H15" s="17"/>
      <c r="I15" s="17"/>
      <c r="J15" s="17"/>
      <c r="K15" s="17"/>
      <c r="L15" s="19"/>
      <c r="M15" s="17"/>
      <c r="N15" s="17"/>
      <c r="O15" s="17"/>
      <c r="P15" s="17"/>
      <c r="Q15" s="17"/>
      <c r="R15" s="17"/>
      <c r="S15" s="17"/>
      <c r="T15" s="17"/>
      <c r="U15" s="17"/>
      <c r="V15" s="19"/>
    </row>
    <row r="16" spans="1:30" x14ac:dyDescent="0.25">
      <c r="A16" s="111"/>
      <c r="B16" s="111"/>
      <c r="C16" s="80"/>
      <c r="D16" s="17"/>
      <c r="E16" s="17"/>
      <c r="F16" s="17"/>
      <c r="G16" s="17"/>
      <c r="H16" s="17"/>
      <c r="I16" s="17"/>
      <c r="J16" s="17"/>
      <c r="K16" s="17"/>
      <c r="L16" s="19"/>
      <c r="M16" s="17"/>
      <c r="N16" s="17"/>
      <c r="O16" s="17"/>
      <c r="P16" s="17"/>
      <c r="Q16" s="17"/>
      <c r="R16" s="17"/>
      <c r="S16" s="17"/>
      <c r="T16" s="17"/>
      <c r="U16" s="17"/>
      <c r="V16" s="19"/>
    </row>
    <row r="17" spans="1:29" x14ac:dyDescent="0.25">
      <c r="A17" s="111"/>
      <c r="B17" s="111"/>
      <c r="C17" s="80"/>
      <c r="D17" s="17"/>
      <c r="E17" s="17"/>
      <c r="F17" s="17"/>
      <c r="G17" s="17"/>
      <c r="H17" s="17"/>
      <c r="I17" s="17"/>
      <c r="J17" s="17"/>
      <c r="K17" s="17"/>
      <c r="L17" s="19"/>
      <c r="M17" s="17"/>
      <c r="N17" s="17"/>
      <c r="O17" s="17"/>
      <c r="P17" s="17"/>
      <c r="Q17" s="17"/>
      <c r="R17" s="17"/>
      <c r="S17" s="17"/>
      <c r="T17" s="17"/>
      <c r="U17" s="17"/>
      <c r="V17" s="19"/>
    </row>
    <row r="18" spans="1:29" x14ac:dyDescent="0.25">
      <c r="A18" s="111"/>
      <c r="B18" s="111"/>
      <c r="C18" s="80"/>
      <c r="D18" s="17"/>
      <c r="E18" s="17"/>
      <c r="F18" s="17"/>
      <c r="G18" s="17"/>
      <c r="H18" s="17"/>
      <c r="I18" s="17"/>
      <c r="J18" s="17"/>
      <c r="K18" s="17"/>
      <c r="L18" s="19"/>
      <c r="M18" s="17"/>
      <c r="N18" s="17"/>
      <c r="O18" s="17"/>
      <c r="P18" s="17"/>
      <c r="Q18" s="17"/>
      <c r="R18" s="17"/>
      <c r="S18" s="17"/>
      <c r="T18" s="17"/>
      <c r="U18" s="17"/>
      <c r="V18" s="19"/>
    </row>
    <row r="19" spans="1:29" x14ac:dyDescent="0.25">
      <c r="A19" s="111"/>
      <c r="B19" s="111"/>
      <c r="C19" s="80"/>
      <c r="D19" s="17"/>
      <c r="E19" s="17"/>
      <c r="F19" s="17"/>
      <c r="G19" s="17"/>
      <c r="H19" s="17"/>
      <c r="I19" s="17"/>
      <c r="J19" s="17"/>
      <c r="K19" s="17"/>
      <c r="L19" s="19"/>
      <c r="M19" s="17"/>
      <c r="N19" s="17"/>
      <c r="O19" s="17"/>
      <c r="P19" s="17"/>
      <c r="Q19" s="17"/>
      <c r="R19" s="17"/>
      <c r="S19" s="17"/>
      <c r="T19" s="17"/>
      <c r="U19" s="17"/>
      <c r="V19" s="19"/>
    </row>
    <row r="20" spans="1:29" x14ac:dyDescent="0.25">
      <c r="A20" s="111"/>
      <c r="B20" s="111"/>
      <c r="C20" s="80"/>
      <c r="D20" s="17"/>
      <c r="E20" s="17"/>
      <c r="F20" s="17"/>
      <c r="G20" s="17"/>
      <c r="H20" s="17"/>
      <c r="I20" s="17"/>
      <c r="J20" s="17"/>
      <c r="K20" s="17"/>
      <c r="L20" s="19"/>
      <c r="M20" s="17"/>
      <c r="N20" s="17"/>
      <c r="O20" s="17"/>
      <c r="P20" s="17"/>
      <c r="Q20" s="17"/>
      <c r="R20" s="17"/>
      <c r="S20" s="17"/>
      <c r="T20" s="17"/>
      <c r="U20" s="17"/>
      <c r="V20" s="19"/>
    </row>
    <row r="21" spans="1:29" x14ac:dyDescent="0.25">
      <c r="A21" s="111"/>
      <c r="B21" s="111"/>
      <c r="C21" s="80"/>
      <c r="D21" s="17"/>
      <c r="E21" s="17"/>
      <c r="F21" s="17"/>
      <c r="G21" s="17"/>
      <c r="H21" s="17"/>
      <c r="I21" s="17"/>
      <c r="J21" s="17"/>
      <c r="K21" s="17"/>
      <c r="L21" s="19"/>
      <c r="M21" s="17"/>
      <c r="N21" s="17"/>
      <c r="O21" s="17"/>
      <c r="P21" s="17"/>
      <c r="Q21" s="17"/>
      <c r="R21" s="17"/>
      <c r="S21" s="17"/>
      <c r="T21" s="17"/>
      <c r="U21" s="17"/>
      <c r="V21" s="19"/>
    </row>
    <row r="22" spans="1:29" x14ac:dyDescent="0.25">
      <c r="A22" s="111"/>
      <c r="B22" s="111"/>
      <c r="C22" s="80"/>
      <c r="D22" s="17"/>
      <c r="E22" s="17"/>
      <c r="F22" s="17"/>
      <c r="G22" s="17"/>
      <c r="H22" s="17"/>
      <c r="I22" s="17"/>
      <c r="J22" s="17"/>
      <c r="K22" s="17"/>
      <c r="L22" s="19"/>
      <c r="M22" s="17"/>
      <c r="N22" s="17"/>
      <c r="O22" s="17"/>
      <c r="P22" s="17"/>
      <c r="Q22" s="17"/>
      <c r="R22" s="17"/>
      <c r="S22" s="17"/>
      <c r="T22" s="17"/>
      <c r="U22" s="17"/>
      <c r="V22" s="19"/>
    </row>
    <row r="23" spans="1:29" x14ac:dyDescent="0.25">
      <c r="A23" s="111"/>
      <c r="B23" s="111"/>
      <c r="C23" s="80"/>
      <c r="D23" s="17"/>
      <c r="E23" s="17"/>
      <c r="F23" s="17"/>
      <c r="G23" s="17"/>
      <c r="H23" s="17"/>
      <c r="I23" s="17"/>
      <c r="J23" s="17"/>
      <c r="K23" s="17"/>
      <c r="L23" s="19"/>
      <c r="M23" s="17"/>
      <c r="N23" s="17"/>
      <c r="O23" s="17"/>
      <c r="P23" s="17"/>
      <c r="Q23" s="17"/>
      <c r="R23" s="17"/>
      <c r="S23" s="17"/>
      <c r="T23" s="17"/>
      <c r="U23" s="17"/>
      <c r="V23" s="19"/>
    </row>
    <row r="24" spans="1:29" x14ac:dyDescent="0.25">
      <c r="A24" s="111"/>
      <c r="B24" s="111"/>
      <c r="C24" s="80"/>
      <c r="D24" s="17"/>
      <c r="E24" s="17"/>
      <c r="F24" s="17"/>
      <c r="G24" s="17"/>
      <c r="H24" s="17"/>
      <c r="I24" s="17"/>
      <c r="J24" s="17"/>
      <c r="K24" s="17"/>
      <c r="L24" s="19"/>
      <c r="M24" s="17"/>
      <c r="N24" s="17"/>
      <c r="O24" s="17"/>
      <c r="P24" s="17"/>
      <c r="Q24" s="17"/>
      <c r="R24" s="17"/>
      <c r="S24" s="17"/>
      <c r="T24" s="17"/>
      <c r="U24" s="17"/>
      <c r="V24" s="19"/>
    </row>
    <row r="25" spans="1:29" x14ac:dyDescent="0.25">
      <c r="A25" s="111"/>
      <c r="B25" s="111"/>
      <c r="C25" s="80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6"/>
    </row>
    <row r="26" spans="1:29" x14ac:dyDescent="0.25">
      <c r="A26" s="81"/>
      <c r="B26" s="79"/>
      <c r="C26" s="80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6"/>
    </row>
    <row r="27" spans="1:29" x14ac:dyDescent="0.25">
      <c r="A27" s="81"/>
      <c r="B27" s="79"/>
      <c r="C27" s="80"/>
      <c r="D27" s="17"/>
      <c r="E27" s="17"/>
      <c r="F27" s="17"/>
      <c r="G27" s="17"/>
      <c r="H27" s="17"/>
      <c r="I27" s="17"/>
      <c r="J27" s="17"/>
      <c r="K27" s="17"/>
      <c r="L27" s="19"/>
      <c r="M27" s="17"/>
      <c r="N27" s="17"/>
      <c r="O27" s="17"/>
      <c r="P27" s="17"/>
      <c r="Q27" s="17"/>
      <c r="R27" s="17"/>
      <c r="S27" s="17"/>
      <c r="T27" s="17"/>
      <c r="U27" s="17"/>
      <c r="V27" s="16"/>
      <c r="W27" s="16"/>
      <c r="X27" s="16"/>
      <c r="Y27" s="16"/>
      <c r="Z27" s="16"/>
      <c r="AA27" s="16"/>
      <c r="AB27" s="16"/>
      <c r="AC27" s="16"/>
    </row>
    <row r="28" spans="1:29" ht="15" customHeight="1" x14ac:dyDescent="0.25">
      <c r="A28" s="111" t="s">
        <v>65</v>
      </c>
      <c r="B28" s="111"/>
      <c r="C28" s="80"/>
      <c r="D28" s="17"/>
      <c r="E28" s="17"/>
      <c r="F28" s="17"/>
      <c r="G28" s="17"/>
      <c r="H28" s="17"/>
      <c r="I28" s="17"/>
      <c r="J28" s="17"/>
      <c r="K28" s="17"/>
      <c r="L28" s="19"/>
      <c r="M28" s="17"/>
      <c r="N28" s="17"/>
      <c r="O28" s="17"/>
      <c r="P28" s="17"/>
      <c r="Q28" s="17"/>
      <c r="R28" s="17"/>
      <c r="S28" s="17"/>
      <c r="T28" s="17"/>
      <c r="U28" s="17"/>
      <c r="V28" s="16"/>
      <c r="W28" s="16"/>
      <c r="X28" s="16"/>
      <c r="Y28" s="16"/>
      <c r="Z28" s="16"/>
      <c r="AA28" s="16"/>
      <c r="AB28" s="16"/>
      <c r="AC28" s="16"/>
    </row>
    <row r="29" spans="1:29" ht="15" customHeight="1" x14ac:dyDescent="0.25">
      <c r="A29" s="111"/>
      <c r="B29" s="111"/>
      <c r="C29" s="80"/>
      <c r="D29" s="17"/>
      <c r="E29" s="17"/>
      <c r="F29" s="17"/>
      <c r="G29" s="17"/>
      <c r="H29" s="17"/>
      <c r="I29" s="17"/>
      <c r="J29" s="17"/>
      <c r="K29" s="17"/>
      <c r="L29" s="82"/>
      <c r="M29" s="17"/>
      <c r="N29" s="17"/>
      <c r="O29" s="17"/>
      <c r="P29" s="17"/>
      <c r="Q29" s="17"/>
      <c r="R29" s="17"/>
      <c r="S29" s="17"/>
      <c r="T29" s="17"/>
      <c r="U29" s="17"/>
      <c r="V29" s="16"/>
      <c r="W29" s="16"/>
      <c r="X29" s="16"/>
      <c r="Y29" s="16"/>
      <c r="Z29" s="16"/>
      <c r="AA29" s="16"/>
      <c r="AB29" s="16"/>
      <c r="AC29" s="16"/>
    </row>
    <row r="30" spans="1:29" x14ac:dyDescent="0.25">
      <c r="A30" s="111"/>
      <c r="B30" s="111"/>
      <c r="C30" s="80"/>
      <c r="D30" s="17"/>
      <c r="E30" s="17"/>
      <c r="F30" s="17"/>
      <c r="G30" s="17"/>
      <c r="H30" s="17"/>
      <c r="I30" s="17"/>
      <c r="J30" s="17"/>
      <c r="K30" s="17"/>
      <c r="L30" s="83"/>
      <c r="M30" s="17"/>
      <c r="N30" s="17"/>
      <c r="O30" s="17"/>
      <c r="P30" s="17"/>
      <c r="Q30" s="17"/>
      <c r="R30" s="17"/>
      <c r="S30" s="17"/>
      <c r="T30" s="17"/>
      <c r="U30" s="17"/>
      <c r="V30" s="16"/>
      <c r="W30" s="16"/>
      <c r="X30" s="16"/>
      <c r="Y30" s="16"/>
      <c r="Z30" s="16"/>
      <c r="AA30" s="16"/>
      <c r="AB30" s="16"/>
      <c r="AC30" s="16"/>
    </row>
    <row r="31" spans="1:29" x14ac:dyDescent="0.25">
      <c r="A31" s="111"/>
      <c r="B31" s="111"/>
      <c r="C31" s="80"/>
      <c r="D31" s="17"/>
      <c r="E31" s="17"/>
      <c r="F31" s="17"/>
      <c r="G31" s="17"/>
      <c r="H31" s="17"/>
      <c r="I31" s="17"/>
      <c r="J31" s="17"/>
      <c r="K31" s="17"/>
      <c r="L31" s="83"/>
      <c r="M31" s="17"/>
      <c r="N31" s="17"/>
      <c r="O31" s="17"/>
      <c r="P31" s="17"/>
      <c r="Q31" s="17"/>
      <c r="R31" s="17"/>
      <c r="S31" s="17"/>
      <c r="T31" s="17"/>
      <c r="U31" s="17"/>
      <c r="V31" s="16"/>
      <c r="W31" s="16"/>
      <c r="X31" s="16"/>
      <c r="Y31" s="16"/>
      <c r="Z31" s="16"/>
      <c r="AA31" s="16"/>
      <c r="AB31" s="16"/>
      <c r="AC31" s="16"/>
    </row>
    <row r="32" spans="1:29" x14ac:dyDescent="0.25">
      <c r="A32" s="111"/>
      <c r="B32" s="111"/>
      <c r="C32" s="80"/>
      <c r="D32" s="17"/>
      <c r="E32" s="17"/>
      <c r="F32" s="17"/>
      <c r="G32" s="17"/>
      <c r="H32" s="17"/>
      <c r="I32" s="17"/>
      <c r="J32" s="17"/>
      <c r="K32" s="17"/>
      <c r="L32" s="83"/>
      <c r="M32" s="17"/>
      <c r="N32" s="17"/>
      <c r="O32" s="17"/>
      <c r="P32" s="17"/>
      <c r="Q32" s="17"/>
      <c r="R32" s="17"/>
      <c r="S32" s="17"/>
      <c r="T32" s="17"/>
      <c r="U32" s="17"/>
      <c r="V32" s="16"/>
      <c r="W32" s="16"/>
      <c r="X32" s="16"/>
      <c r="Y32" s="16"/>
      <c r="Z32" s="16"/>
      <c r="AA32" s="16"/>
      <c r="AB32" s="16"/>
      <c r="AC32" s="16"/>
    </row>
    <row r="33" spans="1:29" x14ac:dyDescent="0.25">
      <c r="A33" s="111"/>
      <c r="B33" s="111"/>
      <c r="C33" s="80"/>
      <c r="D33" s="17"/>
      <c r="E33" s="17"/>
      <c r="F33" s="17"/>
      <c r="G33" s="17"/>
      <c r="H33" s="17"/>
      <c r="I33" s="17"/>
      <c r="J33" s="17"/>
      <c r="K33" s="17"/>
      <c r="L33" s="83"/>
      <c r="M33" s="17"/>
      <c r="N33" s="17"/>
      <c r="O33" s="17"/>
      <c r="P33" s="17"/>
      <c r="Q33" s="17"/>
      <c r="R33" s="17"/>
      <c r="S33" s="17"/>
      <c r="T33" s="17"/>
      <c r="U33" s="17"/>
      <c r="V33" s="16"/>
      <c r="W33" s="16"/>
      <c r="X33" s="16"/>
      <c r="Y33" s="16"/>
      <c r="Z33" s="16"/>
      <c r="AA33" s="16"/>
      <c r="AB33" s="16"/>
      <c r="AC33" s="16"/>
    </row>
    <row r="34" spans="1:29" x14ac:dyDescent="0.25">
      <c r="A34" s="111"/>
      <c r="B34" s="111"/>
      <c r="C34" s="80"/>
      <c r="D34" s="17"/>
      <c r="E34" s="17"/>
      <c r="F34" s="17"/>
      <c r="G34" s="17"/>
      <c r="H34" s="17"/>
      <c r="I34" s="17"/>
      <c r="J34" s="17"/>
      <c r="K34" s="17"/>
      <c r="L34" s="83"/>
      <c r="M34" s="17"/>
      <c r="N34" s="17"/>
      <c r="O34" s="17"/>
      <c r="P34" s="17"/>
      <c r="Q34" s="17"/>
      <c r="R34" s="17"/>
      <c r="S34" s="17"/>
      <c r="T34" s="17"/>
      <c r="U34" s="17"/>
      <c r="V34" s="16"/>
      <c r="W34" s="16"/>
      <c r="X34" s="16"/>
      <c r="Y34" s="16"/>
      <c r="Z34" s="16"/>
      <c r="AA34" s="16"/>
      <c r="AB34" s="16"/>
      <c r="AC34" s="16"/>
    </row>
    <row r="35" spans="1:29" x14ac:dyDescent="0.25">
      <c r="A35" s="111"/>
      <c r="B35" s="111"/>
      <c r="C35" s="80"/>
      <c r="D35" s="17"/>
      <c r="E35" s="17"/>
      <c r="F35" s="17"/>
      <c r="G35" s="17"/>
      <c r="H35" s="17"/>
      <c r="I35" s="17"/>
      <c r="J35" s="17"/>
      <c r="K35" s="17"/>
      <c r="L35" s="83"/>
      <c r="M35" s="17"/>
      <c r="N35" s="17"/>
      <c r="O35" s="17"/>
      <c r="P35" s="17"/>
      <c r="Q35" s="17"/>
      <c r="R35" s="17"/>
      <c r="S35" s="17"/>
      <c r="T35" s="17"/>
      <c r="U35" s="17"/>
      <c r="V35" s="16"/>
      <c r="W35" s="16"/>
      <c r="X35" s="16"/>
      <c r="Y35" s="16"/>
      <c r="Z35" s="16"/>
      <c r="AA35" s="16"/>
      <c r="AB35" s="16"/>
      <c r="AC35" s="16"/>
    </row>
    <row r="36" spans="1:29" x14ac:dyDescent="0.25">
      <c r="A36" s="111"/>
      <c r="B36" s="111"/>
      <c r="C36" s="80"/>
      <c r="D36" s="17"/>
      <c r="E36" s="17"/>
      <c r="F36" s="17"/>
      <c r="G36" s="17"/>
      <c r="H36" s="17"/>
      <c r="I36" s="17"/>
      <c r="J36" s="17"/>
      <c r="K36" s="17"/>
      <c r="L36" s="83"/>
      <c r="M36" s="17"/>
      <c r="N36" s="17"/>
      <c r="O36" s="17"/>
      <c r="P36" s="17"/>
      <c r="Q36" s="17"/>
      <c r="R36" s="17"/>
      <c r="S36" s="17"/>
      <c r="T36" s="17"/>
      <c r="U36" s="17"/>
      <c r="V36" s="16"/>
      <c r="W36" s="16"/>
      <c r="X36" s="16"/>
      <c r="Y36" s="16"/>
      <c r="Z36" s="16"/>
      <c r="AA36" s="16"/>
      <c r="AB36" s="16"/>
      <c r="AC36" s="16"/>
    </row>
    <row r="37" spans="1:29" x14ac:dyDescent="0.25">
      <c r="A37" s="111"/>
      <c r="B37" s="111"/>
      <c r="C37" s="80"/>
      <c r="D37" s="17"/>
      <c r="E37" s="17"/>
      <c r="F37" s="17"/>
      <c r="G37" s="17"/>
      <c r="H37" s="17"/>
      <c r="I37" s="17"/>
      <c r="J37" s="17"/>
      <c r="K37" s="17"/>
      <c r="L37" s="83"/>
      <c r="M37" s="17"/>
      <c r="N37" s="17"/>
      <c r="O37" s="17"/>
      <c r="P37" s="17"/>
      <c r="Q37" s="17"/>
      <c r="R37" s="17"/>
      <c r="S37" s="17"/>
      <c r="T37" s="17"/>
      <c r="U37" s="17"/>
      <c r="V37" s="16"/>
      <c r="W37" s="16"/>
      <c r="X37" s="16"/>
      <c r="Y37" s="16"/>
      <c r="Z37" s="16"/>
      <c r="AA37" s="16"/>
      <c r="AB37" s="16"/>
      <c r="AC37" s="16"/>
    </row>
    <row r="38" spans="1:29" x14ac:dyDescent="0.25">
      <c r="A38" s="111"/>
      <c r="B38" s="111"/>
      <c r="C38" s="80"/>
      <c r="D38" s="17"/>
      <c r="E38" s="17"/>
      <c r="F38" s="17"/>
      <c r="G38" s="17"/>
      <c r="H38" s="17"/>
      <c r="I38" s="17"/>
      <c r="J38" s="17"/>
      <c r="K38" s="17"/>
      <c r="L38" s="83"/>
      <c r="M38" s="17"/>
      <c r="N38" s="17"/>
      <c r="O38" s="17"/>
      <c r="P38" s="17"/>
      <c r="Q38" s="17"/>
      <c r="R38" s="17"/>
      <c r="S38" s="17"/>
      <c r="T38" s="17"/>
      <c r="U38" s="17"/>
      <c r="V38" s="16"/>
      <c r="W38" s="16"/>
      <c r="X38" s="16"/>
      <c r="Y38" s="16"/>
      <c r="Z38" s="16"/>
      <c r="AA38" s="16"/>
      <c r="AB38" s="16"/>
      <c r="AC38" s="16"/>
    </row>
    <row r="39" spans="1:29" x14ac:dyDescent="0.25">
      <c r="A39" s="111"/>
      <c r="B39" s="111"/>
      <c r="C39" s="80"/>
      <c r="D39" s="17"/>
      <c r="E39" s="17"/>
      <c r="F39" s="17"/>
      <c r="G39" s="17"/>
      <c r="H39" s="17"/>
      <c r="I39" s="17"/>
      <c r="J39" s="17"/>
      <c r="K39" s="17"/>
      <c r="L39" s="83"/>
      <c r="M39" s="17"/>
      <c r="N39" s="17"/>
      <c r="O39" s="17"/>
      <c r="P39" s="17"/>
      <c r="Q39" s="17"/>
      <c r="R39" s="17"/>
      <c r="S39" s="17"/>
      <c r="T39" s="17"/>
      <c r="U39" s="17"/>
      <c r="V39" s="16"/>
      <c r="W39" s="16"/>
      <c r="X39" s="16"/>
      <c r="Y39" s="16"/>
      <c r="Z39" s="16"/>
      <c r="AA39" s="16"/>
      <c r="AB39" s="16"/>
      <c r="AC39" s="16"/>
    </row>
    <row r="40" spans="1:29" x14ac:dyDescent="0.25">
      <c r="A40" s="111"/>
      <c r="B40" s="111"/>
      <c r="C40" s="80"/>
      <c r="D40" s="17"/>
      <c r="E40" s="17"/>
      <c r="F40" s="17"/>
      <c r="G40" s="17"/>
      <c r="H40" s="17"/>
      <c r="I40" s="17"/>
      <c r="J40" s="17"/>
      <c r="K40" s="17"/>
      <c r="L40" s="83"/>
      <c r="M40" s="17"/>
      <c r="N40" s="17"/>
      <c r="O40" s="17"/>
      <c r="P40" s="17"/>
      <c r="Q40" s="17"/>
      <c r="R40" s="17"/>
      <c r="S40" s="17"/>
      <c r="T40" s="17"/>
      <c r="U40" s="17"/>
      <c r="V40" s="16"/>
      <c r="W40" s="16"/>
      <c r="X40" s="16"/>
      <c r="Y40" s="16"/>
      <c r="Z40" s="16"/>
      <c r="AA40" s="16"/>
      <c r="AB40" s="16"/>
      <c r="AC40" s="16"/>
    </row>
    <row r="41" spans="1:29" x14ac:dyDescent="0.25">
      <c r="A41" s="111"/>
      <c r="B41" s="111"/>
      <c r="C41" s="80"/>
      <c r="D41" s="17"/>
      <c r="E41" s="17"/>
      <c r="F41" s="17"/>
      <c r="G41" s="17"/>
      <c r="H41" s="17"/>
      <c r="I41" s="17"/>
      <c r="J41" s="17"/>
      <c r="K41" s="17"/>
      <c r="L41" s="83"/>
      <c r="M41" s="17"/>
      <c r="N41" s="17"/>
      <c r="O41" s="17"/>
      <c r="P41" s="17"/>
      <c r="Q41" s="17"/>
      <c r="R41" s="17"/>
      <c r="S41" s="17"/>
      <c r="T41" s="17"/>
      <c r="U41" s="17"/>
      <c r="V41" s="16"/>
      <c r="W41" s="16"/>
      <c r="X41" s="16"/>
      <c r="Y41" s="16"/>
      <c r="Z41" s="16"/>
      <c r="AA41" s="16"/>
      <c r="AB41" s="16"/>
      <c r="AC41" s="16"/>
    </row>
    <row r="42" spans="1:29" x14ac:dyDescent="0.25">
      <c r="A42" s="111"/>
      <c r="B42" s="111"/>
      <c r="C42" s="80"/>
      <c r="D42" s="17"/>
      <c r="E42" s="17"/>
      <c r="F42" s="17"/>
      <c r="G42" s="17"/>
      <c r="H42" s="17"/>
      <c r="I42" s="17"/>
      <c r="J42" s="17"/>
      <c r="K42" s="17"/>
      <c r="L42" s="83"/>
      <c r="M42" s="17"/>
      <c r="N42" s="17"/>
      <c r="O42" s="17"/>
      <c r="P42" s="17"/>
      <c r="Q42" s="17"/>
      <c r="R42" s="17"/>
      <c r="S42" s="17"/>
      <c r="T42" s="17"/>
      <c r="U42" s="17"/>
      <c r="V42" s="16"/>
      <c r="W42" s="16"/>
      <c r="X42" s="16"/>
      <c r="Y42" s="16"/>
      <c r="Z42" s="16"/>
      <c r="AA42" s="16"/>
      <c r="AB42" s="16"/>
      <c r="AC42" s="16"/>
    </row>
    <row r="43" spans="1:29" x14ac:dyDescent="0.25">
      <c r="A43" s="111"/>
      <c r="B43" s="111"/>
      <c r="C43" s="80"/>
      <c r="D43" s="17"/>
      <c r="E43" s="17"/>
      <c r="F43" s="17"/>
      <c r="G43" s="17"/>
      <c r="H43" s="17"/>
      <c r="I43" s="17"/>
      <c r="J43" s="17"/>
      <c r="K43" s="17"/>
      <c r="L43" s="83"/>
      <c r="M43" s="17"/>
      <c r="N43" s="17"/>
      <c r="O43" s="17"/>
      <c r="P43" s="17"/>
      <c r="Q43" s="17"/>
      <c r="R43" s="17"/>
      <c r="S43" s="17"/>
      <c r="T43" s="17"/>
      <c r="U43" s="17"/>
      <c r="V43" s="16"/>
      <c r="W43" s="16"/>
      <c r="X43" s="16"/>
      <c r="Y43" s="16"/>
      <c r="Z43" s="16"/>
      <c r="AA43" s="16"/>
      <c r="AB43" s="16"/>
      <c r="AC43" s="16"/>
    </row>
    <row r="44" spans="1:29" x14ac:dyDescent="0.25">
      <c r="A44" s="111"/>
      <c r="B44" s="111"/>
      <c r="C44" s="80"/>
      <c r="D44" s="17"/>
      <c r="E44" s="17"/>
      <c r="F44" s="17"/>
      <c r="G44" s="17"/>
      <c r="H44" s="17"/>
      <c r="I44" s="17"/>
      <c r="J44" s="17"/>
      <c r="K44" s="17"/>
      <c r="L44" s="83"/>
      <c r="M44" s="17"/>
      <c r="N44" s="17"/>
      <c r="O44" s="17"/>
      <c r="P44" s="17"/>
      <c r="Q44" s="17"/>
      <c r="R44" s="17"/>
      <c r="S44" s="17"/>
      <c r="T44" s="17"/>
      <c r="U44" s="17"/>
      <c r="V44" s="16"/>
      <c r="W44" s="16"/>
      <c r="X44" s="16"/>
      <c r="Y44" s="16"/>
      <c r="Z44" s="16"/>
      <c r="AA44" s="16"/>
      <c r="AB44" s="16"/>
      <c r="AC44" s="16"/>
    </row>
    <row r="45" spans="1:29" x14ac:dyDescent="0.25">
      <c r="A45" s="111"/>
      <c r="B45" s="111"/>
      <c r="C45" s="80"/>
      <c r="D45" s="17"/>
      <c r="E45" s="17"/>
      <c r="F45" s="17"/>
      <c r="G45" s="17"/>
      <c r="H45" s="17"/>
      <c r="I45" s="17"/>
      <c r="J45" s="17"/>
      <c r="K45" s="17"/>
      <c r="L45" s="83"/>
      <c r="M45" s="17"/>
      <c r="N45" s="17"/>
      <c r="O45" s="17"/>
      <c r="P45" s="17"/>
      <c r="Q45" s="17"/>
      <c r="R45" s="17"/>
      <c r="S45" s="17"/>
      <c r="T45" s="17"/>
      <c r="U45" s="17"/>
      <c r="V45" s="16"/>
      <c r="W45" s="16"/>
      <c r="X45" s="16"/>
      <c r="Y45" s="16"/>
      <c r="Z45" s="16"/>
      <c r="AA45" s="16"/>
      <c r="AB45" s="16"/>
      <c r="AC45" s="16"/>
    </row>
    <row r="46" spans="1:29" x14ac:dyDescent="0.25">
      <c r="A46" s="111"/>
      <c r="B46" s="111"/>
      <c r="C46" s="80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6"/>
      <c r="W46" s="16"/>
      <c r="X46" s="16"/>
      <c r="Y46" s="16"/>
      <c r="Z46" s="16"/>
      <c r="AA46" s="16"/>
      <c r="AB46" s="16"/>
      <c r="AC46" s="16"/>
    </row>
    <row r="47" spans="1:29" x14ac:dyDescent="0.25">
      <c r="A47" s="81"/>
      <c r="B47" s="79"/>
      <c r="C47" s="80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6"/>
      <c r="W47" s="16"/>
      <c r="X47" s="16"/>
      <c r="Y47" s="16"/>
      <c r="Z47" s="16"/>
      <c r="AA47" s="16"/>
      <c r="AB47" s="16"/>
      <c r="AC47" s="16"/>
    </row>
    <row r="48" spans="1:29" x14ac:dyDescent="0.25">
      <c r="A48" s="81"/>
      <c r="B48" s="79"/>
      <c r="C48" s="80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6"/>
      <c r="W48" s="16"/>
      <c r="X48" s="16"/>
      <c r="Y48" s="16"/>
      <c r="Z48" s="16"/>
      <c r="AA48" s="16"/>
      <c r="AB48" s="16"/>
      <c r="AC48" s="16"/>
    </row>
    <row r="49" spans="1:29" ht="15" customHeight="1" x14ac:dyDescent="0.25">
      <c r="A49" s="111" t="s">
        <v>66</v>
      </c>
      <c r="B49" s="111"/>
      <c r="C49" s="80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6"/>
      <c r="W49" s="16"/>
      <c r="X49" s="16"/>
      <c r="Y49" s="16"/>
      <c r="Z49" s="16"/>
      <c r="AA49" s="16"/>
      <c r="AB49" s="16"/>
      <c r="AC49" s="16"/>
    </row>
    <row r="50" spans="1:29" x14ac:dyDescent="0.25">
      <c r="A50" s="111"/>
      <c r="B50" s="111"/>
      <c r="C50" s="80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6"/>
      <c r="W50" s="16"/>
      <c r="X50" s="16"/>
      <c r="Y50" s="16"/>
      <c r="Z50" s="16"/>
      <c r="AA50" s="16"/>
      <c r="AB50" s="16"/>
      <c r="AC50" s="16"/>
    </row>
    <row r="51" spans="1:29" x14ac:dyDescent="0.25">
      <c r="A51" s="111"/>
      <c r="B51" s="111"/>
      <c r="C51" s="80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6"/>
      <c r="W51" s="16"/>
      <c r="X51" s="16"/>
      <c r="Y51" s="16"/>
      <c r="Z51" s="16"/>
      <c r="AA51" s="16"/>
      <c r="AB51" s="16"/>
      <c r="AC51" s="16"/>
    </row>
    <row r="52" spans="1:29" x14ac:dyDescent="0.25">
      <c r="A52" s="111"/>
      <c r="B52" s="111"/>
      <c r="C52" s="80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6"/>
      <c r="W52" s="16"/>
      <c r="X52" s="16"/>
      <c r="Y52" s="16"/>
      <c r="Z52" s="16"/>
      <c r="AA52" s="16"/>
      <c r="AB52" s="16"/>
      <c r="AC52" s="16"/>
    </row>
    <row r="53" spans="1:29" x14ac:dyDescent="0.25">
      <c r="A53" s="111"/>
      <c r="B53" s="111"/>
      <c r="C53" s="80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6"/>
      <c r="W53" s="16"/>
      <c r="X53" s="16"/>
      <c r="Y53" s="16"/>
      <c r="Z53" s="16"/>
      <c r="AA53" s="16"/>
      <c r="AB53" s="16"/>
      <c r="AC53" s="16"/>
    </row>
    <row r="54" spans="1:29" x14ac:dyDescent="0.25">
      <c r="A54" s="111"/>
      <c r="B54" s="111"/>
      <c r="C54" s="80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6"/>
      <c r="W54" s="16"/>
      <c r="X54" s="16"/>
      <c r="Y54" s="16"/>
      <c r="Z54" s="16"/>
      <c r="AA54" s="16"/>
      <c r="AB54" s="16"/>
      <c r="AC54" s="16"/>
    </row>
    <row r="55" spans="1:29" x14ac:dyDescent="0.25">
      <c r="A55" s="111"/>
      <c r="B55" s="111"/>
      <c r="C55" s="80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6"/>
      <c r="W55" s="16"/>
      <c r="X55" s="16"/>
      <c r="Y55" s="16"/>
      <c r="Z55" s="16"/>
      <c r="AA55" s="16"/>
      <c r="AB55" s="16"/>
      <c r="AC55" s="16"/>
    </row>
    <row r="56" spans="1:29" x14ac:dyDescent="0.25">
      <c r="A56" s="111"/>
      <c r="B56" s="111"/>
      <c r="C56" s="80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6"/>
      <c r="W56" s="16"/>
      <c r="X56" s="16"/>
      <c r="Y56" s="16"/>
      <c r="Z56" s="16"/>
      <c r="AA56" s="16"/>
      <c r="AB56" s="16"/>
      <c r="AC56" s="16"/>
    </row>
    <row r="57" spans="1:29" x14ac:dyDescent="0.25">
      <c r="A57" s="111"/>
      <c r="B57" s="111"/>
      <c r="C57" s="80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6"/>
      <c r="W57" s="16"/>
      <c r="X57" s="16"/>
      <c r="Y57" s="16"/>
      <c r="Z57" s="16"/>
      <c r="AA57" s="16"/>
      <c r="AB57" s="16"/>
      <c r="AC57" s="16"/>
    </row>
    <row r="58" spans="1:29" x14ac:dyDescent="0.25">
      <c r="A58" s="111"/>
      <c r="B58" s="111"/>
      <c r="C58" s="80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6"/>
      <c r="W58" s="16"/>
      <c r="X58" s="16"/>
      <c r="Y58" s="16"/>
      <c r="Z58" s="16"/>
      <c r="AA58" s="16"/>
      <c r="AB58" s="16"/>
      <c r="AC58" s="16"/>
    </row>
    <row r="59" spans="1:29" x14ac:dyDescent="0.25">
      <c r="A59" s="111"/>
      <c r="B59" s="111"/>
      <c r="C59" s="80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6"/>
      <c r="W59" s="16"/>
      <c r="X59" s="16"/>
      <c r="Y59" s="16"/>
      <c r="Z59" s="16"/>
      <c r="AA59" s="16"/>
      <c r="AB59" s="16"/>
      <c r="AC59" s="16"/>
    </row>
    <row r="60" spans="1:29" x14ac:dyDescent="0.25">
      <c r="A60" s="111"/>
      <c r="B60" s="111"/>
      <c r="C60" s="80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6"/>
      <c r="W60" s="16"/>
      <c r="X60" s="16"/>
      <c r="Y60" s="16"/>
      <c r="Z60" s="16"/>
      <c r="AA60" s="16"/>
      <c r="AB60" s="16"/>
      <c r="AC60" s="16"/>
    </row>
    <row r="61" spans="1:29" x14ac:dyDescent="0.25">
      <c r="A61" s="111"/>
      <c r="B61" s="111"/>
      <c r="C61" s="80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6"/>
      <c r="W61" s="16"/>
      <c r="X61" s="16"/>
      <c r="Y61" s="16"/>
      <c r="Z61" s="16"/>
      <c r="AA61" s="16"/>
      <c r="AB61" s="16"/>
      <c r="AC61" s="16"/>
    </row>
    <row r="62" spans="1:29" x14ac:dyDescent="0.25">
      <c r="A62" s="111"/>
      <c r="B62" s="111"/>
      <c r="C62" s="80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6"/>
      <c r="W62" s="16"/>
      <c r="X62" s="16"/>
      <c r="Y62" s="16"/>
      <c r="Z62" s="16"/>
      <c r="AA62" s="16"/>
      <c r="AB62" s="16"/>
      <c r="AC62" s="16"/>
    </row>
    <row r="63" spans="1:29" x14ac:dyDescent="0.25">
      <c r="A63" s="111"/>
      <c r="B63" s="111"/>
      <c r="C63" s="80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6"/>
      <c r="W63" s="16"/>
      <c r="X63" s="16"/>
      <c r="Y63" s="16"/>
      <c r="Z63" s="16"/>
      <c r="AA63" s="16"/>
      <c r="AB63" s="16"/>
      <c r="AC63" s="16"/>
    </row>
    <row r="64" spans="1:29" x14ac:dyDescent="0.25">
      <c r="A64" s="111"/>
      <c r="B64" s="111"/>
      <c r="C64" s="80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6"/>
      <c r="W64" s="16"/>
      <c r="X64" s="16"/>
      <c r="Y64" s="16"/>
      <c r="Z64" s="16"/>
      <c r="AA64" s="16"/>
      <c r="AB64" s="16"/>
      <c r="AC64" s="16"/>
    </row>
    <row r="65" spans="1:29" x14ac:dyDescent="0.25">
      <c r="A65" s="111"/>
      <c r="B65" s="111"/>
      <c r="C65" s="80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6"/>
      <c r="W65" s="16"/>
      <c r="X65" s="16"/>
      <c r="Y65" s="16"/>
      <c r="Z65" s="16"/>
      <c r="AA65" s="16"/>
      <c r="AB65" s="16"/>
      <c r="AC65" s="16"/>
    </row>
    <row r="66" spans="1:29" x14ac:dyDescent="0.25">
      <c r="A66" s="111"/>
      <c r="B66" s="111"/>
      <c r="C66" s="80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6"/>
      <c r="W66" s="16"/>
      <c r="X66" s="16"/>
      <c r="Y66" s="16"/>
      <c r="Z66" s="16"/>
      <c r="AA66" s="16"/>
      <c r="AB66" s="16"/>
      <c r="AC66" s="16"/>
    </row>
    <row r="67" spans="1:29" x14ac:dyDescent="0.25">
      <c r="A67" s="111"/>
      <c r="B67" s="111"/>
      <c r="C67" s="80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6"/>
      <c r="W67" s="16"/>
      <c r="X67" s="16"/>
      <c r="Y67" s="16"/>
      <c r="Z67" s="16"/>
      <c r="AA67" s="16"/>
      <c r="AB67" s="16"/>
      <c r="AC67" s="16"/>
    </row>
    <row r="68" spans="1:29" x14ac:dyDescent="0.25">
      <c r="A68" s="81"/>
      <c r="B68" s="79"/>
      <c r="C68" s="80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6"/>
      <c r="W68" s="16"/>
      <c r="X68" s="16"/>
      <c r="Y68" s="16"/>
      <c r="Z68" s="16"/>
      <c r="AA68" s="16"/>
      <c r="AB68" s="16"/>
      <c r="AC68" s="16"/>
    </row>
    <row r="69" spans="1:29" ht="15" customHeight="1" x14ac:dyDescent="0.25">
      <c r="A69" s="111" t="s">
        <v>67</v>
      </c>
      <c r="B69" s="111"/>
      <c r="C69" s="8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6"/>
      <c r="W69" s="16"/>
      <c r="X69" s="16"/>
      <c r="Y69" s="16"/>
      <c r="Z69" s="16"/>
      <c r="AA69" s="16"/>
      <c r="AB69" s="16"/>
      <c r="AC69" s="16"/>
    </row>
    <row r="70" spans="1:29" x14ac:dyDescent="0.25">
      <c r="A70" s="111"/>
      <c r="B70" s="111"/>
      <c r="C70" s="80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6"/>
      <c r="W70" s="16"/>
      <c r="X70" s="16"/>
      <c r="Y70" s="16"/>
      <c r="Z70" s="16"/>
      <c r="AA70" s="16"/>
      <c r="AB70" s="16"/>
      <c r="AC70" s="16"/>
    </row>
    <row r="71" spans="1:29" x14ac:dyDescent="0.25">
      <c r="A71" s="111"/>
      <c r="B71" s="111"/>
      <c r="C71" s="80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6"/>
      <c r="W71" s="16"/>
      <c r="X71" s="16"/>
      <c r="Y71" s="16"/>
      <c r="Z71" s="16"/>
      <c r="AA71" s="16"/>
      <c r="AB71" s="16"/>
      <c r="AC71" s="16"/>
    </row>
    <row r="72" spans="1:29" x14ac:dyDescent="0.25">
      <c r="A72" s="111"/>
      <c r="B72" s="111"/>
      <c r="C72" s="80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6"/>
      <c r="W72" s="16"/>
      <c r="X72" s="16"/>
      <c r="Y72" s="16"/>
      <c r="Z72" s="16"/>
      <c r="AA72" s="16"/>
      <c r="AB72" s="16"/>
      <c r="AC72" s="16"/>
    </row>
    <row r="73" spans="1:29" x14ac:dyDescent="0.25">
      <c r="A73" s="111"/>
      <c r="B73" s="111"/>
      <c r="C73" s="80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6"/>
      <c r="W73" s="16"/>
      <c r="X73" s="16"/>
      <c r="Y73" s="16"/>
      <c r="Z73" s="16"/>
      <c r="AA73" s="16"/>
      <c r="AB73" s="16"/>
      <c r="AC73" s="16"/>
    </row>
    <row r="74" spans="1:29" x14ac:dyDescent="0.25">
      <c r="A74" s="111"/>
      <c r="B74" s="111"/>
      <c r="C74" s="80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6"/>
      <c r="W74" s="16"/>
      <c r="X74" s="16"/>
      <c r="Y74" s="16"/>
      <c r="Z74" s="16"/>
      <c r="AA74" s="16"/>
      <c r="AB74" s="16"/>
      <c r="AC74" s="16"/>
    </row>
    <row r="75" spans="1:29" x14ac:dyDescent="0.25">
      <c r="A75" s="111"/>
      <c r="B75" s="111"/>
      <c r="C75" s="80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6"/>
      <c r="W75" s="16"/>
      <c r="X75" s="16"/>
      <c r="Y75" s="16"/>
      <c r="Z75" s="16"/>
      <c r="AA75" s="16"/>
      <c r="AB75" s="16"/>
      <c r="AC75" s="16"/>
    </row>
    <row r="76" spans="1:29" x14ac:dyDescent="0.25">
      <c r="A76" s="111"/>
      <c r="B76" s="111"/>
      <c r="C76" s="80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6"/>
      <c r="W76" s="16"/>
      <c r="X76" s="16"/>
      <c r="Y76" s="16"/>
      <c r="Z76" s="16"/>
      <c r="AA76" s="16"/>
      <c r="AB76" s="16"/>
      <c r="AC76" s="16"/>
    </row>
    <row r="77" spans="1:29" x14ac:dyDescent="0.25">
      <c r="A77" s="111"/>
      <c r="B77" s="111"/>
      <c r="C77" s="80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6"/>
      <c r="W77" s="16"/>
      <c r="X77" s="16"/>
      <c r="Y77" s="16"/>
      <c r="Z77" s="16"/>
      <c r="AA77" s="16"/>
      <c r="AB77" s="16"/>
      <c r="AC77" s="16"/>
    </row>
    <row r="78" spans="1:29" x14ac:dyDescent="0.25">
      <c r="A78" s="111"/>
      <c r="B78" s="111"/>
      <c r="C78" s="80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6"/>
      <c r="W78" s="16"/>
      <c r="X78" s="16"/>
      <c r="Y78" s="16"/>
      <c r="Z78" s="16"/>
      <c r="AA78" s="16"/>
      <c r="AB78" s="16"/>
      <c r="AC78" s="16"/>
    </row>
    <row r="79" spans="1:29" x14ac:dyDescent="0.25">
      <c r="A79" s="111"/>
      <c r="B79" s="111"/>
      <c r="C79" s="80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6"/>
      <c r="W79" s="16"/>
      <c r="X79" s="16"/>
      <c r="Y79" s="16"/>
      <c r="Z79" s="16"/>
      <c r="AA79" s="16"/>
      <c r="AB79" s="16"/>
      <c r="AC79" s="16"/>
    </row>
    <row r="80" spans="1:29" x14ac:dyDescent="0.25">
      <c r="A80" s="111"/>
      <c r="B80" s="111"/>
      <c r="C80" s="80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6"/>
      <c r="W80" s="16"/>
      <c r="X80" s="16"/>
      <c r="Y80" s="16"/>
      <c r="Z80" s="16"/>
      <c r="AA80" s="16"/>
      <c r="AB80" s="16"/>
      <c r="AC80" s="16"/>
    </row>
    <row r="81" spans="1:30" x14ac:dyDescent="0.25">
      <c r="A81" s="111"/>
      <c r="B81" s="111"/>
      <c r="C81" s="80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6"/>
      <c r="W81" s="16"/>
      <c r="X81" s="16"/>
      <c r="Y81" s="16"/>
      <c r="Z81" s="16"/>
      <c r="AA81" s="16"/>
      <c r="AB81" s="16"/>
      <c r="AC81" s="16"/>
    </row>
    <row r="82" spans="1:30" x14ac:dyDescent="0.25">
      <c r="A82" s="111"/>
      <c r="B82" s="111"/>
      <c r="C82" s="80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6"/>
      <c r="W82" s="16"/>
      <c r="X82" s="16"/>
      <c r="Y82" s="16"/>
      <c r="Z82" s="16"/>
      <c r="AA82" s="16"/>
      <c r="AB82" s="16"/>
      <c r="AC82" s="16"/>
    </row>
    <row r="83" spans="1:30" x14ac:dyDescent="0.25">
      <c r="A83" s="111"/>
      <c r="B83" s="111"/>
      <c r="C83" s="80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6"/>
      <c r="W83" s="16"/>
      <c r="X83" s="16"/>
      <c r="Y83" s="16"/>
      <c r="Z83" s="16"/>
      <c r="AA83" s="16"/>
      <c r="AB83" s="16"/>
      <c r="AC83" s="16"/>
    </row>
    <row r="84" spans="1:30" x14ac:dyDescent="0.25">
      <c r="A84" s="111"/>
      <c r="B84" s="111"/>
      <c r="C84" s="80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6"/>
      <c r="W84" s="16"/>
      <c r="X84" s="16"/>
      <c r="Y84" s="16"/>
      <c r="Z84" s="16"/>
      <c r="AA84" s="16"/>
      <c r="AB84" s="16"/>
      <c r="AC84" s="16"/>
    </row>
    <row r="85" spans="1:30" x14ac:dyDescent="0.25">
      <c r="A85" s="111"/>
      <c r="B85" s="111"/>
      <c r="C85" s="80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6"/>
      <c r="W85" s="16"/>
      <c r="X85" s="16"/>
      <c r="Y85" s="16"/>
      <c r="Z85" s="16"/>
      <c r="AA85" s="16"/>
      <c r="AB85" s="16"/>
      <c r="AC85" s="16"/>
    </row>
    <row r="86" spans="1:30" x14ac:dyDescent="0.25">
      <c r="A86" s="111"/>
      <c r="B86" s="111"/>
      <c r="C86" s="80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6"/>
      <c r="W86" s="16"/>
      <c r="X86" s="16"/>
      <c r="Y86" s="16"/>
      <c r="Z86" s="16"/>
      <c r="AA86" s="16"/>
      <c r="AB86" s="16"/>
      <c r="AC86" s="16"/>
    </row>
    <row r="87" spans="1:30" x14ac:dyDescent="0.25">
      <c r="A87" s="111"/>
      <c r="B87" s="111"/>
      <c r="C87" s="80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6"/>
      <c r="W87" s="16"/>
      <c r="X87" s="16"/>
      <c r="Y87" s="16"/>
      <c r="Z87" s="16"/>
      <c r="AA87" s="16"/>
      <c r="AB87" s="16"/>
      <c r="AC87" s="16"/>
    </row>
    <row r="88" spans="1:30" x14ac:dyDescent="0.25">
      <c r="A88" s="16"/>
      <c r="B88" s="18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6"/>
      <c r="W88" s="16"/>
      <c r="X88" s="16"/>
      <c r="Y88" s="16"/>
      <c r="Z88" s="16"/>
      <c r="AA88" s="16"/>
      <c r="AB88" s="16"/>
      <c r="AC88" s="16"/>
    </row>
    <row r="89" spans="1:30" x14ac:dyDescent="0.25">
      <c r="A89" s="16"/>
      <c r="B89" s="18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6"/>
      <c r="W89" s="16"/>
      <c r="X89" s="16"/>
      <c r="Y89" s="16"/>
      <c r="Z89" s="16"/>
      <c r="AA89" s="16"/>
      <c r="AB89" s="16"/>
      <c r="AC89" s="16"/>
    </row>
    <row r="90" spans="1:30" x14ac:dyDescent="0.25">
      <c r="A90" s="16"/>
      <c r="B90" s="18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6"/>
      <c r="W90" s="16"/>
      <c r="X90" s="16"/>
      <c r="Y90" s="16"/>
      <c r="Z90" s="16"/>
      <c r="AA90" s="16"/>
      <c r="AB90" s="16"/>
      <c r="AC90" s="16"/>
    </row>
    <row r="91" spans="1:30" ht="15" customHeight="1" x14ac:dyDescent="0.25">
      <c r="A91" s="17"/>
      <c r="B91" s="17"/>
      <c r="C91" s="112" t="s">
        <v>68</v>
      </c>
      <c r="D91" s="112"/>
      <c r="E91" s="112"/>
      <c r="F91" s="112"/>
      <c r="G91" s="112"/>
      <c r="H91" s="112"/>
      <c r="I91" s="112"/>
      <c r="J91" s="112"/>
      <c r="K91" s="112"/>
      <c r="L91" s="112" t="s">
        <v>68</v>
      </c>
      <c r="M91" s="112"/>
      <c r="N91" s="112"/>
      <c r="O91" s="112"/>
      <c r="P91" s="112"/>
      <c r="Q91" s="112"/>
      <c r="R91" s="112"/>
      <c r="S91" s="112"/>
      <c r="T91" s="112"/>
      <c r="U91" s="112" t="s">
        <v>68</v>
      </c>
      <c r="V91" s="112"/>
      <c r="W91" s="112"/>
      <c r="X91" s="112"/>
      <c r="Y91" s="112"/>
      <c r="Z91" s="112"/>
      <c r="AA91" s="112"/>
      <c r="AB91" s="112"/>
      <c r="AC91" s="112"/>
      <c r="AD91" s="5"/>
    </row>
    <row r="92" spans="1:30" ht="15" customHeight="1" x14ac:dyDescent="0.25">
      <c r="A92" s="17"/>
      <c r="B92" s="18"/>
      <c r="C92" s="112"/>
      <c r="D92" s="112"/>
      <c r="E92" s="112"/>
      <c r="F92" s="112"/>
      <c r="G92" s="112"/>
      <c r="H92" s="112"/>
      <c r="I92" s="112"/>
      <c r="J92" s="112"/>
      <c r="K92" s="112"/>
      <c r="L92" s="112"/>
      <c r="M92" s="112"/>
      <c r="N92" s="112"/>
      <c r="O92" s="112"/>
      <c r="P92" s="112"/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5"/>
    </row>
    <row r="93" spans="1:30" ht="15" customHeight="1" x14ac:dyDescent="0.25">
      <c r="AD93" s="5"/>
    </row>
  </sheetData>
  <mergeCells count="10">
    <mergeCell ref="A69:B87"/>
    <mergeCell ref="C91:K92"/>
    <mergeCell ref="L91:T92"/>
    <mergeCell ref="U91:AC92"/>
    <mergeCell ref="D2:J5"/>
    <mergeCell ref="M2:S5"/>
    <mergeCell ref="V2:AB5"/>
    <mergeCell ref="A7:B25"/>
    <mergeCell ref="A28:B46"/>
    <mergeCell ref="A49:B67"/>
  </mergeCells>
  <printOptions horizontalCentered="1" verticalCentered="1"/>
  <pageMargins left="0" right="0" top="0" bottom="0" header="0" footer="0"/>
  <pageSetup scale="45" orientation="landscape" horizontalDpi="4294967292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499984740745262"/>
    <pageSetUpPr fitToPage="1"/>
  </sheetPr>
  <dimension ref="A1:AE93"/>
  <sheetViews>
    <sheetView tabSelected="1" topLeftCell="A27" zoomScale="55" zoomScaleNormal="55" workbookViewId="0">
      <selection sqref="A1:T92"/>
    </sheetView>
  </sheetViews>
  <sheetFormatPr defaultColWidth="9.140625" defaultRowHeight="15" x14ac:dyDescent="0.25"/>
  <cols>
    <col min="1" max="1" width="9.140625" style="20"/>
    <col min="2" max="2" width="9.140625" style="20" customWidth="1"/>
    <col min="3" max="16384" width="9.140625" style="20"/>
  </cols>
  <sheetData>
    <row r="1" spans="1:31" ht="15" customHeight="1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</row>
    <row r="2" spans="1:31" ht="15" customHeight="1" x14ac:dyDescent="0.5">
      <c r="A2" s="16"/>
      <c r="B2" s="16"/>
      <c r="C2" s="16"/>
      <c r="D2" s="113" t="s">
        <v>81</v>
      </c>
      <c r="E2" s="113"/>
      <c r="F2" s="113"/>
      <c r="G2" s="113"/>
      <c r="H2" s="113"/>
      <c r="I2" s="113"/>
      <c r="J2" s="113"/>
      <c r="K2" s="62"/>
      <c r="L2" s="62"/>
      <c r="M2" s="113" t="s">
        <v>77</v>
      </c>
      <c r="N2" s="113"/>
      <c r="O2" s="113"/>
      <c r="P2" s="113"/>
      <c r="Q2" s="113"/>
      <c r="R2" s="113"/>
      <c r="S2" s="113"/>
      <c r="T2" s="62"/>
      <c r="U2" s="62"/>
      <c r="V2" s="113" t="s">
        <v>82</v>
      </c>
      <c r="W2" s="113"/>
      <c r="X2" s="113"/>
      <c r="Y2" s="113"/>
      <c r="Z2" s="113"/>
      <c r="AA2" s="113"/>
      <c r="AB2" s="113"/>
      <c r="AC2" s="16"/>
      <c r="AD2" s="16"/>
      <c r="AE2" s="16" t="s">
        <v>69</v>
      </c>
    </row>
    <row r="3" spans="1:31" ht="15" customHeight="1" x14ac:dyDescent="0.5">
      <c r="A3" s="16"/>
      <c r="B3" s="16"/>
      <c r="C3" s="16"/>
      <c r="D3" s="113"/>
      <c r="E3" s="113"/>
      <c r="F3" s="113"/>
      <c r="G3" s="113"/>
      <c r="H3" s="113"/>
      <c r="I3" s="113"/>
      <c r="J3" s="113"/>
      <c r="K3" s="62"/>
      <c r="L3" s="62"/>
      <c r="M3" s="113"/>
      <c r="N3" s="113"/>
      <c r="O3" s="113"/>
      <c r="P3" s="113"/>
      <c r="Q3" s="113"/>
      <c r="R3" s="113"/>
      <c r="S3" s="113"/>
      <c r="T3" s="62"/>
      <c r="U3" s="62"/>
      <c r="V3" s="113"/>
      <c r="W3" s="113"/>
      <c r="X3" s="113"/>
      <c r="Y3" s="113"/>
      <c r="Z3" s="113"/>
      <c r="AA3" s="113"/>
      <c r="AB3" s="113"/>
      <c r="AC3" s="16"/>
      <c r="AD3" s="16"/>
      <c r="AE3" s="16" t="s">
        <v>70</v>
      </c>
    </row>
    <row r="4" spans="1:31" ht="15" customHeight="1" x14ac:dyDescent="0.5">
      <c r="A4" s="16"/>
      <c r="B4" s="16"/>
      <c r="C4" s="16"/>
      <c r="D4" s="113"/>
      <c r="E4" s="113"/>
      <c r="F4" s="113"/>
      <c r="G4" s="113"/>
      <c r="H4" s="113"/>
      <c r="I4" s="113"/>
      <c r="J4" s="113"/>
      <c r="K4" s="62"/>
      <c r="L4" s="62"/>
      <c r="M4" s="113"/>
      <c r="N4" s="113"/>
      <c r="O4" s="113"/>
      <c r="P4" s="113"/>
      <c r="Q4" s="113"/>
      <c r="R4" s="113"/>
      <c r="S4" s="113"/>
      <c r="T4" s="62"/>
      <c r="U4" s="62"/>
      <c r="V4" s="113"/>
      <c r="W4" s="113"/>
      <c r="X4" s="113"/>
      <c r="Y4" s="113"/>
      <c r="Z4" s="113"/>
      <c r="AA4" s="113"/>
      <c r="AB4" s="113"/>
      <c r="AC4" s="16"/>
      <c r="AD4" s="16"/>
      <c r="AE4" s="16" t="s">
        <v>71</v>
      </c>
    </row>
    <row r="5" spans="1:31" ht="15" customHeight="1" x14ac:dyDescent="0.5">
      <c r="A5" s="16"/>
      <c r="B5" s="16"/>
      <c r="C5" s="16"/>
      <c r="D5" s="113"/>
      <c r="E5" s="113"/>
      <c r="F5" s="113"/>
      <c r="G5" s="113"/>
      <c r="H5" s="113"/>
      <c r="I5" s="113"/>
      <c r="J5" s="113"/>
      <c r="K5" s="62"/>
      <c r="L5" s="62"/>
      <c r="M5" s="113"/>
      <c r="N5" s="113"/>
      <c r="O5" s="113"/>
      <c r="P5" s="113"/>
      <c r="Q5" s="113"/>
      <c r="R5" s="113"/>
      <c r="S5" s="113"/>
      <c r="T5" s="62"/>
      <c r="U5" s="62"/>
      <c r="V5" s="113"/>
      <c r="W5" s="113"/>
      <c r="X5" s="113"/>
      <c r="Y5" s="113"/>
      <c r="Z5" s="113"/>
      <c r="AA5" s="113"/>
      <c r="AB5" s="113"/>
      <c r="AC5" s="16"/>
      <c r="AD5" s="16"/>
      <c r="AE5" s="16" t="s">
        <v>72</v>
      </c>
    </row>
    <row r="6" spans="1:31" x14ac:dyDescent="0.25">
      <c r="A6" s="16"/>
      <c r="B6" s="18"/>
      <c r="C6" s="17"/>
      <c r="D6" s="17"/>
      <c r="E6" s="17"/>
      <c r="F6" s="17"/>
      <c r="G6" s="17"/>
      <c r="H6" s="17"/>
      <c r="I6" s="17"/>
      <c r="J6" s="17"/>
      <c r="K6" s="17"/>
      <c r="L6" s="19"/>
      <c r="M6" s="17"/>
      <c r="N6" s="17"/>
      <c r="O6" s="17"/>
      <c r="P6" s="17"/>
      <c r="Q6" s="17"/>
      <c r="R6" s="17"/>
      <c r="S6" s="17"/>
      <c r="T6" s="17"/>
      <c r="U6" s="17"/>
      <c r="V6" s="16"/>
      <c r="W6" s="16"/>
      <c r="X6" s="16"/>
      <c r="Y6" s="16"/>
      <c r="Z6" s="16"/>
      <c r="AA6" s="16"/>
      <c r="AB6" s="16"/>
      <c r="AC6" s="16"/>
      <c r="AD6" s="16"/>
    </row>
    <row r="7" spans="1:31" ht="15" customHeight="1" x14ac:dyDescent="0.25">
      <c r="A7" s="111" t="s">
        <v>76</v>
      </c>
      <c r="B7" s="111"/>
      <c r="C7" s="80"/>
      <c r="D7" s="17"/>
      <c r="E7" s="17"/>
      <c r="F7" s="17"/>
      <c r="G7" s="17"/>
      <c r="H7" s="17"/>
      <c r="I7" s="17"/>
      <c r="J7" s="17"/>
      <c r="K7" s="17"/>
      <c r="L7" s="19"/>
      <c r="M7" s="17"/>
      <c r="N7" s="17"/>
      <c r="O7" s="17"/>
      <c r="P7" s="17"/>
      <c r="Q7" s="17"/>
      <c r="R7" s="17"/>
      <c r="S7" s="17"/>
      <c r="T7" s="17"/>
      <c r="U7" s="17"/>
      <c r="V7" s="16"/>
      <c r="W7" s="16"/>
      <c r="X7" s="16"/>
      <c r="Y7" s="16"/>
      <c r="Z7" s="16"/>
      <c r="AA7" s="16"/>
      <c r="AB7" s="16"/>
      <c r="AC7" s="16"/>
      <c r="AD7" s="16"/>
    </row>
    <row r="8" spans="1:31" ht="15" customHeight="1" x14ac:dyDescent="0.25">
      <c r="A8" s="111"/>
      <c r="B8" s="111"/>
      <c r="C8" s="80"/>
      <c r="D8" s="17"/>
      <c r="E8" s="17"/>
      <c r="F8" s="17"/>
      <c r="G8" s="17"/>
      <c r="H8" s="17"/>
      <c r="I8" s="17"/>
      <c r="J8" s="17"/>
      <c r="K8" s="17"/>
      <c r="L8" s="18"/>
      <c r="M8" s="17"/>
      <c r="N8" s="17"/>
      <c r="O8" s="17"/>
      <c r="P8" s="17"/>
      <c r="Q8" s="17"/>
      <c r="R8" s="17"/>
      <c r="S8" s="17"/>
      <c r="T8" s="17"/>
      <c r="U8" s="17"/>
      <c r="V8" s="18"/>
      <c r="W8" s="16"/>
      <c r="X8" s="16"/>
      <c r="Y8" s="16"/>
      <c r="Z8" s="16"/>
      <c r="AA8" s="16"/>
      <c r="AB8" s="16"/>
      <c r="AC8" s="16"/>
      <c r="AD8" s="16"/>
    </row>
    <row r="9" spans="1:31" x14ac:dyDescent="0.25">
      <c r="A9" s="111"/>
      <c r="B9" s="111"/>
      <c r="C9" s="80"/>
      <c r="D9" s="17"/>
      <c r="E9" s="17"/>
      <c r="F9" s="17"/>
      <c r="G9" s="17"/>
      <c r="H9" s="17"/>
      <c r="I9" s="17"/>
      <c r="J9" s="17"/>
      <c r="K9" s="17"/>
      <c r="L9" s="19"/>
      <c r="M9" s="17"/>
      <c r="N9" s="17"/>
      <c r="O9" s="17"/>
      <c r="P9" s="17"/>
      <c r="Q9" s="17"/>
      <c r="R9" s="17"/>
      <c r="S9" s="17"/>
      <c r="T9" s="17"/>
      <c r="U9" s="17"/>
      <c r="V9" s="19"/>
      <c r="W9" s="16"/>
      <c r="X9" s="16"/>
      <c r="Y9" s="16"/>
      <c r="Z9" s="16"/>
      <c r="AA9" s="16"/>
      <c r="AB9" s="16"/>
      <c r="AC9" s="16"/>
      <c r="AD9" s="16"/>
    </row>
    <row r="10" spans="1:31" x14ac:dyDescent="0.25">
      <c r="A10" s="111"/>
      <c r="B10" s="111"/>
      <c r="C10" s="80"/>
      <c r="D10" s="17"/>
      <c r="E10" s="17"/>
      <c r="F10" s="17"/>
      <c r="G10" s="17"/>
      <c r="H10" s="17"/>
      <c r="I10" s="17"/>
      <c r="J10" s="17"/>
      <c r="K10" s="17"/>
      <c r="L10" s="19"/>
      <c r="M10" s="17"/>
      <c r="N10" s="17"/>
      <c r="O10" s="17"/>
      <c r="P10" s="17"/>
      <c r="Q10" s="17"/>
      <c r="R10" s="17"/>
      <c r="S10" s="17"/>
      <c r="T10" s="17"/>
      <c r="U10" s="17"/>
      <c r="V10" s="19"/>
      <c r="W10" s="16"/>
      <c r="X10" s="16"/>
      <c r="Y10" s="16"/>
      <c r="Z10" s="16"/>
      <c r="AA10" s="16"/>
      <c r="AB10" s="16"/>
      <c r="AC10" s="16"/>
      <c r="AD10" s="16"/>
    </row>
    <row r="11" spans="1:31" x14ac:dyDescent="0.25">
      <c r="A11" s="111"/>
      <c r="B11" s="111"/>
      <c r="C11" s="80"/>
      <c r="D11" s="17"/>
      <c r="E11" s="17"/>
      <c r="F11" s="17"/>
      <c r="G11" s="17"/>
      <c r="H11" s="17"/>
      <c r="I11" s="17"/>
      <c r="J11" s="17"/>
      <c r="K11" s="17"/>
      <c r="L11" s="19"/>
      <c r="M11" s="17"/>
      <c r="N11" s="17"/>
      <c r="O11" s="17"/>
      <c r="P11" s="17"/>
      <c r="Q11" s="17"/>
      <c r="R11" s="17"/>
      <c r="S11" s="17"/>
      <c r="T11" s="17"/>
      <c r="U11" s="17"/>
      <c r="V11" s="19"/>
      <c r="W11" s="16"/>
      <c r="X11" s="16"/>
      <c r="Y11" s="16"/>
      <c r="Z11" s="16"/>
      <c r="AA11" s="16"/>
      <c r="AB11" s="16"/>
      <c r="AC11" s="16"/>
      <c r="AD11" s="16"/>
    </row>
    <row r="12" spans="1:31" x14ac:dyDescent="0.25">
      <c r="A12" s="111"/>
      <c r="B12" s="111"/>
      <c r="C12" s="80"/>
      <c r="D12" s="17"/>
      <c r="E12" s="17"/>
      <c r="F12" s="17"/>
      <c r="G12" s="17"/>
      <c r="H12" s="17"/>
      <c r="I12" s="17"/>
      <c r="J12" s="17"/>
      <c r="K12" s="17"/>
      <c r="L12" s="19"/>
      <c r="M12" s="17"/>
      <c r="N12" s="17"/>
      <c r="O12" s="17"/>
      <c r="P12" s="17"/>
      <c r="Q12" s="17"/>
      <c r="R12" s="17"/>
      <c r="S12" s="17"/>
      <c r="T12" s="17"/>
      <c r="U12" s="17"/>
      <c r="V12" s="19"/>
      <c r="W12" s="16"/>
      <c r="X12" s="16"/>
      <c r="Y12" s="16"/>
      <c r="Z12" s="16"/>
      <c r="AA12" s="16"/>
      <c r="AB12" s="16"/>
      <c r="AC12" s="16"/>
      <c r="AD12" s="16"/>
    </row>
    <row r="13" spans="1:31" x14ac:dyDescent="0.25">
      <c r="A13" s="111"/>
      <c r="B13" s="111"/>
      <c r="C13" s="80"/>
      <c r="D13" s="17"/>
      <c r="E13" s="17"/>
      <c r="F13" s="17"/>
      <c r="G13" s="17"/>
      <c r="H13" s="17"/>
      <c r="I13" s="17"/>
      <c r="J13" s="17"/>
      <c r="K13" s="17"/>
      <c r="L13" s="19"/>
      <c r="M13" s="17"/>
      <c r="N13" s="17"/>
      <c r="O13" s="17"/>
      <c r="P13" s="17"/>
      <c r="Q13" s="17"/>
      <c r="R13" s="17"/>
      <c r="S13" s="17"/>
      <c r="T13" s="17"/>
      <c r="U13" s="17"/>
      <c r="V13" s="19"/>
      <c r="W13" s="16"/>
      <c r="X13" s="16"/>
      <c r="Y13" s="16"/>
      <c r="Z13" s="16"/>
      <c r="AA13" s="16"/>
      <c r="AB13" s="16"/>
      <c r="AC13" s="16"/>
      <c r="AD13" s="16"/>
    </row>
    <row r="14" spans="1:31" x14ac:dyDescent="0.25">
      <c r="A14" s="111"/>
      <c r="B14" s="111"/>
      <c r="C14" s="80"/>
      <c r="D14" s="17"/>
      <c r="E14" s="17"/>
      <c r="F14" s="17"/>
      <c r="G14" s="17"/>
      <c r="H14" s="17"/>
      <c r="I14" s="17"/>
      <c r="J14" s="17"/>
      <c r="K14" s="17"/>
      <c r="L14" s="19"/>
      <c r="M14" s="17"/>
      <c r="N14" s="17"/>
      <c r="O14" s="17"/>
      <c r="P14" s="17"/>
      <c r="Q14" s="17"/>
      <c r="R14" s="17"/>
      <c r="S14" s="17"/>
      <c r="T14" s="17"/>
      <c r="U14" s="17"/>
      <c r="V14" s="19"/>
      <c r="W14" s="16"/>
      <c r="X14" s="16"/>
      <c r="Y14" s="16"/>
      <c r="Z14" s="16"/>
      <c r="AA14" s="16"/>
      <c r="AB14" s="16"/>
      <c r="AC14" s="16"/>
      <c r="AD14" s="16"/>
    </row>
    <row r="15" spans="1:31" x14ac:dyDescent="0.25">
      <c r="A15" s="111"/>
      <c r="B15" s="111"/>
      <c r="C15" s="80"/>
      <c r="D15" s="17"/>
      <c r="E15" s="17"/>
      <c r="F15" s="17"/>
      <c r="G15" s="17"/>
      <c r="H15" s="17"/>
      <c r="I15" s="17"/>
      <c r="J15" s="17"/>
      <c r="K15" s="17"/>
      <c r="L15" s="19"/>
      <c r="M15" s="17"/>
      <c r="N15" s="17"/>
      <c r="O15" s="17"/>
      <c r="P15" s="17"/>
      <c r="Q15" s="17"/>
      <c r="R15" s="17"/>
      <c r="S15" s="17"/>
      <c r="T15" s="17"/>
      <c r="U15" s="17"/>
      <c r="V15" s="19"/>
      <c r="W15" s="16"/>
      <c r="X15" s="16"/>
      <c r="Y15" s="16"/>
      <c r="Z15" s="16"/>
      <c r="AA15" s="16"/>
      <c r="AB15" s="16"/>
      <c r="AC15" s="16"/>
      <c r="AD15" s="16"/>
    </row>
    <row r="16" spans="1:31" x14ac:dyDescent="0.25">
      <c r="A16" s="111"/>
      <c r="B16" s="111"/>
      <c r="C16" s="80"/>
      <c r="D16" s="17"/>
      <c r="E16" s="17"/>
      <c r="F16" s="17"/>
      <c r="G16" s="17"/>
      <c r="H16" s="17"/>
      <c r="I16" s="17"/>
      <c r="J16" s="17"/>
      <c r="K16" s="17"/>
      <c r="L16" s="19"/>
      <c r="M16" s="17"/>
      <c r="N16" s="17"/>
      <c r="O16" s="17"/>
      <c r="P16" s="17"/>
      <c r="Q16" s="17"/>
      <c r="R16" s="17"/>
      <c r="S16" s="17"/>
      <c r="T16" s="17"/>
      <c r="U16" s="17"/>
      <c r="V16" s="19"/>
      <c r="W16" s="16"/>
      <c r="X16" s="16"/>
      <c r="Y16" s="16"/>
      <c r="Z16" s="16"/>
      <c r="AA16" s="16"/>
      <c r="AB16" s="16"/>
      <c r="AC16" s="16"/>
      <c r="AD16" s="16"/>
    </row>
    <row r="17" spans="1:30" x14ac:dyDescent="0.25">
      <c r="A17" s="111"/>
      <c r="B17" s="111"/>
      <c r="C17" s="80"/>
      <c r="D17" s="17"/>
      <c r="E17" s="17"/>
      <c r="F17" s="17"/>
      <c r="G17" s="17"/>
      <c r="H17" s="17"/>
      <c r="I17" s="17"/>
      <c r="J17" s="17"/>
      <c r="K17" s="17"/>
      <c r="L17" s="19"/>
      <c r="M17" s="17"/>
      <c r="N17" s="17"/>
      <c r="O17" s="17"/>
      <c r="P17" s="17"/>
      <c r="Q17" s="17"/>
      <c r="R17" s="17"/>
      <c r="S17" s="17"/>
      <c r="T17" s="17"/>
      <c r="U17" s="17"/>
      <c r="V17" s="19"/>
      <c r="W17" s="16"/>
      <c r="X17" s="16"/>
      <c r="Y17" s="16"/>
      <c r="Z17" s="16"/>
      <c r="AA17" s="16"/>
      <c r="AB17" s="16"/>
      <c r="AC17" s="16"/>
      <c r="AD17" s="16"/>
    </row>
    <row r="18" spans="1:30" x14ac:dyDescent="0.25">
      <c r="A18" s="111"/>
      <c r="B18" s="111"/>
      <c r="C18" s="80"/>
      <c r="D18" s="17"/>
      <c r="E18" s="17"/>
      <c r="F18" s="17"/>
      <c r="G18" s="17"/>
      <c r="H18" s="17"/>
      <c r="I18" s="17"/>
      <c r="J18" s="17"/>
      <c r="K18" s="17"/>
      <c r="L18" s="19"/>
      <c r="M18" s="17"/>
      <c r="N18" s="17"/>
      <c r="O18" s="17"/>
      <c r="P18" s="17"/>
      <c r="Q18" s="17"/>
      <c r="R18" s="17"/>
      <c r="S18" s="17"/>
      <c r="T18" s="17"/>
      <c r="U18" s="17"/>
      <c r="V18" s="19"/>
      <c r="W18" s="16"/>
      <c r="X18" s="16"/>
      <c r="Y18" s="16"/>
      <c r="Z18" s="16"/>
      <c r="AA18" s="16"/>
      <c r="AB18" s="16"/>
      <c r="AC18" s="16"/>
      <c r="AD18" s="16"/>
    </row>
    <row r="19" spans="1:30" x14ac:dyDescent="0.25">
      <c r="A19" s="111"/>
      <c r="B19" s="111"/>
      <c r="C19" s="80"/>
      <c r="D19" s="17"/>
      <c r="E19" s="17"/>
      <c r="F19" s="17"/>
      <c r="G19" s="17"/>
      <c r="H19" s="17"/>
      <c r="I19" s="17"/>
      <c r="J19" s="17"/>
      <c r="K19" s="17"/>
      <c r="L19" s="19"/>
      <c r="M19" s="17"/>
      <c r="N19" s="17"/>
      <c r="O19" s="17"/>
      <c r="P19" s="17"/>
      <c r="Q19" s="17"/>
      <c r="R19" s="17"/>
      <c r="S19" s="17"/>
      <c r="T19" s="17"/>
      <c r="U19" s="17"/>
      <c r="V19" s="19"/>
      <c r="W19" s="16"/>
      <c r="X19" s="16"/>
      <c r="Y19" s="16"/>
      <c r="Z19" s="16"/>
      <c r="AA19" s="16"/>
      <c r="AB19" s="16"/>
      <c r="AC19" s="16"/>
      <c r="AD19" s="16"/>
    </row>
    <row r="20" spans="1:30" x14ac:dyDescent="0.25">
      <c r="A20" s="111"/>
      <c r="B20" s="111"/>
      <c r="C20" s="80"/>
      <c r="D20" s="17"/>
      <c r="E20" s="17"/>
      <c r="F20" s="17"/>
      <c r="G20" s="17"/>
      <c r="H20" s="17"/>
      <c r="I20" s="17"/>
      <c r="J20" s="17"/>
      <c r="K20" s="17"/>
      <c r="L20" s="19"/>
      <c r="M20" s="17"/>
      <c r="N20" s="17"/>
      <c r="O20" s="17"/>
      <c r="P20" s="17"/>
      <c r="Q20" s="17"/>
      <c r="R20" s="17"/>
      <c r="S20" s="17"/>
      <c r="T20" s="17"/>
      <c r="U20" s="17"/>
      <c r="V20" s="19"/>
      <c r="W20" s="16"/>
      <c r="X20" s="16"/>
      <c r="Y20" s="16"/>
      <c r="Z20" s="16"/>
      <c r="AA20" s="16"/>
      <c r="AB20" s="16"/>
      <c r="AC20" s="16"/>
      <c r="AD20" s="16"/>
    </row>
    <row r="21" spans="1:30" x14ac:dyDescent="0.25">
      <c r="A21" s="111"/>
      <c r="B21" s="111"/>
      <c r="C21" s="80"/>
      <c r="D21" s="17"/>
      <c r="E21" s="17"/>
      <c r="F21" s="17"/>
      <c r="G21" s="17"/>
      <c r="H21" s="17"/>
      <c r="I21" s="17"/>
      <c r="J21" s="17"/>
      <c r="K21" s="17"/>
      <c r="L21" s="19"/>
      <c r="M21" s="17"/>
      <c r="N21" s="17"/>
      <c r="O21" s="17"/>
      <c r="P21" s="17"/>
      <c r="Q21" s="17"/>
      <c r="R21" s="17"/>
      <c r="S21" s="17"/>
      <c r="T21" s="17"/>
      <c r="U21" s="17"/>
      <c r="V21" s="19"/>
      <c r="W21" s="16"/>
      <c r="X21" s="16"/>
      <c r="Y21" s="16"/>
      <c r="Z21" s="16"/>
      <c r="AA21" s="16"/>
      <c r="AB21" s="16"/>
      <c r="AC21" s="16"/>
      <c r="AD21" s="16"/>
    </row>
    <row r="22" spans="1:30" x14ac:dyDescent="0.25">
      <c r="A22" s="111"/>
      <c r="B22" s="111"/>
      <c r="C22" s="80"/>
      <c r="D22" s="17"/>
      <c r="E22" s="17"/>
      <c r="F22" s="17"/>
      <c r="G22" s="17"/>
      <c r="H22" s="17"/>
      <c r="I22" s="17"/>
      <c r="J22" s="17"/>
      <c r="K22" s="17"/>
      <c r="L22" s="19"/>
      <c r="M22" s="17"/>
      <c r="N22" s="17"/>
      <c r="O22" s="17"/>
      <c r="P22" s="17"/>
      <c r="Q22" s="17"/>
      <c r="R22" s="17"/>
      <c r="S22" s="17"/>
      <c r="T22" s="17"/>
      <c r="U22" s="17"/>
      <c r="V22" s="19"/>
      <c r="W22" s="16"/>
      <c r="X22" s="16"/>
      <c r="Y22" s="16"/>
      <c r="Z22" s="16"/>
      <c r="AA22" s="16"/>
      <c r="AB22" s="16"/>
      <c r="AC22" s="16"/>
      <c r="AD22" s="16"/>
    </row>
    <row r="23" spans="1:30" x14ac:dyDescent="0.25">
      <c r="A23" s="111"/>
      <c r="B23" s="111"/>
      <c r="C23" s="80"/>
      <c r="D23" s="17"/>
      <c r="E23" s="17"/>
      <c r="F23" s="17"/>
      <c r="G23" s="17"/>
      <c r="H23" s="17"/>
      <c r="I23" s="17"/>
      <c r="J23" s="17"/>
      <c r="K23" s="17"/>
      <c r="L23" s="19"/>
      <c r="M23" s="17"/>
      <c r="N23" s="17"/>
      <c r="O23" s="17"/>
      <c r="P23" s="17"/>
      <c r="Q23" s="17"/>
      <c r="R23" s="17"/>
      <c r="S23" s="17"/>
      <c r="T23" s="17"/>
      <c r="U23" s="17"/>
      <c r="V23" s="19"/>
      <c r="W23" s="16"/>
      <c r="X23" s="16"/>
      <c r="Y23" s="16"/>
      <c r="Z23" s="16"/>
      <c r="AA23" s="16"/>
      <c r="AB23" s="16"/>
      <c r="AC23" s="16"/>
      <c r="AD23" s="16"/>
    </row>
    <row r="24" spans="1:30" x14ac:dyDescent="0.25">
      <c r="A24" s="111"/>
      <c r="B24" s="111"/>
      <c r="C24" s="80"/>
      <c r="D24" s="17"/>
      <c r="E24" s="17"/>
      <c r="F24" s="17"/>
      <c r="G24" s="17"/>
      <c r="H24" s="17"/>
      <c r="I24" s="17"/>
      <c r="J24" s="17"/>
      <c r="K24" s="17"/>
      <c r="L24" s="19"/>
      <c r="M24" s="17"/>
      <c r="N24" s="17"/>
      <c r="O24" s="17"/>
      <c r="P24" s="17"/>
      <c r="Q24" s="17"/>
      <c r="R24" s="17"/>
      <c r="S24" s="17"/>
      <c r="T24" s="17"/>
      <c r="U24" s="17"/>
      <c r="V24" s="19"/>
      <c r="W24" s="16"/>
      <c r="X24" s="16"/>
      <c r="Y24" s="16"/>
      <c r="Z24" s="16"/>
      <c r="AA24" s="16"/>
      <c r="AB24" s="16"/>
      <c r="AC24" s="16"/>
      <c r="AD24" s="16"/>
    </row>
    <row r="25" spans="1:30" x14ac:dyDescent="0.25">
      <c r="A25" s="111"/>
      <c r="B25" s="111"/>
      <c r="C25" s="80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6"/>
      <c r="W25" s="16"/>
      <c r="X25" s="16"/>
      <c r="Y25" s="16"/>
      <c r="Z25" s="16"/>
      <c r="AA25" s="16"/>
      <c r="AB25" s="16"/>
      <c r="AC25" s="16"/>
      <c r="AD25" s="16"/>
    </row>
    <row r="26" spans="1:30" x14ac:dyDescent="0.25">
      <c r="A26" s="81"/>
      <c r="B26" s="79"/>
      <c r="C26" s="80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6"/>
      <c r="W26" s="16"/>
      <c r="X26" s="16"/>
      <c r="Y26" s="16"/>
      <c r="Z26" s="16"/>
      <c r="AA26" s="16"/>
      <c r="AB26" s="16"/>
      <c r="AC26" s="16"/>
      <c r="AD26" s="16"/>
    </row>
    <row r="27" spans="1:30" x14ac:dyDescent="0.25">
      <c r="A27" s="81"/>
      <c r="B27" s="79"/>
      <c r="C27" s="80"/>
      <c r="D27" s="17"/>
      <c r="E27" s="17"/>
      <c r="F27" s="17"/>
      <c r="G27" s="17"/>
      <c r="H27" s="17"/>
      <c r="I27" s="17"/>
      <c r="J27" s="17"/>
      <c r="K27" s="17"/>
      <c r="L27" s="19"/>
      <c r="M27" s="17"/>
      <c r="N27" s="17"/>
      <c r="O27" s="17"/>
      <c r="P27" s="17"/>
      <c r="Q27" s="17"/>
      <c r="R27" s="17"/>
      <c r="S27" s="17"/>
      <c r="T27" s="17"/>
      <c r="U27" s="17"/>
      <c r="V27" s="16"/>
      <c r="W27" s="16"/>
      <c r="X27" s="16"/>
      <c r="Y27" s="16"/>
      <c r="Z27" s="16"/>
      <c r="AA27" s="16"/>
      <c r="AB27" s="16"/>
      <c r="AC27" s="16"/>
      <c r="AD27" s="16"/>
    </row>
    <row r="28" spans="1:30" ht="15" customHeight="1" x14ac:dyDescent="0.25">
      <c r="A28" s="111" t="s">
        <v>65</v>
      </c>
      <c r="B28" s="111"/>
      <c r="C28" s="80"/>
      <c r="D28" s="17"/>
      <c r="E28" s="17"/>
      <c r="F28" s="17"/>
      <c r="G28" s="17"/>
      <c r="H28" s="17"/>
      <c r="I28" s="17"/>
      <c r="J28" s="17"/>
      <c r="K28" s="17"/>
      <c r="L28" s="19"/>
      <c r="M28" s="17"/>
      <c r="N28" s="17"/>
      <c r="O28" s="17"/>
      <c r="P28" s="17"/>
      <c r="Q28" s="17"/>
      <c r="R28" s="17"/>
      <c r="S28" s="17"/>
      <c r="T28" s="17"/>
      <c r="U28" s="17"/>
      <c r="V28" s="16"/>
      <c r="W28" s="16"/>
      <c r="X28" s="16"/>
      <c r="Y28" s="16"/>
      <c r="Z28" s="16"/>
      <c r="AA28" s="16"/>
      <c r="AB28" s="16"/>
      <c r="AC28" s="16"/>
      <c r="AD28" s="16"/>
    </row>
    <row r="29" spans="1:30" ht="15" customHeight="1" x14ac:dyDescent="0.25">
      <c r="A29" s="111"/>
      <c r="B29" s="111"/>
      <c r="C29" s="80"/>
      <c r="D29" s="17"/>
      <c r="E29" s="17"/>
      <c r="F29" s="17"/>
      <c r="G29" s="17"/>
      <c r="H29" s="17"/>
      <c r="I29" s="17"/>
      <c r="J29" s="17"/>
      <c r="K29" s="17"/>
      <c r="L29" s="82"/>
      <c r="M29" s="17"/>
      <c r="N29" s="17"/>
      <c r="O29" s="17"/>
      <c r="P29" s="17"/>
      <c r="Q29" s="17"/>
      <c r="R29" s="17"/>
      <c r="S29" s="17"/>
      <c r="T29" s="17"/>
      <c r="U29" s="17"/>
      <c r="V29" s="16"/>
      <c r="W29" s="16"/>
      <c r="X29" s="16"/>
      <c r="Y29" s="16"/>
      <c r="Z29" s="16"/>
      <c r="AA29" s="16"/>
      <c r="AB29" s="16"/>
      <c r="AC29" s="16"/>
      <c r="AD29" s="16"/>
    </row>
    <row r="30" spans="1:30" x14ac:dyDescent="0.25">
      <c r="A30" s="111"/>
      <c r="B30" s="111"/>
      <c r="C30" s="80"/>
      <c r="D30" s="17"/>
      <c r="E30" s="17"/>
      <c r="F30" s="17"/>
      <c r="G30" s="17"/>
      <c r="H30" s="17"/>
      <c r="I30" s="17"/>
      <c r="J30" s="17"/>
      <c r="K30" s="17"/>
      <c r="L30" s="83"/>
      <c r="M30" s="17"/>
      <c r="N30" s="17"/>
      <c r="O30" s="17"/>
      <c r="P30" s="17"/>
      <c r="Q30" s="17"/>
      <c r="R30" s="17"/>
      <c r="S30" s="17"/>
      <c r="T30" s="17"/>
      <c r="U30" s="17"/>
      <c r="V30" s="16"/>
      <c r="W30" s="16"/>
      <c r="X30" s="16"/>
      <c r="Y30" s="16"/>
      <c r="Z30" s="16"/>
      <c r="AA30" s="16"/>
      <c r="AB30" s="16"/>
      <c r="AC30" s="16"/>
      <c r="AD30" s="16"/>
    </row>
    <row r="31" spans="1:30" x14ac:dyDescent="0.25">
      <c r="A31" s="111"/>
      <c r="B31" s="111"/>
      <c r="C31" s="80"/>
      <c r="D31" s="17"/>
      <c r="E31" s="17"/>
      <c r="F31" s="17"/>
      <c r="G31" s="17"/>
      <c r="H31" s="17"/>
      <c r="I31" s="17"/>
      <c r="J31" s="17"/>
      <c r="K31" s="17"/>
      <c r="L31" s="83"/>
      <c r="M31" s="17"/>
      <c r="N31" s="17"/>
      <c r="O31" s="17"/>
      <c r="P31" s="17"/>
      <c r="Q31" s="17"/>
      <c r="R31" s="17"/>
      <c r="S31" s="17"/>
      <c r="T31" s="17"/>
      <c r="U31" s="17"/>
      <c r="V31" s="16"/>
      <c r="W31" s="16"/>
      <c r="X31" s="16"/>
      <c r="Y31" s="16"/>
      <c r="Z31" s="16"/>
      <c r="AA31" s="16"/>
      <c r="AB31" s="16"/>
      <c r="AC31" s="16"/>
      <c r="AD31" s="16"/>
    </row>
    <row r="32" spans="1:30" x14ac:dyDescent="0.25">
      <c r="A32" s="111"/>
      <c r="B32" s="111"/>
      <c r="C32" s="80"/>
      <c r="D32" s="17"/>
      <c r="E32" s="17"/>
      <c r="F32" s="17"/>
      <c r="G32" s="17"/>
      <c r="H32" s="17"/>
      <c r="I32" s="17"/>
      <c r="J32" s="17"/>
      <c r="K32" s="17"/>
      <c r="L32" s="83"/>
      <c r="M32" s="17"/>
      <c r="N32" s="17"/>
      <c r="O32" s="17"/>
      <c r="P32" s="17"/>
      <c r="Q32" s="17"/>
      <c r="R32" s="17"/>
      <c r="S32" s="17"/>
      <c r="T32" s="17"/>
      <c r="U32" s="17"/>
      <c r="V32" s="16"/>
      <c r="W32" s="16"/>
      <c r="X32" s="16"/>
      <c r="Y32" s="16"/>
      <c r="Z32" s="16"/>
      <c r="AA32" s="16"/>
      <c r="AB32" s="16"/>
      <c r="AC32" s="16"/>
      <c r="AD32" s="16"/>
    </row>
    <row r="33" spans="1:30" x14ac:dyDescent="0.25">
      <c r="A33" s="111"/>
      <c r="B33" s="111"/>
      <c r="C33" s="80"/>
      <c r="D33" s="17"/>
      <c r="E33" s="17"/>
      <c r="F33" s="17"/>
      <c r="G33" s="17"/>
      <c r="H33" s="17"/>
      <c r="I33" s="17"/>
      <c r="J33" s="17"/>
      <c r="K33" s="17"/>
      <c r="L33" s="83"/>
      <c r="M33" s="17"/>
      <c r="N33" s="17"/>
      <c r="O33" s="17"/>
      <c r="P33" s="17"/>
      <c r="Q33" s="17"/>
      <c r="R33" s="17"/>
      <c r="S33" s="17"/>
      <c r="T33" s="17"/>
      <c r="U33" s="17"/>
      <c r="V33" s="16"/>
      <c r="W33" s="16"/>
      <c r="X33" s="16"/>
      <c r="Y33" s="16"/>
      <c r="Z33" s="16"/>
      <c r="AA33" s="16"/>
      <c r="AB33" s="16"/>
      <c r="AC33" s="16"/>
      <c r="AD33" s="16"/>
    </row>
    <row r="34" spans="1:30" x14ac:dyDescent="0.25">
      <c r="A34" s="111"/>
      <c r="B34" s="111"/>
      <c r="C34" s="80"/>
      <c r="D34" s="17"/>
      <c r="E34" s="17"/>
      <c r="F34" s="17"/>
      <c r="G34" s="17"/>
      <c r="H34" s="17"/>
      <c r="I34" s="17"/>
      <c r="J34" s="17"/>
      <c r="K34" s="17"/>
      <c r="L34" s="83"/>
      <c r="M34" s="17"/>
      <c r="N34" s="17"/>
      <c r="O34" s="17"/>
      <c r="P34" s="17"/>
      <c r="Q34" s="17"/>
      <c r="R34" s="17"/>
      <c r="S34" s="17"/>
      <c r="T34" s="17"/>
      <c r="U34" s="17"/>
      <c r="V34" s="16"/>
      <c r="W34" s="16"/>
      <c r="X34" s="16"/>
      <c r="Y34" s="16"/>
      <c r="Z34" s="16"/>
      <c r="AA34" s="16"/>
      <c r="AB34" s="16"/>
      <c r="AC34" s="16"/>
      <c r="AD34" s="16"/>
    </row>
    <row r="35" spans="1:30" x14ac:dyDescent="0.25">
      <c r="A35" s="111"/>
      <c r="B35" s="111"/>
      <c r="C35" s="80"/>
      <c r="D35" s="17"/>
      <c r="E35" s="17"/>
      <c r="F35" s="17"/>
      <c r="G35" s="17"/>
      <c r="H35" s="17"/>
      <c r="I35" s="17"/>
      <c r="J35" s="17"/>
      <c r="K35" s="17"/>
      <c r="L35" s="83"/>
      <c r="M35" s="17"/>
      <c r="N35" s="17"/>
      <c r="O35" s="17"/>
      <c r="P35" s="17"/>
      <c r="Q35" s="17"/>
      <c r="R35" s="17"/>
      <c r="S35" s="17"/>
      <c r="T35" s="17"/>
      <c r="U35" s="17"/>
      <c r="V35" s="16"/>
      <c r="W35" s="16"/>
      <c r="X35" s="16"/>
      <c r="Y35" s="16"/>
      <c r="Z35" s="16"/>
      <c r="AA35" s="16"/>
      <c r="AB35" s="16"/>
      <c r="AC35" s="16"/>
      <c r="AD35" s="16"/>
    </row>
    <row r="36" spans="1:30" x14ac:dyDescent="0.25">
      <c r="A36" s="111"/>
      <c r="B36" s="111"/>
      <c r="C36" s="80"/>
      <c r="D36" s="17"/>
      <c r="E36" s="17"/>
      <c r="F36" s="17"/>
      <c r="G36" s="17"/>
      <c r="H36" s="17"/>
      <c r="I36" s="17"/>
      <c r="J36" s="17"/>
      <c r="K36" s="17"/>
      <c r="L36" s="83"/>
      <c r="M36" s="17"/>
      <c r="N36" s="17"/>
      <c r="O36" s="17"/>
      <c r="P36" s="17"/>
      <c r="Q36" s="17"/>
      <c r="R36" s="17"/>
      <c r="S36" s="17"/>
      <c r="T36" s="17"/>
      <c r="U36" s="17"/>
      <c r="V36" s="16"/>
      <c r="W36" s="16"/>
      <c r="X36" s="16"/>
      <c r="Y36" s="16"/>
      <c r="Z36" s="16"/>
      <c r="AA36" s="16"/>
      <c r="AB36" s="16"/>
      <c r="AC36" s="16"/>
      <c r="AD36" s="16"/>
    </row>
    <row r="37" spans="1:30" x14ac:dyDescent="0.25">
      <c r="A37" s="111"/>
      <c r="B37" s="111"/>
      <c r="C37" s="80"/>
      <c r="D37" s="17"/>
      <c r="E37" s="17"/>
      <c r="F37" s="17"/>
      <c r="G37" s="17"/>
      <c r="H37" s="17"/>
      <c r="I37" s="17"/>
      <c r="J37" s="17"/>
      <c r="K37" s="17"/>
      <c r="L37" s="83"/>
      <c r="M37" s="17"/>
      <c r="N37" s="17"/>
      <c r="O37" s="17"/>
      <c r="P37" s="17"/>
      <c r="Q37" s="17"/>
      <c r="R37" s="17"/>
      <c r="S37" s="17"/>
      <c r="T37" s="17"/>
      <c r="U37" s="17"/>
      <c r="V37" s="16"/>
      <c r="W37" s="16"/>
      <c r="X37" s="16"/>
      <c r="Y37" s="16"/>
      <c r="Z37" s="16"/>
      <c r="AA37" s="16"/>
      <c r="AB37" s="16"/>
      <c r="AC37" s="16"/>
      <c r="AD37" s="16"/>
    </row>
    <row r="38" spans="1:30" x14ac:dyDescent="0.25">
      <c r="A38" s="111"/>
      <c r="B38" s="111"/>
      <c r="C38" s="80"/>
      <c r="D38" s="17"/>
      <c r="E38" s="17"/>
      <c r="F38" s="17"/>
      <c r="G38" s="17"/>
      <c r="H38" s="17"/>
      <c r="I38" s="17"/>
      <c r="J38" s="17"/>
      <c r="K38" s="17"/>
      <c r="L38" s="83"/>
      <c r="M38" s="17"/>
      <c r="N38" s="17"/>
      <c r="O38" s="17"/>
      <c r="P38" s="17"/>
      <c r="Q38" s="17"/>
      <c r="R38" s="17"/>
      <c r="S38" s="17"/>
      <c r="T38" s="17"/>
      <c r="U38" s="17"/>
      <c r="V38" s="16"/>
      <c r="W38" s="16"/>
      <c r="X38" s="16"/>
      <c r="Y38" s="16"/>
      <c r="Z38" s="16"/>
      <c r="AA38" s="16"/>
      <c r="AB38" s="16"/>
      <c r="AC38" s="16"/>
      <c r="AD38" s="16"/>
    </row>
    <row r="39" spans="1:30" x14ac:dyDescent="0.25">
      <c r="A39" s="111"/>
      <c r="B39" s="111"/>
      <c r="C39" s="80"/>
      <c r="D39" s="17"/>
      <c r="E39" s="17"/>
      <c r="F39" s="17"/>
      <c r="G39" s="17"/>
      <c r="H39" s="17"/>
      <c r="I39" s="17"/>
      <c r="J39" s="17"/>
      <c r="K39" s="17"/>
      <c r="L39" s="83"/>
      <c r="M39" s="17"/>
      <c r="N39" s="17"/>
      <c r="O39" s="17"/>
      <c r="P39" s="17"/>
      <c r="Q39" s="17"/>
      <c r="R39" s="17"/>
      <c r="S39" s="17"/>
      <c r="T39" s="17"/>
      <c r="U39" s="17"/>
      <c r="V39" s="16"/>
      <c r="W39" s="16"/>
      <c r="X39" s="16"/>
      <c r="Y39" s="16"/>
      <c r="Z39" s="16"/>
      <c r="AA39" s="16"/>
      <c r="AB39" s="16"/>
      <c r="AC39" s="16"/>
      <c r="AD39" s="16"/>
    </row>
    <row r="40" spans="1:30" x14ac:dyDescent="0.25">
      <c r="A40" s="111"/>
      <c r="B40" s="111"/>
      <c r="C40" s="80"/>
      <c r="D40" s="17"/>
      <c r="E40" s="17"/>
      <c r="F40" s="17"/>
      <c r="G40" s="17"/>
      <c r="H40" s="17"/>
      <c r="I40" s="17"/>
      <c r="J40" s="17"/>
      <c r="K40" s="17"/>
      <c r="L40" s="83"/>
      <c r="M40" s="17"/>
      <c r="N40" s="17"/>
      <c r="O40" s="17"/>
      <c r="P40" s="17"/>
      <c r="Q40" s="17"/>
      <c r="R40" s="17"/>
      <c r="S40" s="17"/>
      <c r="T40" s="17"/>
      <c r="U40" s="17"/>
      <c r="V40" s="16"/>
      <c r="W40" s="16"/>
      <c r="X40" s="16"/>
      <c r="Y40" s="16"/>
      <c r="Z40" s="16"/>
      <c r="AA40" s="16"/>
      <c r="AB40" s="16"/>
      <c r="AC40" s="16"/>
      <c r="AD40" s="16"/>
    </row>
    <row r="41" spans="1:30" x14ac:dyDescent="0.25">
      <c r="A41" s="111"/>
      <c r="B41" s="111"/>
      <c r="C41" s="80"/>
      <c r="D41" s="17"/>
      <c r="E41" s="17"/>
      <c r="F41" s="17"/>
      <c r="G41" s="17"/>
      <c r="H41" s="17"/>
      <c r="I41" s="17"/>
      <c r="J41" s="17"/>
      <c r="K41" s="17"/>
      <c r="L41" s="83"/>
      <c r="M41" s="17"/>
      <c r="N41" s="17"/>
      <c r="O41" s="17"/>
      <c r="P41" s="17"/>
      <c r="Q41" s="17"/>
      <c r="R41" s="17"/>
      <c r="S41" s="17"/>
      <c r="T41" s="17"/>
      <c r="U41" s="17"/>
      <c r="V41" s="16"/>
      <c r="W41" s="16"/>
      <c r="X41" s="16"/>
      <c r="Y41" s="16"/>
      <c r="Z41" s="16"/>
      <c r="AA41" s="16"/>
      <c r="AB41" s="16"/>
      <c r="AC41" s="16"/>
      <c r="AD41" s="16"/>
    </row>
    <row r="42" spans="1:30" x14ac:dyDescent="0.25">
      <c r="A42" s="111"/>
      <c r="B42" s="111"/>
      <c r="C42" s="80"/>
      <c r="D42" s="17"/>
      <c r="E42" s="17"/>
      <c r="F42" s="17"/>
      <c r="G42" s="17"/>
      <c r="H42" s="17"/>
      <c r="I42" s="17"/>
      <c r="J42" s="17"/>
      <c r="K42" s="17"/>
      <c r="L42" s="83"/>
      <c r="M42" s="17"/>
      <c r="N42" s="17"/>
      <c r="O42" s="17"/>
      <c r="P42" s="17"/>
      <c r="Q42" s="17"/>
      <c r="R42" s="17"/>
      <c r="S42" s="17"/>
      <c r="T42" s="17"/>
      <c r="U42" s="17"/>
      <c r="V42" s="16"/>
      <c r="W42" s="16"/>
      <c r="X42" s="16"/>
      <c r="Y42" s="16"/>
      <c r="Z42" s="16"/>
      <c r="AA42" s="16"/>
      <c r="AB42" s="16"/>
      <c r="AC42" s="16"/>
      <c r="AD42" s="16"/>
    </row>
    <row r="43" spans="1:30" x14ac:dyDescent="0.25">
      <c r="A43" s="111"/>
      <c r="B43" s="111"/>
      <c r="C43" s="80"/>
      <c r="D43" s="17"/>
      <c r="E43" s="17"/>
      <c r="F43" s="17"/>
      <c r="G43" s="17"/>
      <c r="H43" s="17"/>
      <c r="I43" s="17"/>
      <c r="J43" s="17"/>
      <c r="K43" s="17"/>
      <c r="L43" s="83"/>
      <c r="M43" s="17"/>
      <c r="N43" s="17"/>
      <c r="O43" s="17"/>
      <c r="P43" s="17"/>
      <c r="Q43" s="17"/>
      <c r="R43" s="17"/>
      <c r="S43" s="17"/>
      <c r="T43" s="17"/>
      <c r="U43" s="17"/>
      <c r="V43" s="16"/>
      <c r="W43" s="16"/>
      <c r="X43" s="16"/>
      <c r="Y43" s="16"/>
      <c r="Z43" s="16"/>
      <c r="AA43" s="16"/>
      <c r="AB43" s="16"/>
      <c r="AC43" s="16"/>
      <c r="AD43" s="16"/>
    </row>
    <row r="44" spans="1:30" x14ac:dyDescent="0.25">
      <c r="A44" s="111"/>
      <c r="B44" s="111"/>
      <c r="C44" s="80"/>
      <c r="D44" s="17"/>
      <c r="E44" s="17"/>
      <c r="F44" s="17"/>
      <c r="G44" s="17"/>
      <c r="H44" s="17"/>
      <c r="I44" s="17"/>
      <c r="J44" s="17"/>
      <c r="K44" s="17"/>
      <c r="L44" s="83"/>
      <c r="M44" s="17"/>
      <c r="N44" s="17"/>
      <c r="O44" s="17"/>
      <c r="P44" s="17"/>
      <c r="Q44" s="17"/>
      <c r="R44" s="17"/>
      <c r="S44" s="17"/>
      <c r="T44" s="17"/>
      <c r="U44" s="17"/>
      <c r="V44" s="16"/>
      <c r="W44" s="16"/>
      <c r="X44" s="16"/>
      <c r="Y44" s="16"/>
      <c r="Z44" s="16"/>
      <c r="AA44" s="16"/>
      <c r="AB44" s="16"/>
      <c r="AC44" s="16"/>
      <c r="AD44" s="16"/>
    </row>
    <row r="45" spans="1:30" x14ac:dyDescent="0.25">
      <c r="A45" s="111"/>
      <c r="B45" s="111"/>
      <c r="C45" s="80"/>
      <c r="D45" s="17"/>
      <c r="E45" s="17"/>
      <c r="F45" s="17"/>
      <c r="G45" s="17"/>
      <c r="H45" s="17"/>
      <c r="I45" s="17"/>
      <c r="J45" s="17"/>
      <c r="K45" s="17"/>
      <c r="L45" s="83"/>
      <c r="M45" s="17"/>
      <c r="N45" s="17"/>
      <c r="O45" s="17"/>
      <c r="P45" s="17"/>
      <c r="Q45" s="17"/>
      <c r="R45" s="17"/>
      <c r="S45" s="17"/>
      <c r="T45" s="17"/>
      <c r="U45" s="17"/>
      <c r="V45" s="16"/>
      <c r="W45" s="16"/>
      <c r="X45" s="16"/>
      <c r="Y45" s="16"/>
      <c r="Z45" s="16"/>
      <c r="AA45" s="16"/>
      <c r="AB45" s="16"/>
      <c r="AC45" s="16"/>
      <c r="AD45" s="16"/>
    </row>
    <row r="46" spans="1:30" x14ac:dyDescent="0.25">
      <c r="A46" s="111"/>
      <c r="B46" s="111"/>
      <c r="C46" s="80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6"/>
      <c r="W46" s="16"/>
      <c r="X46" s="16"/>
      <c r="Y46" s="16"/>
      <c r="Z46" s="16"/>
      <c r="AA46" s="16"/>
      <c r="AB46" s="16"/>
      <c r="AC46" s="16"/>
      <c r="AD46" s="16"/>
    </row>
    <row r="47" spans="1:30" x14ac:dyDescent="0.25">
      <c r="A47" s="81"/>
      <c r="B47" s="79"/>
      <c r="C47" s="80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6"/>
      <c r="W47" s="16"/>
      <c r="X47" s="16"/>
      <c r="Y47" s="16"/>
      <c r="Z47" s="16"/>
      <c r="AA47" s="16"/>
      <c r="AB47" s="16"/>
      <c r="AC47" s="16"/>
      <c r="AD47" s="16"/>
    </row>
    <row r="48" spans="1:30" x14ac:dyDescent="0.25">
      <c r="A48" s="81"/>
      <c r="B48" s="79"/>
      <c r="C48" s="80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6"/>
      <c r="W48" s="16"/>
      <c r="X48" s="16"/>
      <c r="Y48" s="16"/>
      <c r="Z48" s="16"/>
      <c r="AA48" s="16"/>
      <c r="AB48" s="16"/>
      <c r="AC48" s="16"/>
      <c r="AD48" s="16"/>
    </row>
    <row r="49" spans="1:30" ht="15" customHeight="1" x14ac:dyDescent="0.25">
      <c r="A49" s="111" t="s">
        <v>66</v>
      </c>
      <c r="B49" s="111"/>
      <c r="C49" s="80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6"/>
      <c r="W49" s="16"/>
      <c r="X49" s="16"/>
      <c r="Y49" s="16"/>
      <c r="Z49" s="16"/>
      <c r="AA49" s="16"/>
      <c r="AB49" s="16"/>
      <c r="AC49" s="16"/>
      <c r="AD49" s="16"/>
    </row>
    <row r="50" spans="1:30" x14ac:dyDescent="0.25">
      <c r="A50" s="111"/>
      <c r="B50" s="111"/>
      <c r="C50" s="80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6"/>
      <c r="W50" s="16"/>
      <c r="X50" s="16"/>
      <c r="Y50" s="16"/>
      <c r="Z50" s="16"/>
      <c r="AA50" s="16"/>
      <c r="AB50" s="16"/>
      <c r="AC50" s="16"/>
      <c r="AD50" s="16"/>
    </row>
    <row r="51" spans="1:30" x14ac:dyDescent="0.25">
      <c r="A51" s="111"/>
      <c r="B51" s="111"/>
      <c r="C51" s="80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6"/>
      <c r="W51" s="16"/>
      <c r="X51" s="16"/>
      <c r="Y51" s="16"/>
      <c r="Z51" s="16"/>
      <c r="AA51" s="16"/>
      <c r="AB51" s="16"/>
      <c r="AC51" s="16"/>
      <c r="AD51" s="16"/>
    </row>
    <row r="52" spans="1:30" x14ac:dyDescent="0.25">
      <c r="A52" s="111"/>
      <c r="B52" s="111"/>
      <c r="C52" s="80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6"/>
      <c r="W52" s="16"/>
      <c r="X52" s="16"/>
      <c r="Y52" s="16"/>
      <c r="Z52" s="16"/>
      <c r="AA52" s="16"/>
      <c r="AB52" s="16"/>
      <c r="AC52" s="16"/>
      <c r="AD52" s="16"/>
    </row>
    <row r="53" spans="1:30" x14ac:dyDescent="0.25">
      <c r="A53" s="111"/>
      <c r="B53" s="111"/>
      <c r="C53" s="80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6"/>
      <c r="W53" s="16"/>
      <c r="X53" s="16"/>
      <c r="Y53" s="16"/>
      <c r="Z53" s="16"/>
      <c r="AA53" s="16"/>
      <c r="AB53" s="16"/>
      <c r="AC53" s="16"/>
      <c r="AD53" s="16"/>
    </row>
    <row r="54" spans="1:30" x14ac:dyDescent="0.25">
      <c r="A54" s="111"/>
      <c r="B54" s="111"/>
      <c r="C54" s="80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6"/>
      <c r="W54" s="16"/>
      <c r="X54" s="16"/>
      <c r="Y54" s="16"/>
      <c r="Z54" s="16"/>
      <c r="AA54" s="16"/>
      <c r="AB54" s="16"/>
      <c r="AC54" s="16"/>
      <c r="AD54" s="16"/>
    </row>
    <row r="55" spans="1:30" x14ac:dyDescent="0.25">
      <c r="A55" s="111"/>
      <c r="B55" s="111"/>
      <c r="C55" s="80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6"/>
      <c r="W55" s="16"/>
      <c r="X55" s="16"/>
      <c r="Y55" s="16"/>
      <c r="Z55" s="16"/>
      <c r="AA55" s="16"/>
      <c r="AB55" s="16"/>
      <c r="AC55" s="16"/>
      <c r="AD55" s="16"/>
    </row>
    <row r="56" spans="1:30" x14ac:dyDescent="0.25">
      <c r="A56" s="111"/>
      <c r="B56" s="111"/>
      <c r="C56" s="80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6"/>
      <c r="W56" s="16"/>
      <c r="X56" s="16"/>
      <c r="Y56" s="16"/>
      <c r="Z56" s="16"/>
      <c r="AA56" s="16"/>
      <c r="AB56" s="16"/>
      <c r="AC56" s="16"/>
      <c r="AD56" s="16"/>
    </row>
    <row r="57" spans="1:30" x14ac:dyDescent="0.25">
      <c r="A57" s="111"/>
      <c r="B57" s="111"/>
      <c r="C57" s="80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6"/>
      <c r="W57" s="16"/>
      <c r="X57" s="16"/>
      <c r="Y57" s="16"/>
      <c r="Z57" s="16"/>
      <c r="AA57" s="16"/>
      <c r="AB57" s="16"/>
      <c r="AC57" s="16"/>
      <c r="AD57" s="16"/>
    </row>
    <row r="58" spans="1:30" x14ac:dyDescent="0.25">
      <c r="A58" s="111"/>
      <c r="B58" s="111"/>
      <c r="C58" s="80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6"/>
      <c r="W58" s="16"/>
      <c r="X58" s="16"/>
      <c r="Y58" s="16"/>
      <c r="Z58" s="16"/>
      <c r="AA58" s="16"/>
      <c r="AB58" s="16"/>
      <c r="AC58" s="16"/>
      <c r="AD58" s="16"/>
    </row>
    <row r="59" spans="1:30" x14ac:dyDescent="0.25">
      <c r="A59" s="111"/>
      <c r="B59" s="111"/>
      <c r="C59" s="80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6"/>
      <c r="W59" s="16"/>
      <c r="X59" s="16"/>
      <c r="Y59" s="16"/>
      <c r="Z59" s="16"/>
      <c r="AA59" s="16"/>
      <c r="AB59" s="16"/>
      <c r="AC59" s="16"/>
      <c r="AD59" s="16"/>
    </row>
    <row r="60" spans="1:30" x14ac:dyDescent="0.25">
      <c r="A60" s="111"/>
      <c r="B60" s="111"/>
      <c r="C60" s="80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6"/>
      <c r="W60" s="16"/>
      <c r="X60" s="16"/>
      <c r="Y60" s="16"/>
      <c r="Z60" s="16"/>
      <c r="AA60" s="16"/>
      <c r="AB60" s="16"/>
      <c r="AC60" s="16"/>
      <c r="AD60" s="16"/>
    </row>
    <row r="61" spans="1:30" x14ac:dyDescent="0.25">
      <c r="A61" s="111"/>
      <c r="B61" s="111"/>
      <c r="C61" s="80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6"/>
      <c r="W61" s="16"/>
      <c r="X61" s="16"/>
      <c r="Y61" s="16"/>
      <c r="Z61" s="16"/>
      <c r="AA61" s="16"/>
      <c r="AB61" s="16"/>
      <c r="AC61" s="16"/>
      <c r="AD61" s="16"/>
    </row>
    <row r="62" spans="1:30" x14ac:dyDescent="0.25">
      <c r="A62" s="111"/>
      <c r="B62" s="111"/>
      <c r="C62" s="80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6"/>
      <c r="W62" s="16"/>
      <c r="X62" s="16"/>
      <c r="Y62" s="16"/>
      <c r="Z62" s="16"/>
      <c r="AA62" s="16"/>
      <c r="AB62" s="16"/>
      <c r="AC62" s="16"/>
      <c r="AD62" s="16"/>
    </row>
    <row r="63" spans="1:30" x14ac:dyDescent="0.25">
      <c r="A63" s="111"/>
      <c r="B63" s="111"/>
      <c r="C63" s="80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6"/>
      <c r="W63" s="16"/>
      <c r="X63" s="16"/>
      <c r="Y63" s="16"/>
      <c r="Z63" s="16"/>
      <c r="AA63" s="16"/>
      <c r="AB63" s="16"/>
      <c r="AC63" s="16"/>
      <c r="AD63" s="16"/>
    </row>
    <row r="64" spans="1:30" x14ac:dyDescent="0.25">
      <c r="A64" s="111"/>
      <c r="B64" s="111"/>
      <c r="C64" s="80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6"/>
      <c r="W64" s="16"/>
      <c r="X64" s="16"/>
      <c r="Y64" s="16"/>
      <c r="Z64" s="16"/>
      <c r="AA64" s="16"/>
      <c r="AB64" s="16"/>
      <c r="AC64" s="16"/>
      <c r="AD64" s="16"/>
    </row>
    <row r="65" spans="1:30" x14ac:dyDescent="0.25">
      <c r="A65" s="111"/>
      <c r="B65" s="111"/>
      <c r="C65" s="80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6"/>
      <c r="W65" s="16"/>
      <c r="X65" s="16"/>
      <c r="Y65" s="16"/>
      <c r="Z65" s="16"/>
      <c r="AA65" s="16"/>
      <c r="AB65" s="16"/>
      <c r="AC65" s="16"/>
      <c r="AD65" s="16"/>
    </row>
    <row r="66" spans="1:30" x14ac:dyDescent="0.25">
      <c r="A66" s="111"/>
      <c r="B66" s="111"/>
      <c r="C66" s="80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6"/>
      <c r="W66" s="16"/>
      <c r="X66" s="16"/>
      <c r="Y66" s="16"/>
      <c r="Z66" s="16"/>
      <c r="AA66" s="16"/>
      <c r="AB66" s="16"/>
      <c r="AC66" s="16"/>
      <c r="AD66" s="16"/>
    </row>
    <row r="67" spans="1:30" x14ac:dyDescent="0.25">
      <c r="A67" s="111"/>
      <c r="B67" s="111"/>
      <c r="C67" s="80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6"/>
      <c r="W67" s="16"/>
      <c r="X67" s="16"/>
      <c r="Y67" s="16"/>
      <c r="Z67" s="16"/>
      <c r="AA67" s="16"/>
      <c r="AB67" s="16"/>
      <c r="AC67" s="16"/>
      <c r="AD67" s="16"/>
    </row>
    <row r="68" spans="1:30" x14ac:dyDescent="0.25">
      <c r="A68" s="81"/>
      <c r="B68" s="79"/>
      <c r="C68" s="80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6"/>
      <c r="W68" s="16"/>
      <c r="X68" s="16"/>
      <c r="Y68" s="16"/>
      <c r="Z68" s="16"/>
      <c r="AA68" s="16"/>
      <c r="AB68" s="16"/>
      <c r="AC68" s="16"/>
      <c r="AD68" s="16"/>
    </row>
    <row r="69" spans="1:30" ht="15" customHeight="1" x14ac:dyDescent="0.25">
      <c r="A69" s="111" t="s">
        <v>67</v>
      </c>
      <c r="B69" s="111"/>
      <c r="C69" s="8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6"/>
      <c r="W69" s="16"/>
      <c r="X69" s="16"/>
      <c r="Y69" s="16"/>
      <c r="Z69" s="16"/>
      <c r="AA69" s="16"/>
      <c r="AB69" s="16"/>
      <c r="AC69" s="16"/>
      <c r="AD69" s="16"/>
    </row>
    <row r="70" spans="1:30" x14ac:dyDescent="0.25">
      <c r="A70" s="111"/>
      <c r="B70" s="111"/>
      <c r="C70" s="80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6"/>
      <c r="W70" s="16"/>
      <c r="X70" s="16"/>
      <c r="Y70" s="16"/>
      <c r="Z70" s="16"/>
      <c r="AA70" s="16"/>
      <c r="AB70" s="16"/>
      <c r="AC70" s="16"/>
      <c r="AD70" s="16"/>
    </row>
    <row r="71" spans="1:30" x14ac:dyDescent="0.25">
      <c r="A71" s="111"/>
      <c r="B71" s="111"/>
      <c r="C71" s="80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6"/>
      <c r="W71" s="16"/>
      <c r="X71" s="16"/>
      <c r="Y71" s="16"/>
      <c r="Z71" s="16"/>
      <c r="AA71" s="16"/>
      <c r="AB71" s="16"/>
      <c r="AC71" s="16"/>
      <c r="AD71" s="16"/>
    </row>
    <row r="72" spans="1:30" x14ac:dyDescent="0.25">
      <c r="A72" s="111"/>
      <c r="B72" s="111"/>
      <c r="C72" s="80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6"/>
      <c r="W72" s="16"/>
      <c r="X72" s="16"/>
      <c r="Y72" s="16"/>
      <c r="Z72" s="16"/>
      <c r="AA72" s="16"/>
      <c r="AB72" s="16"/>
      <c r="AC72" s="16"/>
      <c r="AD72" s="16"/>
    </row>
    <row r="73" spans="1:30" x14ac:dyDescent="0.25">
      <c r="A73" s="111"/>
      <c r="B73" s="111"/>
      <c r="C73" s="80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6"/>
      <c r="W73" s="16"/>
      <c r="X73" s="16"/>
      <c r="Y73" s="16"/>
      <c r="Z73" s="16"/>
      <c r="AA73" s="16"/>
      <c r="AB73" s="16"/>
      <c r="AC73" s="16"/>
      <c r="AD73" s="16"/>
    </row>
    <row r="74" spans="1:30" x14ac:dyDescent="0.25">
      <c r="A74" s="111"/>
      <c r="B74" s="111"/>
      <c r="C74" s="80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6"/>
      <c r="W74" s="16"/>
      <c r="X74" s="16"/>
      <c r="Y74" s="16"/>
      <c r="Z74" s="16"/>
      <c r="AA74" s="16"/>
      <c r="AB74" s="16"/>
      <c r="AC74" s="16"/>
      <c r="AD74" s="16"/>
    </row>
    <row r="75" spans="1:30" x14ac:dyDescent="0.25">
      <c r="A75" s="111"/>
      <c r="B75" s="111"/>
      <c r="C75" s="80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6"/>
      <c r="W75" s="16"/>
      <c r="X75" s="16"/>
      <c r="Y75" s="16"/>
      <c r="Z75" s="16"/>
      <c r="AA75" s="16"/>
      <c r="AB75" s="16"/>
      <c r="AC75" s="16"/>
      <c r="AD75" s="16"/>
    </row>
    <row r="76" spans="1:30" x14ac:dyDescent="0.25">
      <c r="A76" s="111"/>
      <c r="B76" s="111"/>
      <c r="C76" s="80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6"/>
      <c r="W76" s="16"/>
      <c r="X76" s="16"/>
      <c r="Y76" s="16"/>
      <c r="Z76" s="16"/>
      <c r="AA76" s="16"/>
      <c r="AB76" s="16"/>
      <c r="AC76" s="16"/>
      <c r="AD76" s="16"/>
    </row>
    <row r="77" spans="1:30" x14ac:dyDescent="0.25">
      <c r="A77" s="111"/>
      <c r="B77" s="111"/>
      <c r="C77" s="80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6"/>
      <c r="W77" s="16"/>
      <c r="X77" s="16"/>
      <c r="Y77" s="16"/>
      <c r="Z77" s="16"/>
      <c r="AA77" s="16"/>
      <c r="AB77" s="16"/>
      <c r="AC77" s="16"/>
      <c r="AD77" s="16"/>
    </row>
    <row r="78" spans="1:30" x14ac:dyDescent="0.25">
      <c r="A78" s="111"/>
      <c r="B78" s="111"/>
      <c r="C78" s="80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6"/>
      <c r="W78" s="16"/>
      <c r="X78" s="16"/>
      <c r="Y78" s="16"/>
      <c r="Z78" s="16"/>
      <c r="AA78" s="16"/>
      <c r="AB78" s="16"/>
      <c r="AC78" s="16"/>
      <c r="AD78" s="16"/>
    </row>
    <row r="79" spans="1:30" x14ac:dyDescent="0.25">
      <c r="A79" s="111"/>
      <c r="B79" s="111"/>
      <c r="C79" s="80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6"/>
      <c r="W79" s="16"/>
      <c r="X79" s="16"/>
      <c r="Y79" s="16"/>
      <c r="Z79" s="16"/>
      <c r="AA79" s="16"/>
      <c r="AB79" s="16"/>
      <c r="AC79" s="16"/>
      <c r="AD79" s="16"/>
    </row>
    <row r="80" spans="1:30" x14ac:dyDescent="0.25">
      <c r="A80" s="111"/>
      <c r="B80" s="111"/>
      <c r="C80" s="80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6"/>
      <c r="W80" s="16"/>
      <c r="X80" s="16"/>
      <c r="Y80" s="16"/>
      <c r="Z80" s="16"/>
      <c r="AA80" s="16"/>
      <c r="AB80" s="16"/>
      <c r="AC80" s="16"/>
      <c r="AD80" s="16"/>
    </row>
    <row r="81" spans="1:30" x14ac:dyDescent="0.25">
      <c r="A81" s="111"/>
      <c r="B81" s="111"/>
      <c r="C81" s="80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6"/>
      <c r="W81" s="16"/>
      <c r="X81" s="16"/>
      <c r="Y81" s="16"/>
      <c r="Z81" s="16"/>
      <c r="AA81" s="16"/>
      <c r="AB81" s="16"/>
      <c r="AC81" s="16"/>
      <c r="AD81" s="16"/>
    </row>
    <row r="82" spans="1:30" x14ac:dyDescent="0.25">
      <c r="A82" s="111"/>
      <c r="B82" s="111"/>
      <c r="C82" s="80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6"/>
      <c r="W82" s="16"/>
      <c r="X82" s="16"/>
      <c r="Y82" s="16"/>
      <c r="Z82" s="16"/>
      <c r="AA82" s="16"/>
      <c r="AB82" s="16"/>
      <c r="AC82" s="16"/>
      <c r="AD82" s="16"/>
    </row>
    <row r="83" spans="1:30" x14ac:dyDescent="0.25">
      <c r="A83" s="111"/>
      <c r="B83" s="111"/>
      <c r="C83" s="80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6"/>
      <c r="W83" s="16"/>
      <c r="X83" s="16"/>
      <c r="Y83" s="16"/>
      <c r="Z83" s="16"/>
      <c r="AA83" s="16"/>
      <c r="AB83" s="16"/>
      <c r="AC83" s="16"/>
      <c r="AD83" s="16"/>
    </row>
    <row r="84" spans="1:30" x14ac:dyDescent="0.25">
      <c r="A84" s="111"/>
      <c r="B84" s="111"/>
      <c r="C84" s="80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6"/>
      <c r="W84" s="16"/>
      <c r="X84" s="16"/>
      <c r="Y84" s="16"/>
      <c r="Z84" s="16"/>
      <c r="AA84" s="16"/>
      <c r="AB84" s="16"/>
      <c r="AC84" s="16"/>
      <c r="AD84" s="16"/>
    </row>
    <row r="85" spans="1:30" x14ac:dyDescent="0.25">
      <c r="A85" s="111"/>
      <c r="B85" s="111"/>
      <c r="C85" s="80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6"/>
      <c r="W85" s="16"/>
      <c r="X85" s="16"/>
      <c r="Y85" s="16"/>
      <c r="Z85" s="16"/>
      <c r="AA85" s="16"/>
      <c r="AB85" s="16"/>
      <c r="AC85" s="16"/>
      <c r="AD85" s="16"/>
    </row>
    <row r="86" spans="1:30" x14ac:dyDescent="0.25">
      <c r="A86" s="111"/>
      <c r="B86" s="111"/>
      <c r="C86" s="80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6"/>
      <c r="W86" s="16"/>
      <c r="X86" s="16"/>
      <c r="Y86" s="16"/>
      <c r="Z86" s="16"/>
      <c r="AA86" s="16"/>
      <c r="AB86" s="16"/>
      <c r="AC86" s="16"/>
      <c r="AD86" s="16"/>
    </row>
    <row r="87" spans="1:30" x14ac:dyDescent="0.25">
      <c r="A87" s="111"/>
      <c r="B87" s="111"/>
      <c r="C87" s="80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6"/>
      <c r="W87" s="16"/>
      <c r="X87" s="16"/>
      <c r="Y87" s="16"/>
      <c r="Z87" s="16"/>
      <c r="AA87" s="16"/>
      <c r="AB87" s="16"/>
      <c r="AC87" s="16"/>
      <c r="AD87" s="16"/>
    </row>
    <row r="88" spans="1:30" x14ac:dyDescent="0.25">
      <c r="A88" s="16"/>
      <c r="B88" s="18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6"/>
      <c r="W88" s="16"/>
      <c r="X88" s="16"/>
      <c r="Y88" s="16"/>
      <c r="Z88" s="16"/>
      <c r="AA88" s="16"/>
      <c r="AB88" s="16"/>
      <c r="AC88" s="16"/>
      <c r="AD88" s="16"/>
    </row>
    <row r="89" spans="1:30" x14ac:dyDescent="0.25">
      <c r="A89" s="16"/>
      <c r="B89" s="18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6"/>
      <c r="W89" s="16"/>
      <c r="X89" s="16"/>
      <c r="Y89" s="16"/>
      <c r="Z89" s="16"/>
      <c r="AA89" s="16"/>
      <c r="AB89" s="16"/>
      <c r="AC89" s="16"/>
      <c r="AD89" s="16"/>
    </row>
    <row r="90" spans="1:30" x14ac:dyDescent="0.25">
      <c r="A90" s="16"/>
      <c r="B90" s="18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6"/>
      <c r="W90" s="16"/>
      <c r="X90" s="16"/>
      <c r="Y90" s="16"/>
      <c r="Z90" s="16"/>
      <c r="AA90" s="16"/>
      <c r="AB90" s="16"/>
      <c r="AC90" s="16"/>
      <c r="AD90" s="16"/>
    </row>
    <row r="91" spans="1:30" ht="15" customHeight="1" x14ac:dyDescent="0.25">
      <c r="A91" s="17"/>
      <c r="B91" s="17"/>
      <c r="C91" s="112" t="s">
        <v>68</v>
      </c>
      <c r="D91" s="112"/>
      <c r="E91" s="112"/>
      <c r="F91" s="112"/>
      <c r="G91" s="112"/>
      <c r="H91" s="112"/>
      <c r="I91" s="112"/>
      <c r="J91" s="112"/>
      <c r="K91" s="112"/>
      <c r="L91" s="112" t="s">
        <v>68</v>
      </c>
      <c r="M91" s="112"/>
      <c r="N91" s="112"/>
      <c r="O91" s="112"/>
      <c r="P91" s="112"/>
      <c r="Q91" s="112"/>
      <c r="R91" s="112"/>
      <c r="S91" s="112"/>
      <c r="T91" s="112"/>
      <c r="U91" s="112" t="s">
        <v>68</v>
      </c>
      <c r="V91" s="112"/>
      <c r="W91" s="112"/>
      <c r="X91" s="112"/>
      <c r="Y91" s="112"/>
      <c r="Z91" s="112"/>
      <c r="AA91" s="112"/>
      <c r="AB91" s="112"/>
      <c r="AC91" s="112"/>
      <c r="AD91" s="17"/>
    </row>
    <row r="92" spans="1:30" ht="15" customHeight="1" x14ac:dyDescent="0.25">
      <c r="A92" s="17"/>
      <c r="B92" s="18"/>
      <c r="C92" s="112"/>
      <c r="D92" s="112"/>
      <c r="E92" s="112"/>
      <c r="F92" s="112"/>
      <c r="G92" s="112"/>
      <c r="H92" s="112"/>
      <c r="I92" s="112"/>
      <c r="J92" s="112"/>
      <c r="K92" s="112"/>
      <c r="L92" s="112"/>
      <c r="M92" s="112"/>
      <c r="N92" s="112"/>
      <c r="O92" s="112"/>
      <c r="P92" s="112"/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7"/>
    </row>
    <row r="93" spans="1:30" ht="15" customHeight="1" x14ac:dyDescent="0.25">
      <c r="AD93" s="5"/>
    </row>
  </sheetData>
  <mergeCells count="10">
    <mergeCell ref="A69:B87"/>
    <mergeCell ref="C91:K92"/>
    <mergeCell ref="L91:T92"/>
    <mergeCell ref="U91:AC92"/>
    <mergeCell ref="D2:J5"/>
    <mergeCell ref="M2:S5"/>
    <mergeCell ref="V2:AB5"/>
    <mergeCell ref="A7:B25"/>
    <mergeCell ref="A28:B46"/>
    <mergeCell ref="A49:B67"/>
  </mergeCells>
  <printOptions horizontalCentered="1" verticalCentered="1"/>
  <pageMargins left="0" right="0" top="0" bottom="0" header="0" footer="0"/>
  <pageSetup scale="38" orientation="portrait" horizontalDpi="4294967292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  <pageSetUpPr fitToPage="1"/>
  </sheetPr>
  <dimension ref="A1:BO73"/>
  <sheetViews>
    <sheetView zoomScale="40" zoomScaleNormal="40" workbookViewId="0">
      <selection activeCell="AQ84" sqref="AQ84"/>
    </sheetView>
  </sheetViews>
  <sheetFormatPr defaultColWidth="9.140625" defaultRowHeight="15" x14ac:dyDescent="0.25"/>
  <cols>
    <col min="1" max="1" width="9.140625" style="20"/>
    <col min="2" max="2" width="9.140625" style="20" customWidth="1"/>
    <col min="3" max="24" width="9.140625" style="20"/>
    <col min="25" max="25" width="9.140625" style="20" customWidth="1"/>
    <col min="26" max="47" width="9.140625" style="20"/>
    <col min="48" max="48" width="9.140625" style="20" customWidth="1"/>
    <col min="49" max="16384" width="9.140625" style="20"/>
  </cols>
  <sheetData>
    <row r="1" spans="1:67" ht="15" customHeight="1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</row>
    <row r="2" spans="1:67" ht="15" customHeight="1" x14ac:dyDescent="0.25">
      <c r="A2" s="16"/>
      <c r="B2" s="60"/>
      <c r="C2" s="66"/>
      <c r="D2" s="117" t="s">
        <v>47</v>
      </c>
      <c r="E2" s="117"/>
      <c r="F2" s="117"/>
      <c r="G2" s="117"/>
      <c r="H2" s="117"/>
      <c r="I2" s="117"/>
      <c r="J2" s="117"/>
      <c r="K2" s="117"/>
      <c r="L2" s="66"/>
      <c r="M2" s="117" t="s">
        <v>48</v>
      </c>
      <c r="N2" s="117"/>
      <c r="O2" s="117"/>
      <c r="P2" s="117"/>
      <c r="Q2" s="117"/>
      <c r="R2" s="117"/>
      <c r="S2" s="117"/>
      <c r="T2" s="117"/>
      <c r="U2" s="66"/>
      <c r="V2" s="20" t="s">
        <v>34</v>
      </c>
      <c r="X2" s="16"/>
      <c r="Y2" s="60"/>
      <c r="Z2" s="66"/>
      <c r="AA2" s="117" t="s">
        <v>47</v>
      </c>
      <c r="AB2" s="117"/>
      <c r="AC2" s="117"/>
      <c r="AD2" s="117"/>
      <c r="AE2" s="117"/>
      <c r="AF2" s="117"/>
      <c r="AG2" s="117"/>
      <c r="AH2" s="117"/>
      <c r="AI2" s="66"/>
      <c r="AJ2" s="117" t="s">
        <v>48</v>
      </c>
      <c r="AK2" s="117"/>
      <c r="AL2" s="117"/>
      <c r="AM2" s="117"/>
      <c r="AN2" s="117"/>
      <c r="AO2" s="117"/>
      <c r="AP2" s="117"/>
      <c r="AQ2" s="117"/>
      <c r="AR2" s="66"/>
      <c r="AU2" s="16"/>
      <c r="AV2" s="60"/>
      <c r="AW2" s="66"/>
      <c r="AX2" s="117" t="s">
        <v>47</v>
      </c>
      <c r="AY2" s="117"/>
      <c r="AZ2" s="117"/>
      <c r="BA2" s="117"/>
      <c r="BB2" s="117"/>
      <c r="BC2" s="117"/>
      <c r="BD2" s="117"/>
      <c r="BE2" s="117"/>
      <c r="BF2" s="66"/>
      <c r="BG2" s="117" t="s">
        <v>48</v>
      </c>
      <c r="BH2" s="117"/>
      <c r="BI2" s="117"/>
      <c r="BJ2" s="117"/>
      <c r="BK2" s="117"/>
      <c r="BL2" s="117"/>
      <c r="BM2" s="117"/>
      <c r="BN2" s="117"/>
      <c r="BO2" s="66"/>
    </row>
    <row r="3" spans="1:67" ht="15" customHeight="1" x14ac:dyDescent="0.25">
      <c r="A3" s="16"/>
      <c r="B3" s="60"/>
      <c r="C3" s="66"/>
      <c r="D3" s="117"/>
      <c r="E3" s="117"/>
      <c r="F3" s="117"/>
      <c r="G3" s="117"/>
      <c r="H3" s="117"/>
      <c r="I3" s="117"/>
      <c r="J3" s="117"/>
      <c r="K3" s="117"/>
      <c r="L3" s="66"/>
      <c r="M3" s="117"/>
      <c r="N3" s="117"/>
      <c r="O3" s="117"/>
      <c r="P3" s="117"/>
      <c r="Q3" s="117"/>
      <c r="R3" s="117"/>
      <c r="S3" s="117"/>
      <c r="T3" s="117"/>
      <c r="U3" s="66"/>
      <c r="V3" s="20" t="s">
        <v>35</v>
      </c>
      <c r="X3" s="16"/>
      <c r="Y3" s="60"/>
      <c r="Z3" s="66"/>
      <c r="AA3" s="117"/>
      <c r="AB3" s="117"/>
      <c r="AC3" s="117"/>
      <c r="AD3" s="117"/>
      <c r="AE3" s="117"/>
      <c r="AF3" s="117"/>
      <c r="AG3" s="117"/>
      <c r="AH3" s="117"/>
      <c r="AI3" s="66"/>
      <c r="AJ3" s="117"/>
      <c r="AK3" s="117"/>
      <c r="AL3" s="117"/>
      <c r="AM3" s="117"/>
      <c r="AN3" s="117"/>
      <c r="AO3" s="117"/>
      <c r="AP3" s="117"/>
      <c r="AQ3" s="117"/>
      <c r="AR3" s="66"/>
      <c r="AU3" s="16"/>
      <c r="AV3" s="60"/>
      <c r="AW3" s="66"/>
      <c r="AX3" s="117"/>
      <c r="AY3" s="117"/>
      <c r="AZ3" s="117"/>
      <c r="BA3" s="117"/>
      <c r="BB3" s="117"/>
      <c r="BC3" s="117"/>
      <c r="BD3" s="117"/>
      <c r="BE3" s="117"/>
      <c r="BF3" s="66"/>
      <c r="BG3" s="117"/>
      <c r="BH3" s="117"/>
      <c r="BI3" s="117"/>
      <c r="BJ3" s="117"/>
      <c r="BK3" s="117"/>
      <c r="BL3" s="117"/>
      <c r="BM3" s="117"/>
      <c r="BN3" s="117"/>
      <c r="BO3" s="66"/>
    </row>
    <row r="4" spans="1:67" ht="15" customHeight="1" x14ac:dyDescent="0.25">
      <c r="A4" s="16"/>
      <c r="B4" s="60"/>
      <c r="C4" s="66"/>
      <c r="D4" s="117" t="s">
        <v>46</v>
      </c>
      <c r="E4" s="117"/>
      <c r="F4" s="117"/>
      <c r="G4" s="117"/>
      <c r="H4" s="117"/>
      <c r="I4" s="117"/>
      <c r="J4" s="117"/>
      <c r="K4" s="117"/>
      <c r="L4" s="66"/>
      <c r="M4" s="117" t="s">
        <v>44</v>
      </c>
      <c r="N4" s="117"/>
      <c r="O4" s="117"/>
      <c r="P4" s="117"/>
      <c r="Q4" s="117"/>
      <c r="R4" s="117"/>
      <c r="S4" s="117"/>
      <c r="T4" s="117"/>
      <c r="U4" s="66"/>
      <c r="V4" s="20" t="s">
        <v>36</v>
      </c>
      <c r="X4" s="16"/>
      <c r="Y4" s="60"/>
      <c r="Z4" s="66"/>
      <c r="AA4" s="117" t="s">
        <v>46</v>
      </c>
      <c r="AB4" s="117"/>
      <c r="AC4" s="117"/>
      <c r="AD4" s="117"/>
      <c r="AE4" s="117"/>
      <c r="AF4" s="117"/>
      <c r="AG4" s="117"/>
      <c r="AH4" s="117"/>
      <c r="AI4" s="66"/>
      <c r="AJ4" s="117" t="s">
        <v>44</v>
      </c>
      <c r="AK4" s="117"/>
      <c r="AL4" s="117"/>
      <c r="AM4" s="117"/>
      <c r="AN4" s="117"/>
      <c r="AO4" s="117"/>
      <c r="AP4" s="117"/>
      <c r="AQ4" s="117"/>
      <c r="AR4" s="66"/>
      <c r="AU4" s="16"/>
      <c r="AV4" s="60"/>
      <c r="AW4" s="66"/>
      <c r="AX4" s="117" t="s">
        <v>46</v>
      </c>
      <c r="AY4" s="117"/>
      <c r="AZ4" s="117"/>
      <c r="BA4" s="117"/>
      <c r="BB4" s="117"/>
      <c r="BC4" s="117"/>
      <c r="BD4" s="117"/>
      <c r="BE4" s="117"/>
      <c r="BF4" s="66"/>
      <c r="BG4" s="117" t="s">
        <v>44</v>
      </c>
      <c r="BH4" s="117"/>
      <c r="BI4" s="117"/>
      <c r="BJ4" s="117"/>
      <c r="BK4" s="117"/>
      <c r="BL4" s="117"/>
      <c r="BM4" s="117"/>
      <c r="BN4" s="117"/>
      <c r="BO4" s="66"/>
    </row>
    <row r="5" spans="1:67" ht="15" customHeight="1" x14ac:dyDescent="0.25">
      <c r="A5" s="16"/>
      <c r="B5" s="60"/>
      <c r="C5" s="66"/>
      <c r="D5" s="117"/>
      <c r="E5" s="117"/>
      <c r="F5" s="117"/>
      <c r="G5" s="117"/>
      <c r="H5" s="117"/>
      <c r="I5" s="117"/>
      <c r="J5" s="117"/>
      <c r="K5" s="117"/>
      <c r="L5" s="66"/>
      <c r="M5" s="117"/>
      <c r="N5" s="117"/>
      <c r="O5" s="117"/>
      <c r="P5" s="117"/>
      <c r="Q5" s="117"/>
      <c r="R5" s="117"/>
      <c r="S5" s="117"/>
      <c r="T5" s="117"/>
      <c r="U5" s="66"/>
      <c r="V5" s="20" t="s">
        <v>37</v>
      </c>
      <c r="X5" s="16"/>
      <c r="Y5" s="60"/>
      <c r="Z5" s="66"/>
      <c r="AA5" s="117"/>
      <c r="AB5" s="117"/>
      <c r="AC5" s="117"/>
      <c r="AD5" s="117"/>
      <c r="AE5" s="117"/>
      <c r="AF5" s="117"/>
      <c r="AG5" s="117"/>
      <c r="AH5" s="117"/>
      <c r="AI5" s="66"/>
      <c r="AJ5" s="117"/>
      <c r="AK5" s="117"/>
      <c r="AL5" s="117"/>
      <c r="AM5" s="117"/>
      <c r="AN5" s="117"/>
      <c r="AO5" s="117"/>
      <c r="AP5" s="117"/>
      <c r="AQ5" s="117"/>
      <c r="AR5" s="66"/>
      <c r="AU5" s="16"/>
      <c r="AV5" s="60"/>
      <c r="AW5" s="66"/>
      <c r="AX5" s="117"/>
      <c r="AY5" s="117"/>
      <c r="AZ5" s="117"/>
      <c r="BA5" s="117"/>
      <c r="BB5" s="117"/>
      <c r="BC5" s="117"/>
      <c r="BD5" s="117"/>
      <c r="BE5" s="117"/>
      <c r="BF5" s="66"/>
      <c r="BG5" s="117"/>
      <c r="BH5" s="117"/>
      <c r="BI5" s="117"/>
      <c r="BJ5" s="117"/>
      <c r="BK5" s="117"/>
      <c r="BL5" s="117"/>
      <c r="BM5" s="117"/>
      <c r="BN5" s="117"/>
      <c r="BO5" s="66"/>
    </row>
    <row r="6" spans="1:67" ht="15" customHeight="1" x14ac:dyDescent="0.6">
      <c r="A6" s="16"/>
      <c r="B6" s="18"/>
      <c r="C6" s="67"/>
      <c r="D6" s="67"/>
      <c r="E6" s="67"/>
      <c r="F6" s="67"/>
      <c r="G6" s="67"/>
      <c r="H6" s="67"/>
      <c r="I6" s="67"/>
      <c r="J6" s="67"/>
      <c r="K6" s="67"/>
      <c r="L6" s="66"/>
      <c r="M6" s="66"/>
      <c r="N6" s="66"/>
      <c r="O6" s="66"/>
      <c r="P6" s="66"/>
      <c r="Q6" s="66"/>
      <c r="R6" s="66"/>
      <c r="S6" s="66"/>
      <c r="T6" s="66"/>
      <c r="U6" s="67"/>
      <c r="X6" s="16"/>
      <c r="Y6" s="18"/>
      <c r="Z6" s="67"/>
      <c r="AA6" s="67"/>
      <c r="AB6" s="67"/>
      <c r="AC6" s="67"/>
      <c r="AD6" s="67"/>
      <c r="AE6" s="67"/>
      <c r="AF6" s="67"/>
      <c r="AG6" s="67"/>
      <c r="AH6" s="67"/>
      <c r="AI6" s="66"/>
      <c r="AJ6" s="66"/>
      <c r="AK6" s="66"/>
      <c r="AL6" s="66"/>
      <c r="AM6" s="66"/>
      <c r="AN6" s="66"/>
      <c r="AO6" s="66"/>
      <c r="AP6" s="66"/>
      <c r="AQ6" s="66"/>
      <c r="AR6" s="67"/>
      <c r="AU6" s="16"/>
      <c r="AV6" s="18"/>
      <c r="AW6" s="67"/>
      <c r="AX6" s="67"/>
      <c r="AY6" s="67"/>
      <c r="AZ6" s="67"/>
      <c r="BA6" s="67"/>
      <c r="BB6" s="67"/>
      <c r="BC6" s="67"/>
      <c r="BD6" s="67"/>
      <c r="BE6" s="67"/>
      <c r="BF6" s="66"/>
      <c r="BG6" s="66"/>
      <c r="BH6" s="66"/>
      <c r="BI6" s="66"/>
      <c r="BJ6" s="66"/>
      <c r="BK6" s="66"/>
      <c r="BL6" s="66"/>
      <c r="BM6" s="66"/>
      <c r="BN6" s="66"/>
      <c r="BO6" s="67"/>
    </row>
    <row r="7" spans="1:67" ht="15" customHeight="1" x14ac:dyDescent="0.25">
      <c r="A7" s="16"/>
      <c r="B7" s="18"/>
      <c r="C7" s="17"/>
      <c r="D7" s="17"/>
      <c r="E7" s="17"/>
      <c r="F7" s="17"/>
      <c r="G7" s="17"/>
      <c r="H7" s="17"/>
      <c r="I7" s="17"/>
      <c r="J7" s="17"/>
      <c r="K7" s="17"/>
      <c r="L7" s="61"/>
      <c r="M7" s="61"/>
      <c r="N7" s="61"/>
      <c r="O7" s="61"/>
      <c r="P7" s="61"/>
      <c r="Q7" s="61"/>
      <c r="R7" s="61"/>
      <c r="S7" s="61"/>
      <c r="T7" s="17"/>
      <c r="U7" s="17"/>
      <c r="X7" s="16"/>
      <c r="Y7" s="18"/>
      <c r="Z7" s="17"/>
      <c r="AA7" s="17"/>
      <c r="AB7" s="17"/>
      <c r="AC7" s="17"/>
      <c r="AD7" s="17"/>
      <c r="AE7" s="17"/>
      <c r="AF7" s="17"/>
      <c r="AG7" s="17"/>
      <c r="AH7" s="17"/>
      <c r="AI7" s="61"/>
      <c r="AJ7" s="61"/>
      <c r="AK7" s="61"/>
      <c r="AL7" s="61"/>
      <c r="AM7" s="61"/>
      <c r="AN7" s="61"/>
      <c r="AO7" s="61"/>
      <c r="AP7" s="61"/>
      <c r="AQ7" s="17"/>
      <c r="AR7" s="17"/>
      <c r="AU7" s="16"/>
      <c r="AV7" s="18"/>
      <c r="AW7" s="17"/>
      <c r="AX7" s="17"/>
      <c r="AY7" s="17"/>
      <c r="AZ7" s="17"/>
      <c r="BA7" s="17"/>
      <c r="BB7" s="17"/>
      <c r="BC7" s="17"/>
      <c r="BD7" s="17"/>
      <c r="BE7" s="17"/>
      <c r="BF7" s="61"/>
      <c r="BG7" s="61"/>
      <c r="BH7" s="61"/>
      <c r="BI7" s="61"/>
      <c r="BJ7" s="61"/>
      <c r="BK7" s="61"/>
      <c r="BL7" s="61"/>
      <c r="BM7" s="61"/>
      <c r="BN7" s="17"/>
      <c r="BO7" s="17"/>
    </row>
    <row r="8" spans="1:67" ht="15" customHeight="1" x14ac:dyDescent="0.25">
      <c r="A8" s="16"/>
      <c r="B8" s="114" t="str">
        <f>R0!B1</f>
        <v>Western Cape</v>
      </c>
      <c r="C8" s="17"/>
      <c r="D8" s="17"/>
      <c r="E8" s="17"/>
      <c r="F8" s="17"/>
      <c r="G8" s="17"/>
      <c r="H8" s="17"/>
      <c r="I8" s="17"/>
      <c r="J8" s="17"/>
      <c r="K8" s="17"/>
      <c r="L8" s="18"/>
      <c r="M8" s="17"/>
      <c r="N8" s="17"/>
      <c r="O8" s="17"/>
      <c r="P8" s="17"/>
      <c r="Q8" s="17"/>
      <c r="R8" s="17"/>
      <c r="S8" s="17"/>
      <c r="T8" s="17"/>
      <c r="U8" s="17"/>
      <c r="X8" s="16"/>
      <c r="Y8" s="114" t="str">
        <f>'R3'!B1</f>
        <v>Free State</v>
      </c>
      <c r="Z8" s="17"/>
      <c r="AA8" s="17"/>
      <c r="AB8" s="17"/>
      <c r="AC8" s="17"/>
      <c r="AD8" s="17"/>
      <c r="AE8" s="17"/>
      <c r="AF8" s="17"/>
      <c r="AG8" s="17"/>
      <c r="AH8" s="17"/>
      <c r="AI8" s="18"/>
      <c r="AJ8" s="17"/>
      <c r="AK8" s="17"/>
      <c r="AL8" s="17"/>
      <c r="AM8" s="17"/>
      <c r="AN8" s="17"/>
      <c r="AO8" s="17"/>
      <c r="AP8" s="17"/>
      <c r="AQ8" s="17"/>
      <c r="AR8" s="17"/>
      <c r="AU8" s="16"/>
      <c r="AV8" s="114" t="str">
        <f>'R6'!B1</f>
        <v>Gauteng</v>
      </c>
      <c r="AW8" s="17"/>
      <c r="AX8" s="17"/>
      <c r="AY8" s="17"/>
      <c r="AZ8" s="17"/>
      <c r="BA8" s="17"/>
      <c r="BB8" s="17"/>
      <c r="BC8" s="17"/>
      <c r="BD8" s="17"/>
      <c r="BE8" s="17"/>
      <c r="BF8" s="18"/>
      <c r="BG8" s="17"/>
      <c r="BH8" s="17"/>
      <c r="BI8" s="17"/>
      <c r="BJ8" s="17"/>
      <c r="BK8" s="17"/>
      <c r="BL8" s="17"/>
      <c r="BM8" s="17"/>
      <c r="BN8" s="17"/>
      <c r="BO8" s="17"/>
    </row>
    <row r="9" spans="1:67" ht="15" customHeight="1" x14ac:dyDescent="0.25">
      <c r="A9" s="16"/>
      <c r="B9" s="114"/>
      <c r="C9" s="17"/>
      <c r="D9" s="17"/>
      <c r="E9" s="17"/>
      <c r="F9" s="17"/>
      <c r="G9" s="17"/>
      <c r="H9" s="17"/>
      <c r="I9" s="17"/>
      <c r="J9" s="17"/>
      <c r="K9" s="17"/>
      <c r="L9" s="19"/>
      <c r="M9" s="17"/>
      <c r="N9" s="17"/>
      <c r="O9" s="17"/>
      <c r="P9" s="17"/>
      <c r="Q9" s="17"/>
      <c r="R9" s="17"/>
      <c r="S9" s="17"/>
      <c r="T9" s="17"/>
      <c r="U9" s="17"/>
      <c r="X9" s="16"/>
      <c r="Y9" s="114"/>
      <c r="Z9" s="17"/>
      <c r="AA9" s="17"/>
      <c r="AB9" s="17"/>
      <c r="AC9" s="17"/>
      <c r="AD9" s="17"/>
      <c r="AE9" s="17"/>
      <c r="AF9" s="17"/>
      <c r="AG9" s="17"/>
      <c r="AH9" s="17"/>
      <c r="AI9" s="19"/>
      <c r="AJ9" s="17"/>
      <c r="AK9" s="17"/>
      <c r="AL9" s="17"/>
      <c r="AM9" s="17"/>
      <c r="AN9" s="17"/>
      <c r="AO9" s="17"/>
      <c r="AP9" s="17"/>
      <c r="AQ9" s="17"/>
      <c r="AR9" s="17"/>
      <c r="AU9" s="16"/>
      <c r="AV9" s="114"/>
      <c r="AW9" s="17"/>
      <c r="AX9" s="17"/>
      <c r="AY9" s="17"/>
      <c r="AZ9" s="17"/>
      <c r="BA9" s="17"/>
      <c r="BB9" s="17"/>
      <c r="BC9" s="17"/>
      <c r="BD9" s="17"/>
      <c r="BE9" s="17"/>
      <c r="BF9" s="19"/>
      <c r="BG9" s="17"/>
      <c r="BH9" s="17"/>
      <c r="BI9" s="17"/>
      <c r="BJ9" s="17"/>
      <c r="BK9" s="17"/>
      <c r="BL9" s="17"/>
      <c r="BM9" s="17"/>
      <c r="BN9" s="17"/>
      <c r="BO9" s="17"/>
    </row>
    <row r="10" spans="1:67" ht="15" customHeight="1" x14ac:dyDescent="0.25">
      <c r="A10" s="16"/>
      <c r="B10" s="114"/>
      <c r="C10" s="17"/>
      <c r="D10" s="17"/>
      <c r="E10" s="17"/>
      <c r="F10" s="17"/>
      <c r="G10" s="17"/>
      <c r="H10" s="17"/>
      <c r="I10" s="17"/>
      <c r="J10" s="17"/>
      <c r="K10" s="17"/>
      <c r="L10" s="19"/>
      <c r="M10" s="17"/>
      <c r="N10" s="17"/>
      <c r="O10" s="17"/>
      <c r="P10" s="17"/>
      <c r="Q10" s="17"/>
      <c r="R10" s="17"/>
      <c r="S10" s="17"/>
      <c r="T10" s="17"/>
      <c r="U10" s="17"/>
      <c r="X10" s="16"/>
      <c r="Y10" s="114"/>
      <c r="Z10" s="17"/>
      <c r="AA10" s="17"/>
      <c r="AB10" s="17"/>
      <c r="AC10" s="17"/>
      <c r="AD10" s="17"/>
      <c r="AE10" s="17"/>
      <c r="AF10" s="17"/>
      <c r="AG10" s="17"/>
      <c r="AH10" s="17"/>
      <c r="AI10" s="19"/>
      <c r="AJ10" s="17"/>
      <c r="AK10" s="17"/>
      <c r="AL10" s="17"/>
      <c r="AM10" s="17"/>
      <c r="AN10" s="17"/>
      <c r="AO10" s="17"/>
      <c r="AP10" s="17"/>
      <c r="AQ10" s="17"/>
      <c r="AR10" s="17"/>
      <c r="AU10" s="16"/>
      <c r="AV10" s="114"/>
      <c r="AW10" s="17"/>
      <c r="AX10" s="17"/>
      <c r="AY10" s="17"/>
      <c r="AZ10" s="17"/>
      <c r="BA10" s="17"/>
      <c r="BB10" s="17"/>
      <c r="BC10" s="17"/>
      <c r="BD10" s="17"/>
      <c r="BE10" s="17"/>
      <c r="BF10" s="19"/>
      <c r="BG10" s="17"/>
      <c r="BH10" s="17"/>
      <c r="BI10" s="17"/>
      <c r="BJ10" s="17"/>
      <c r="BK10" s="17"/>
      <c r="BL10" s="17"/>
      <c r="BM10" s="17"/>
      <c r="BN10" s="17"/>
      <c r="BO10" s="17"/>
    </row>
    <row r="11" spans="1:67" ht="15" customHeight="1" x14ac:dyDescent="0.25">
      <c r="A11" s="16"/>
      <c r="B11" s="114"/>
      <c r="C11" s="17"/>
      <c r="D11" s="17"/>
      <c r="E11" s="17"/>
      <c r="F11" s="17"/>
      <c r="G11" s="17"/>
      <c r="H11" s="17"/>
      <c r="I11" s="17"/>
      <c r="J11" s="17"/>
      <c r="K11" s="17"/>
      <c r="L11" s="19"/>
      <c r="M11" s="17"/>
      <c r="N11" s="17"/>
      <c r="O11" s="17"/>
      <c r="P11" s="17"/>
      <c r="Q11" s="17"/>
      <c r="R11" s="17"/>
      <c r="S11" s="17"/>
      <c r="T11" s="17"/>
      <c r="U11" s="17"/>
      <c r="X11" s="16"/>
      <c r="Y11" s="114"/>
      <c r="Z11" s="17"/>
      <c r="AA11" s="17"/>
      <c r="AB11" s="17"/>
      <c r="AC11" s="17"/>
      <c r="AD11" s="17"/>
      <c r="AE11" s="17"/>
      <c r="AF11" s="17"/>
      <c r="AG11" s="17"/>
      <c r="AH11" s="17"/>
      <c r="AI11" s="19"/>
      <c r="AJ11" s="17"/>
      <c r="AK11" s="17"/>
      <c r="AL11" s="17"/>
      <c r="AM11" s="17"/>
      <c r="AN11" s="17"/>
      <c r="AO11" s="17"/>
      <c r="AP11" s="17"/>
      <c r="AQ11" s="17"/>
      <c r="AR11" s="17"/>
      <c r="AU11" s="16"/>
      <c r="AV11" s="114"/>
      <c r="AW11" s="17"/>
      <c r="AX11" s="17"/>
      <c r="AY11" s="17"/>
      <c r="AZ11" s="17"/>
      <c r="BA11" s="17"/>
      <c r="BB11" s="17"/>
      <c r="BC11" s="17"/>
      <c r="BD11" s="17"/>
      <c r="BE11" s="17"/>
      <c r="BF11" s="19"/>
      <c r="BG11" s="17"/>
      <c r="BH11" s="17"/>
      <c r="BI11" s="17"/>
      <c r="BJ11" s="17"/>
      <c r="BK11" s="17"/>
      <c r="BL11" s="17"/>
      <c r="BM11" s="17"/>
      <c r="BN11" s="17"/>
      <c r="BO11" s="17"/>
    </row>
    <row r="12" spans="1:67" ht="15" customHeight="1" x14ac:dyDescent="0.25">
      <c r="A12" s="16"/>
      <c r="B12" s="114"/>
      <c r="C12" s="17"/>
      <c r="D12" s="17"/>
      <c r="E12" s="17"/>
      <c r="F12" s="17"/>
      <c r="G12" s="17"/>
      <c r="H12" s="17"/>
      <c r="I12" s="17"/>
      <c r="J12" s="17"/>
      <c r="K12" s="17"/>
      <c r="L12" s="19"/>
      <c r="M12" s="17"/>
      <c r="N12" s="17"/>
      <c r="O12" s="17"/>
      <c r="P12" s="17"/>
      <c r="Q12" s="17"/>
      <c r="R12" s="17"/>
      <c r="S12" s="17"/>
      <c r="T12" s="17"/>
      <c r="U12" s="17"/>
      <c r="X12" s="16"/>
      <c r="Y12" s="114"/>
      <c r="Z12" s="17"/>
      <c r="AA12" s="17"/>
      <c r="AB12" s="17"/>
      <c r="AC12" s="17"/>
      <c r="AD12" s="17"/>
      <c r="AE12" s="17"/>
      <c r="AF12" s="17"/>
      <c r="AG12" s="17"/>
      <c r="AH12" s="17"/>
      <c r="AI12" s="19"/>
      <c r="AJ12" s="17"/>
      <c r="AK12" s="17"/>
      <c r="AL12" s="17"/>
      <c r="AM12" s="17"/>
      <c r="AN12" s="17"/>
      <c r="AO12" s="17"/>
      <c r="AP12" s="17"/>
      <c r="AQ12" s="17"/>
      <c r="AR12" s="17"/>
      <c r="AU12" s="16"/>
      <c r="AV12" s="114"/>
      <c r="AW12" s="17"/>
      <c r="AX12" s="17"/>
      <c r="AY12" s="17"/>
      <c r="AZ12" s="17"/>
      <c r="BA12" s="17"/>
      <c r="BB12" s="17"/>
      <c r="BC12" s="17"/>
      <c r="BD12" s="17"/>
      <c r="BE12" s="17"/>
      <c r="BF12" s="19"/>
      <c r="BG12" s="17"/>
      <c r="BH12" s="17"/>
      <c r="BI12" s="17"/>
      <c r="BJ12" s="17"/>
      <c r="BK12" s="17"/>
      <c r="BL12" s="17"/>
      <c r="BM12" s="17"/>
      <c r="BN12" s="17"/>
      <c r="BO12" s="17"/>
    </row>
    <row r="13" spans="1:67" ht="15" customHeight="1" x14ac:dyDescent="0.25">
      <c r="A13" s="16"/>
      <c r="B13" s="114"/>
      <c r="C13" s="17"/>
      <c r="D13" s="17"/>
      <c r="E13" s="17"/>
      <c r="F13" s="17"/>
      <c r="G13" s="17"/>
      <c r="H13" s="17"/>
      <c r="I13" s="17"/>
      <c r="J13" s="17"/>
      <c r="K13" s="17"/>
      <c r="L13" s="19"/>
      <c r="M13" s="17"/>
      <c r="N13" s="17"/>
      <c r="O13" s="17"/>
      <c r="P13" s="17"/>
      <c r="Q13" s="17"/>
      <c r="R13" s="17"/>
      <c r="S13" s="17"/>
      <c r="T13" s="17"/>
      <c r="U13" s="17"/>
      <c r="X13" s="16"/>
      <c r="Y13" s="114"/>
      <c r="Z13" s="17"/>
      <c r="AA13" s="17"/>
      <c r="AB13" s="17"/>
      <c r="AC13" s="17"/>
      <c r="AD13" s="17"/>
      <c r="AE13" s="17"/>
      <c r="AF13" s="17"/>
      <c r="AG13" s="17"/>
      <c r="AH13" s="17"/>
      <c r="AI13" s="19"/>
      <c r="AJ13" s="17"/>
      <c r="AK13" s="17"/>
      <c r="AL13" s="17"/>
      <c r="AM13" s="17"/>
      <c r="AN13" s="17"/>
      <c r="AO13" s="17"/>
      <c r="AP13" s="17"/>
      <c r="AQ13" s="17"/>
      <c r="AR13" s="17"/>
      <c r="AU13" s="16"/>
      <c r="AV13" s="114"/>
      <c r="AW13" s="17"/>
      <c r="AX13" s="17"/>
      <c r="AY13" s="17"/>
      <c r="AZ13" s="17"/>
      <c r="BA13" s="17"/>
      <c r="BB13" s="17"/>
      <c r="BC13" s="17"/>
      <c r="BD13" s="17"/>
      <c r="BE13" s="17"/>
      <c r="BF13" s="19"/>
      <c r="BG13" s="17"/>
      <c r="BH13" s="17"/>
      <c r="BI13" s="17"/>
      <c r="BJ13" s="17"/>
      <c r="BK13" s="17"/>
      <c r="BL13" s="17"/>
      <c r="BM13" s="17"/>
      <c r="BN13" s="17"/>
      <c r="BO13" s="17"/>
    </row>
    <row r="14" spans="1:67" ht="15" customHeight="1" x14ac:dyDescent="0.25">
      <c r="A14" s="16"/>
      <c r="B14" s="114"/>
      <c r="C14" s="17"/>
      <c r="D14" s="17"/>
      <c r="E14" s="17"/>
      <c r="F14" s="17"/>
      <c r="G14" s="17"/>
      <c r="H14" s="17"/>
      <c r="I14" s="17"/>
      <c r="J14" s="17"/>
      <c r="K14" s="17"/>
      <c r="L14" s="19"/>
      <c r="M14" s="17"/>
      <c r="N14" s="17"/>
      <c r="O14" s="17"/>
      <c r="P14" s="17"/>
      <c r="Q14" s="17"/>
      <c r="R14" s="17"/>
      <c r="S14" s="17"/>
      <c r="T14" s="17"/>
      <c r="U14" s="17"/>
      <c r="X14" s="16"/>
      <c r="Y14" s="114"/>
      <c r="Z14" s="17"/>
      <c r="AA14" s="17"/>
      <c r="AB14" s="17"/>
      <c r="AC14" s="17"/>
      <c r="AD14" s="17"/>
      <c r="AE14" s="17"/>
      <c r="AF14" s="17"/>
      <c r="AG14" s="17"/>
      <c r="AH14" s="17"/>
      <c r="AI14" s="19"/>
      <c r="AJ14" s="17"/>
      <c r="AK14" s="17"/>
      <c r="AL14" s="17"/>
      <c r="AM14" s="17"/>
      <c r="AN14" s="17"/>
      <c r="AO14" s="17"/>
      <c r="AP14" s="17"/>
      <c r="AQ14" s="17"/>
      <c r="AR14" s="17"/>
      <c r="AU14" s="16"/>
      <c r="AV14" s="114"/>
      <c r="AW14" s="17"/>
      <c r="AX14" s="17"/>
      <c r="AY14" s="17"/>
      <c r="AZ14" s="17"/>
      <c r="BA14" s="17"/>
      <c r="BB14" s="17"/>
      <c r="BC14" s="17"/>
      <c r="BD14" s="17"/>
      <c r="BE14" s="17"/>
      <c r="BF14" s="19"/>
      <c r="BG14" s="17"/>
      <c r="BH14" s="17"/>
      <c r="BI14" s="17"/>
      <c r="BJ14" s="17"/>
      <c r="BK14" s="17"/>
      <c r="BL14" s="17"/>
      <c r="BM14" s="17"/>
      <c r="BN14" s="17"/>
      <c r="BO14" s="17"/>
    </row>
    <row r="15" spans="1:67" ht="15" customHeight="1" x14ac:dyDescent="0.25">
      <c r="A15" s="16"/>
      <c r="B15" s="114"/>
      <c r="C15" s="17"/>
      <c r="D15" s="17"/>
      <c r="E15" s="17"/>
      <c r="F15" s="17"/>
      <c r="G15" s="17"/>
      <c r="H15" s="17"/>
      <c r="I15" s="17"/>
      <c r="J15" s="17"/>
      <c r="K15" s="17"/>
      <c r="L15" s="19"/>
      <c r="M15" s="17"/>
      <c r="N15" s="17"/>
      <c r="O15" s="17"/>
      <c r="P15" s="17"/>
      <c r="Q15" s="17"/>
      <c r="R15" s="17"/>
      <c r="S15" s="17"/>
      <c r="T15" s="17"/>
      <c r="U15" s="17"/>
      <c r="X15" s="16"/>
      <c r="Y15" s="114"/>
      <c r="Z15" s="17"/>
      <c r="AA15" s="17"/>
      <c r="AB15" s="17"/>
      <c r="AC15" s="17"/>
      <c r="AD15" s="17"/>
      <c r="AE15" s="17"/>
      <c r="AF15" s="17"/>
      <c r="AG15" s="17"/>
      <c r="AH15" s="17"/>
      <c r="AI15" s="19"/>
      <c r="AJ15" s="17"/>
      <c r="AK15" s="17"/>
      <c r="AL15" s="17"/>
      <c r="AM15" s="17"/>
      <c r="AN15" s="17"/>
      <c r="AO15" s="17"/>
      <c r="AP15" s="17"/>
      <c r="AQ15" s="17"/>
      <c r="AR15" s="17"/>
      <c r="AU15" s="16"/>
      <c r="AV15" s="114"/>
      <c r="AW15" s="17"/>
      <c r="AX15" s="17"/>
      <c r="AY15" s="17"/>
      <c r="AZ15" s="17"/>
      <c r="BA15" s="17"/>
      <c r="BB15" s="17"/>
      <c r="BC15" s="17"/>
      <c r="BD15" s="17"/>
      <c r="BE15" s="17"/>
      <c r="BF15" s="19"/>
      <c r="BG15" s="17"/>
      <c r="BH15" s="17"/>
      <c r="BI15" s="17"/>
      <c r="BJ15" s="17"/>
      <c r="BK15" s="17"/>
      <c r="BL15" s="17"/>
      <c r="BM15" s="17"/>
      <c r="BN15" s="17"/>
      <c r="BO15" s="17"/>
    </row>
    <row r="16" spans="1:67" ht="15" customHeight="1" x14ac:dyDescent="0.25">
      <c r="A16" s="16"/>
      <c r="B16" s="114"/>
      <c r="C16" s="17"/>
      <c r="D16" s="17"/>
      <c r="E16" s="17"/>
      <c r="F16" s="17"/>
      <c r="G16" s="17"/>
      <c r="H16" s="17"/>
      <c r="I16" s="17"/>
      <c r="J16" s="17"/>
      <c r="K16" s="17"/>
      <c r="L16" s="19"/>
      <c r="M16" s="17"/>
      <c r="N16" s="17"/>
      <c r="O16" s="17"/>
      <c r="P16" s="17"/>
      <c r="Q16" s="17"/>
      <c r="R16" s="17"/>
      <c r="S16" s="17"/>
      <c r="T16" s="17"/>
      <c r="U16" s="17"/>
      <c r="X16" s="16"/>
      <c r="Y16" s="114"/>
      <c r="Z16" s="17"/>
      <c r="AA16" s="17"/>
      <c r="AB16" s="17"/>
      <c r="AC16" s="17"/>
      <c r="AD16" s="17"/>
      <c r="AE16" s="17"/>
      <c r="AF16" s="17"/>
      <c r="AG16" s="17"/>
      <c r="AH16" s="17"/>
      <c r="AI16" s="19"/>
      <c r="AJ16" s="17"/>
      <c r="AK16" s="17"/>
      <c r="AL16" s="17"/>
      <c r="AM16" s="17"/>
      <c r="AN16" s="17"/>
      <c r="AO16" s="17"/>
      <c r="AP16" s="17"/>
      <c r="AQ16" s="17"/>
      <c r="AR16" s="17"/>
      <c r="AU16" s="16"/>
      <c r="AV16" s="114"/>
      <c r="AW16" s="17"/>
      <c r="AX16" s="17"/>
      <c r="AY16" s="17"/>
      <c r="AZ16" s="17"/>
      <c r="BA16" s="17"/>
      <c r="BB16" s="17"/>
      <c r="BC16" s="17"/>
      <c r="BD16" s="17"/>
      <c r="BE16" s="17"/>
      <c r="BF16" s="19"/>
      <c r="BG16" s="17"/>
      <c r="BH16" s="17"/>
      <c r="BI16" s="17"/>
      <c r="BJ16" s="17"/>
      <c r="BK16" s="17"/>
      <c r="BL16" s="17"/>
      <c r="BM16" s="17"/>
      <c r="BN16" s="17"/>
      <c r="BO16" s="17"/>
    </row>
    <row r="17" spans="1:67" ht="15" customHeight="1" x14ac:dyDescent="0.25">
      <c r="A17" s="16"/>
      <c r="B17" s="114"/>
      <c r="C17" s="17"/>
      <c r="D17" s="17"/>
      <c r="E17" s="17"/>
      <c r="F17" s="17"/>
      <c r="G17" s="17"/>
      <c r="H17" s="17"/>
      <c r="I17" s="17"/>
      <c r="J17" s="17"/>
      <c r="K17" s="17"/>
      <c r="L17" s="19"/>
      <c r="M17" s="17"/>
      <c r="N17" s="17"/>
      <c r="O17" s="17"/>
      <c r="P17" s="17"/>
      <c r="Q17" s="17"/>
      <c r="R17" s="17"/>
      <c r="S17" s="17"/>
      <c r="T17" s="17"/>
      <c r="U17" s="17"/>
      <c r="X17" s="16"/>
      <c r="Y17" s="114"/>
      <c r="Z17" s="17"/>
      <c r="AA17" s="17"/>
      <c r="AB17" s="17"/>
      <c r="AC17" s="17"/>
      <c r="AD17" s="17"/>
      <c r="AE17" s="17"/>
      <c r="AF17" s="17"/>
      <c r="AG17" s="17"/>
      <c r="AH17" s="17"/>
      <c r="AI17" s="19"/>
      <c r="AJ17" s="17"/>
      <c r="AK17" s="17"/>
      <c r="AL17" s="17"/>
      <c r="AM17" s="17"/>
      <c r="AN17" s="17"/>
      <c r="AO17" s="17"/>
      <c r="AP17" s="17"/>
      <c r="AQ17" s="17"/>
      <c r="AR17" s="17"/>
      <c r="AU17" s="16"/>
      <c r="AV17" s="114"/>
      <c r="AW17" s="17"/>
      <c r="AX17" s="17"/>
      <c r="AY17" s="17"/>
      <c r="AZ17" s="17"/>
      <c r="BA17" s="17"/>
      <c r="BB17" s="17"/>
      <c r="BC17" s="17"/>
      <c r="BD17" s="17"/>
      <c r="BE17" s="17"/>
      <c r="BF17" s="19"/>
      <c r="BG17" s="17"/>
      <c r="BH17" s="17"/>
      <c r="BI17" s="17"/>
      <c r="BJ17" s="17"/>
      <c r="BK17" s="17"/>
      <c r="BL17" s="17"/>
      <c r="BM17" s="17"/>
      <c r="BN17" s="17"/>
      <c r="BO17" s="17"/>
    </row>
    <row r="18" spans="1:67" ht="15" customHeight="1" x14ac:dyDescent="0.25">
      <c r="A18" s="16"/>
      <c r="B18" s="114"/>
      <c r="C18" s="17"/>
      <c r="D18" s="17"/>
      <c r="E18" s="17"/>
      <c r="F18" s="17"/>
      <c r="G18" s="17"/>
      <c r="H18" s="17"/>
      <c r="I18" s="17"/>
      <c r="J18" s="17"/>
      <c r="K18" s="17"/>
      <c r="L18" s="19"/>
      <c r="M18" s="17"/>
      <c r="N18" s="17"/>
      <c r="O18" s="17"/>
      <c r="P18" s="17"/>
      <c r="Q18" s="17"/>
      <c r="R18" s="17"/>
      <c r="S18" s="17"/>
      <c r="T18" s="17"/>
      <c r="U18" s="17"/>
      <c r="X18" s="16"/>
      <c r="Y18" s="114"/>
      <c r="Z18" s="17"/>
      <c r="AA18" s="17"/>
      <c r="AB18" s="17"/>
      <c r="AC18" s="17"/>
      <c r="AD18" s="17"/>
      <c r="AE18" s="17"/>
      <c r="AF18" s="17"/>
      <c r="AG18" s="17"/>
      <c r="AH18" s="17"/>
      <c r="AI18" s="19"/>
      <c r="AJ18" s="17"/>
      <c r="AK18" s="17"/>
      <c r="AL18" s="17"/>
      <c r="AM18" s="17"/>
      <c r="AN18" s="17"/>
      <c r="AO18" s="17"/>
      <c r="AP18" s="17"/>
      <c r="AQ18" s="17"/>
      <c r="AR18" s="17"/>
      <c r="AU18" s="16"/>
      <c r="AV18" s="114"/>
      <c r="AW18" s="17"/>
      <c r="AX18" s="17"/>
      <c r="AY18" s="17"/>
      <c r="AZ18" s="17"/>
      <c r="BA18" s="17"/>
      <c r="BB18" s="17"/>
      <c r="BC18" s="17"/>
      <c r="BD18" s="17"/>
      <c r="BE18" s="17"/>
      <c r="BF18" s="19"/>
      <c r="BG18" s="17"/>
      <c r="BH18" s="17"/>
      <c r="BI18" s="17"/>
      <c r="BJ18" s="17"/>
      <c r="BK18" s="17"/>
      <c r="BL18" s="17"/>
      <c r="BM18" s="17"/>
      <c r="BN18" s="17"/>
      <c r="BO18" s="17"/>
    </row>
    <row r="19" spans="1:67" ht="15" customHeight="1" x14ac:dyDescent="0.25">
      <c r="A19" s="16"/>
      <c r="B19" s="114"/>
      <c r="C19" s="17"/>
      <c r="D19" s="17"/>
      <c r="E19" s="17"/>
      <c r="F19" s="17"/>
      <c r="G19" s="17"/>
      <c r="H19" s="17"/>
      <c r="I19" s="17"/>
      <c r="J19" s="17"/>
      <c r="K19" s="17"/>
      <c r="L19" s="19"/>
      <c r="M19" s="17"/>
      <c r="N19" s="17"/>
      <c r="O19" s="17"/>
      <c r="P19" s="17"/>
      <c r="Q19" s="17"/>
      <c r="R19" s="17"/>
      <c r="S19" s="17"/>
      <c r="T19" s="17"/>
      <c r="U19" s="17"/>
      <c r="X19" s="16"/>
      <c r="Y19" s="114"/>
      <c r="Z19" s="17"/>
      <c r="AA19" s="17"/>
      <c r="AB19" s="17"/>
      <c r="AC19" s="17"/>
      <c r="AD19" s="17"/>
      <c r="AE19" s="17"/>
      <c r="AF19" s="17"/>
      <c r="AG19" s="17"/>
      <c r="AH19" s="17"/>
      <c r="AI19" s="19"/>
      <c r="AJ19" s="17"/>
      <c r="AK19" s="17"/>
      <c r="AL19" s="17"/>
      <c r="AM19" s="17"/>
      <c r="AN19" s="17"/>
      <c r="AO19" s="17"/>
      <c r="AP19" s="17"/>
      <c r="AQ19" s="17"/>
      <c r="AR19" s="17"/>
      <c r="AU19" s="16"/>
      <c r="AV19" s="114"/>
      <c r="AW19" s="17"/>
      <c r="AX19" s="17"/>
      <c r="AY19" s="17"/>
      <c r="AZ19" s="17"/>
      <c r="BA19" s="17"/>
      <c r="BB19" s="17"/>
      <c r="BC19" s="17"/>
      <c r="BD19" s="17"/>
      <c r="BE19" s="17"/>
      <c r="BF19" s="19"/>
      <c r="BG19" s="17"/>
      <c r="BH19" s="17"/>
      <c r="BI19" s="17"/>
      <c r="BJ19" s="17"/>
      <c r="BK19" s="17"/>
      <c r="BL19" s="17"/>
      <c r="BM19" s="17"/>
      <c r="BN19" s="17"/>
      <c r="BO19" s="17"/>
    </row>
    <row r="20" spans="1:67" ht="15" customHeight="1" x14ac:dyDescent="0.25">
      <c r="A20" s="16"/>
      <c r="B20" s="114"/>
      <c r="C20" s="17"/>
      <c r="D20" s="17"/>
      <c r="E20" s="17"/>
      <c r="F20" s="17"/>
      <c r="G20" s="17"/>
      <c r="H20" s="17"/>
      <c r="I20" s="17"/>
      <c r="J20" s="17"/>
      <c r="K20" s="17"/>
      <c r="L20" s="19"/>
      <c r="M20" s="17"/>
      <c r="N20" s="17"/>
      <c r="O20" s="17"/>
      <c r="P20" s="17"/>
      <c r="Q20" s="17"/>
      <c r="R20" s="17"/>
      <c r="S20" s="17"/>
      <c r="T20" s="17"/>
      <c r="U20" s="17"/>
      <c r="X20" s="16"/>
      <c r="Y20" s="114"/>
      <c r="Z20" s="17"/>
      <c r="AA20" s="17"/>
      <c r="AB20" s="17"/>
      <c r="AC20" s="17"/>
      <c r="AD20" s="17"/>
      <c r="AE20" s="17"/>
      <c r="AF20" s="17"/>
      <c r="AG20" s="17"/>
      <c r="AH20" s="17"/>
      <c r="AI20" s="19"/>
      <c r="AJ20" s="17"/>
      <c r="AK20" s="17"/>
      <c r="AL20" s="17"/>
      <c r="AM20" s="17"/>
      <c r="AN20" s="17"/>
      <c r="AO20" s="17"/>
      <c r="AP20" s="17"/>
      <c r="AQ20" s="17"/>
      <c r="AR20" s="17"/>
      <c r="AU20" s="16"/>
      <c r="AV20" s="114"/>
      <c r="AW20" s="17"/>
      <c r="AX20" s="17"/>
      <c r="AY20" s="17"/>
      <c r="AZ20" s="17"/>
      <c r="BA20" s="17"/>
      <c r="BB20" s="17"/>
      <c r="BC20" s="17"/>
      <c r="BD20" s="17"/>
      <c r="BE20" s="17"/>
      <c r="BF20" s="19"/>
      <c r="BG20" s="17"/>
      <c r="BH20" s="17"/>
      <c r="BI20" s="17"/>
      <c r="BJ20" s="17"/>
      <c r="BK20" s="17"/>
      <c r="BL20" s="17"/>
      <c r="BM20" s="17"/>
      <c r="BN20" s="17"/>
      <c r="BO20" s="17"/>
    </row>
    <row r="21" spans="1:67" ht="15" customHeight="1" x14ac:dyDescent="0.25">
      <c r="A21" s="16"/>
      <c r="B21" s="114"/>
      <c r="C21" s="17"/>
      <c r="D21" s="17"/>
      <c r="E21" s="17"/>
      <c r="F21" s="17"/>
      <c r="G21" s="17"/>
      <c r="H21" s="17"/>
      <c r="I21" s="17"/>
      <c r="J21" s="17"/>
      <c r="K21" s="17"/>
      <c r="L21" s="19"/>
      <c r="M21" s="17"/>
      <c r="N21" s="17"/>
      <c r="O21" s="17"/>
      <c r="P21" s="17"/>
      <c r="Q21" s="17"/>
      <c r="R21" s="17"/>
      <c r="S21" s="17"/>
      <c r="T21" s="17"/>
      <c r="U21" s="17"/>
      <c r="X21" s="16"/>
      <c r="Y21" s="114"/>
      <c r="Z21" s="17"/>
      <c r="AA21" s="17"/>
      <c r="AB21" s="17"/>
      <c r="AC21" s="17"/>
      <c r="AD21" s="17"/>
      <c r="AE21" s="17"/>
      <c r="AF21" s="17"/>
      <c r="AG21" s="17"/>
      <c r="AH21" s="17"/>
      <c r="AI21" s="19"/>
      <c r="AJ21" s="17"/>
      <c r="AK21" s="17"/>
      <c r="AL21" s="17"/>
      <c r="AM21" s="17"/>
      <c r="AN21" s="17"/>
      <c r="AO21" s="17"/>
      <c r="AP21" s="17"/>
      <c r="AQ21" s="17"/>
      <c r="AR21" s="17"/>
      <c r="AU21" s="16"/>
      <c r="AV21" s="114"/>
      <c r="AW21" s="17"/>
      <c r="AX21" s="17"/>
      <c r="AY21" s="17"/>
      <c r="AZ21" s="17"/>
      <c r="BA21" s="17"/>
      <c r="BB21" s="17"/>
      <c r="BC21" s="17"/>
      <c r="BD21" s="17"/>
      <c r="BE21" s="17"/>
      <c r="BF21" s="19"/>
      <c r="BG21" s="17"/>
      <c r="BH21" s="17"/>
      <c r="BI21" s="17"/>
      <c r="BJ21" s="17"/>
      <c r="BK21" s="17"/>
      <c r="BL21" s="17"/>
      <c r="BM21" s="17"/>
      <c r="BN21" s="17"/>
      <c r="BO21" s="17"/>
    </row>
    <row r="22" spans="1:67" ht="15" customHeight="1" x14ac:dyDescent="0.25">
      <c r="A22" s="16"/>
      <c r="B22" s="114"/>
      <c r="C22" s="17"/>
      <c r="D22" s="17"/>
      <c r="E22" s="17"/>
      <c r="F22" s="17"/>
      <c r="G22" s="17"/>
      <c r="H22" s="17"/>
      <c r="I22" s="17"/>
      <c r="J22" s="17"/>
      <c r="K22" s="17"/>
      <c r="L22" s="19"/>
      <c r="M22" s="17"/>
      <c r="N22" s="17"/>
      <c r="O22" s="17"/>
      <c r="P22" s="17"/>
      <c r="Q22" s="17"/>
      <c r="R22" s="17"/>
      <c r="S22" s="17"/>
      <c r="T22" s="17"/>
      <c r="U22" s="17"/>
      <c r="X22" s="16"/>
      <c r="Y22" s="114"/>
      <c r="Z22" s="17"/>
      <c r="AA22" s="17"/>
      <c r="AB22" s="17"/>
      <c r="AC22" s="17"/>
      <c r="AD22" s="17"/>
      <c r="AE22" s="17"/>
      <c r="AF22" s="17"/>
      <c r="AG22" s="17"/>
      <c r="AH22" s="17"/>
      <c r="AI22" s="19"/>
      <c r="AJ22" s="17"/>
      <c r="AK22" s="17"/>
      <c r="AL22" s="17"/>
      <c r="AM22" s="17"/>
      <c r="AN22" s="17"/>
      <c r="AO22" s="17"/>
      <c r="AP22" s="17"/>
      <c r="AQ22" s="17"/>
      <c r="AR22" s="17"/>
      <c r="AU22" s="16"/>
      <c r="AV22" s="114"/>
      <c r="AW22" s="17"/>
      <c r="AX22" s="17"/>
      <c r="AY22" s="17"/>
      <c r="AZ22" s="17"/>
      <c r="BA22" s="17"/>
      <c r="BB22" s="17"/>
      <c r="BC22" s="17"/>
      <c r="BD22" s="17"/>
      <c r="BE22" s="17"/>
      <c r="BF22" s="19"/>
      <c r="BG22" s="17"/>
      <c r="BH22" s="17"/>
      <c r="BI22" s="17"/>
      <c r="BJ22" s="17"/>
      <c r="BK22" s="17"/>
      <c r="BL22" s="17"/>
      <c r="BM22" s="17"/>
      <c r="BN22" s="17"/>
      <c r="BO22" s="17"/>
    </row>
    <row r="23" spans="1:67" ht="15" customHeight="1" x14ac:dyDescent="0.25">
      <c r="A23" s="16"/>
      <c r="B23" s="114"/>
      <c r="C23" s="17"/>
      <c r="D23" s="17"/>
      <c r="E23" s="17"/>
      <c r="F23" s="17"/>
      <c r="G23" s="17"/>
      <c r="H23" s="17"/>
      <c r="I23" s="17"/>
      <c r="J23" s="17"/>
      <c r="K23" s="17"/>
      <c r="L23" s="19"/>
      <c r="M23" s="17"/>
      <c r="N23" s="17"/>
      <c r="O23" s="17"/>
      <c r="P23" s="17"/>
      <c r="Q23" s="17"/>
      <c r="R23" s="17"/>
      <c r="S23" s="17"/>
      <c r="T23" s="17"/>
      <c r="U23" s="17"/>
      <c r="X23" s="16"/>
      <c r="Y23" s="114"/>
      <c r="Z23" s="17"/>
      <c r="AA23" s="17"/>
      <c r="AB23" s="17"/>
      <c r="AC23" s="17"/>
      <c r="AD23" s="17"/>
      <c r="AE23" s="17"/>
      <c r="AF23" s="17"/>
      <c r="AG23" s="17"/>
      <c r="AH23" s="17"/>
      <c r="AI23" s="19"/>
      <c r="AJ23" s="17"/>
      <c r="AK23" s="17"/>
      <c r="AL23" s="17"/>
      <c r="AM23" s="17"/>
      <c r="AN23" s="17"/>
      <c r="AO23" s="17"/>
      <c r="AP23" s="17"/>
      <c r="AQ23" s="17"/>
      <c r="AR23" s="17"/>
      <c r="AU23" s="16"/>
      <c r="AV23" s="114"/>
      <c r="AW23" s="17"/>
      <c r="AX23" s="17"/>
      <c r="AY23" s="17"/>
      <c r="AZ23" s="17"/>
      <c r="BA23" s="17"/>
      <c r="BB23" s="17"/>
      <c r="BC23" s="17"/>
      <c r="BD23" s="17"/>
      <c r="BE23" s="17"/>
      <c r="BF23" s="19"/>
      <c r="BG23" s="17"/>
      <c r="BH23" s="17"/>
      <c r="BI23" s="17"/>
      <c r="BJ23" s="17"/>
      <c r="BK23" s="17"/>
      <c r="BL23" s="17"/>
      <c r="BM23" s="17"/>
      <c r="BN23" s="17"/>
      <c r="BO23" s="17"/>
    </row>
    <row r="24" spans="1:67" ht="15" customHeight="1" x14ac:dyDescent="0.25">
      <c r="A24" s="16"/>
      <c r="B24" s="114"/>
      <c r="C24" s="17"/>
      <c r="D24" s="17"/>
      <c r="E24" s="17"/>
      <c r="F24" s="17"/>
      <c r="G24" s="17"/>
      <c r="H24" s="17"/>
      <c r="I24" s="17"/>
      <c r="J24" s="17"/>
      <c r="K24" s="17"/>
      <c r="L24" s="19"/>
      <c r="M24" s="17"/>
      <c r="N24" s="17"/>
      <c r="O24" s="17"/>
      <c r="P24" s="17"/>
      <c r="Q24" s="17"/>
      <c r="R24" s="17"/>
      <c r="S24" s="17"/>
      <c r="T24" s="17"/>
      <c r="U24" s="17"/>
      <c r="X24" s="16"/>
      <c r="Y24" s="114"/>
      <c r="Z24" s="17"/>
      <c r="AA24" s="17"/>
      <c r="AB24" s="17"/>
      <c r="AC24" s="17"/>
      <c r="AD24" s="17"/>
      <c r="AE24" s="17"/>
      <c r="AF24" s="17"/>
      <c r="AG24" s="17"/>
      <c r="AH24" s="17"/>
      <c r="AI24" s="19"/>
      <c r="AJ24" s="17"/>
      <c r="AK24" s="17"/>
      <c r="AL24" s="17"/>
      <c r="AM24" s="17"/>
      <c r="AN24" s="17"/>
      <c r="AO24" s="17"/>
      <c r="AP24" s="17"/>
      <c r="AQ24" s="17"/>
      <c r="AR24" s="17"/>
      <c r="AU24" s="16"/>
      <c r="AV24" s="114"/>
      <c r="AW24" s="17"/>
      <c r="AX24" s="17"/>
      <c r="AY24" s="17"/>
      <c r="AZ24" s="17"/>
      <c r="BA24" s="17"/>
      <c r="BB24" s="17"/>
      <c r="BC24" s="17"/>
      <c r="BD24" s="17"/>
      <c r="BE24" s="17"/>
      <c r="BF24" s="19"/>
      <c r="BG24" s="17"/>
      <c r="BH24" s="17"/>
      <c r="BI24" s="17"/>
      <c r="BJ24" s="17"/>
      <c r="BK24" s="17"/>
      <c r="BL24" s="17"/>
      <c r="BM24" s="17"/>
      <c r="BN24" s="17"/>
      <c r="BO24" s="17"/>
    </row>
    <row r="25" spans="1:67" ht="15" customHeight="1" x14ac:dyDescent="0.25">
      <c r="A25" s="16"/>
      <c r="B25" s="6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X25" s="16"/>
      <c r="Y25" s="63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U25" s="16"/>
      <c r="AV25" s="63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</row>
    <row r="26" spans="1:67" ht="15" customHeight="1" x14ac:dyDescent="0.25">
      <c r="A26" s="16"/>
      <c r="B26" s="6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X26" s="16"/>
      <c r="Y26" s="63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U26" s="16"/>
      <c r="AV26" s="63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</row>
    <row r="27" spans="1:67" ht="15" customHeight="1" x14ac:dyDescent="0.25">
      <c r="A27" s="16"/>
      <c r="B27" s="63"/>
      <c r="C27" s="17"/>
      <c r="D27" s="17"/>
      <c r="E27" s="17"/>
      <c r="F27" s="17"/>
      <c r="G27" s="17"/>
      <c r="H27" s="17"/>
      <c r="I27" s="17"/>
      <c r="J27" s="17"/>
      <c r="K27" s="17"/>
      <c r="L27" s="19"/>
      <c r="M27" s="17"/>
      <c r="N27" s="17"/>
      <c r="O27" s="17"/>
      <c r="P27" s="17"/>
      <c r="Q27" s="17"/>
      <c r="R27" s="17"/>
      <c r="S27" s="17"/>
      <c r="T27" s="17"/>
      <c r="U27" s="17"/>
      <c r="X27" s="16"/>
      <c r="Y27" s="63"/>
      <c r="Z27" s="17"/>
      <c r="AA27" s="17"/>
      <c r="AB27" s="17"/>
      <c r="AC27" s="17"/>
      <c r="AD27" s="17"/>
      <c r="AE27" s="17"/>
      <c r="AF27" s="17"/>
      <c r="AG27" s="17"/>
      <c r="AH27" s="17"/>
      <c r="AI27" s="19"/>
      <c r="AJ27" s="17"/>
      <c r="AK27" s="17"/>
      <c r="AL27" s="17"/>
      <c r="AM27" s="17"/>
      <c r="AN27" s="17"/>
      <c r="AO27" s="17"/>
      <c r="AP27" s="17"/>
      <c r="AQ27" s="17"/>
      <c r="AR27" s="17"/>
      <c r="AU27" s="16"/>
      <c r="AV27" s="63"/>
      <c r="AW27" s="17"/>
      <c r="AX27" s="17"/>
      <c r="AY27" s="17"/>
      <c r="AZ27" s="17"/>
      <c r="BA27" s="17"/>
      <c r="BB27" s="17"/>
      <c r="BC27" s="17"/>
      <c r="BD27" s="17"/>
      <c r="BE27" s="17"/>
      <c r="BF27" s="19"/>
      <c r="BG27" s="17"/>
      <c r="BH27" s="17"/>
      <c r="BI27" s="17"/>
      <c r="BJ27" s="17"/>
      <c r="BK27" s="17"/>
      <c r="BL27" s="17"/>
      <c r="BM27" s="17"/>
      <c r="BN27" s="17"/>
      <c r="BO27" s="17"/>
    </row>
    <row r="28" spans="1:67" ht="15" customHeight="1" x14ac:dyDescent="0.25">
      <c r="A28" s="16"/>
      <c r="B28" s="63"/>
      <c r="C28" s="17"/>
      <c r="D28" s="17"/>
      <c r="E28" s="17"/>
      <c r="F28" s="17"/>
      <c r="G28" s="17"/>
      <c r="H28" s="17"/>
      <c r="I28" s="17"/>
      <c r="J28" s="17"/>
      <c r="K28" s="17"/>
      <c r="L28" s="19"/>
      <c r="M28" s="17"/>
      <c r="N28" s="17"/>
      <c r="O28" s="17"/>
      <c r="P28" s="17"/>
      <c r="Q28" s="17"/>
      <c r="R28" s="17"/>
      <c r="S28" s="17"/>
      <c r="T28" s="17"/>
      <c r="U28" s="17"/>
      <c r="X28" s="16"/>
      <c r="Y28" s="63"/>
      <c r="Z28" s="17"/>
      <c r="AA28" s="17"/>
      <c r="AB28" s="17"/>
      <c r="AC28" s="17"/>
      <c r="AD28" s="17"/>
      <c r="AE28" s="17"/>
      <c r="AF28" s="17"/>
      <c r="AG28" s="17"/>
      <c r="AH28" s="17"/>
      <c r="AI28" s="19"/>
      <c r="AJ28" s="17"/>
      <c r="AK28" s="17"/>
      <c r="AL28" s="17"/>
      <c r="AM28" s="17"/>
      <c r="AN28" s="17"/>
      <c r="AO28" s="17"/>
      <c r="AP28" s="17"/>
      <c r="AQ28" s="17"/>
      <c r="AR28" s="17"/>
      <c r="AU28" s="16"/>
      <c r="AV28" s="63"/>
      <c r="AW28" s="17"/>
      <c r="AX28" s="17"/>
      <c r="AY28" s="17"/>
      <c r="AZ28" s="17"/>
      <c r="BA28" s="17"/>
      <c r="BB28" s="17"/>
      <c r="BC28" s="17"/>
      <c r="BD28" s="17"/>
      <c r="BE28" s="17"/>
      <c r="BF28" s="19"/>
      <c r="BG28" s="17"/>
      <c r="BH28" s="17"/>
      <c r="BI28" s="17"/>
      <c r="BJ28" s="17"/>
      <c r="BK28" s="17"/>
      <c r="BL28" s="17"/>
      <c r="BM28" s="17"/>
      <c r="BN28" s="17"/>
      <c r="BO28" s="17"/>
    </row>
    <row r="29" spans="1:67" ht="15" customHeight="1" x14ac:dyDescent="0.25">
      <c r="A29" s="16"/>
      <c r="B29" s="114" t="str">
        <f>'R1'!B1</f>
        <v>Eastern Cape</v>
      </c>
      <c r="C29" s="17"/>
      <c r="D29" s="17"/>
      <c r="E29" s="17"/>
      <c r="F29" s="17"/>
      <c r="G29" s="17"/>
      <c r="H29" s="17"/>
      <c r="I29" s="17"/>
      <c r="J29" s="17"/>
      <c r="K29" s="17"/>
      <c r="L29" s="115"/>
      <c r="M29" s="17"/>
      <c r="N29" s="17"/>
      <c r="O29" s="17"/>
      <c r="P29" s="17"/>
      <c r="Q29" s="17"/>
      <c r="R29" s="17"/>
      <c r="S29" s="17"/>
      <c r="T29" s="17"/>
      <c r="U29" s="17"/>
      <c r="X29" s="16"/>
      <c r="Y29" s="114" t="str">
        <f>'R4'!B1</f>
        <v>KwaZulu-Natal</v>
      </c>
      <c r="Z29" s="17"/>
      <c r="AA29" s="17"/>
      <c r="AB29" s="17"/>
      <c r="AC29" s="17"/>
      <c r="AD29" s="17"/>
      <c r="AE29" s="17"/>
      <c r="AF29" s="17"/>
      <c r="AG29" s="17"/>
      <c r="AH29" s="17"/>
      <c r="AI29" s="115"/>
      <c r="AJ29" s="17"/>
      <c r="AK29" s="17"/>
      <c r="AL29" s="17"/>
      <c r="AM29" s="17"/>
      <c r="AN29" s="17"/>
      <c r="AO29" s="17"/>
      <c r="AP29" s="17"/>
      <c r="AQ29" s="17"/>
      <c r="AR29" s="17"/>
      <c r="AU29" s="16"/>
      <c r="AV29" s="114" t="str">
        <f>'R7'!B1</f>
        <v>Mpumalanga</v>
      </c>
      <c r="AW29" s="17"/>
      <c r="AX29" s="17"/>
      <c r="AY29" s="17"/>
      <c r="AZ29" s="17"/>
      <c r="BA29" s="17"/>
      <c r="BB29" s="17"/>
      <c r="BC29" s="17"/>
      <c r="BD29" s="17"/>
      <c r="BE29" s="17"/>
      <c r="BF29" s="115"/>
      <c r="BG29" s="17"/>
      <c r="BH29" s="17"/>
      <c r="BI29" s="17"/>
      <c r="BJ29" s="17"/>
      <c r="BK29" s="17"/>
      <c r="BL29" s="17"/>
      <c r="BM29" s="17"/>
      <c r="BN29" s="17"/>
      <c r="BO29" s="17"/>
    </row>
    <row r="30" spans="1:67" ht="15" customHeight="1" x14ac:dyDescent="0.25">
      <c r="A30" s="16"/>
      <c r="B30" s="114"/>
      <c r="C30" s="17"/>
      <c r="D30" s="17"/>
      <c r="E30" s="17"/>
      <c r="F30" s="17"/>
      <c r="G30" s="17"/>
      <c r="H30" s="17"/>
      <c r="I30" s="17"/>
      <c r="J30" s="17"/>
      <c r="K30" s="17"/>
      <c r="L30" s="116"/>
      <c r="M30" s="17"/>
      <c r="N30" s="17"/>
      <c r="O30" s="17"/>
      <c r="P30" s="17"/>
      <c r="Q30" s="17"/>
      <c r="R30" s="17"/>
      <c r="S30" s="17"/>
      <c r="T30" s="17"/>
      <c r="U30" s="17"/>
      <c r="X30" s="16"/>
      <c r="Y30" s="114"/>
      <c r="Z30" s="17"/>
      <c r="AA30" s="17"/>
      <c r="AB30" s="17"/>
      <c r="AC30" s="17"/>
      <c r="AD30" s="17"/>
      <c r="AE30" s="17"/>
      <c r="AF30" s="17"/>
      <c r="AG30" s="17"/>
      <c r="AH30" s="17"/>
      <c r="AI30" s="116"/>
      <c r="AJ30" s="17"/>
      <c r="AK30" s="17"/>
      <c r="AL30" s="17"/>
      <c r="AM30" s="17"/>
      <c r="AN30" s="17"/>
      <c r="AO30" s="17"/>
      <c r="AP30" s="17"/>
      <c r="AQ30" s="17"/>
      <c r="AR30" s="17"/>
      <c r="AU30" s="16"/>
      <c r="AV30" s="114"/>
      <c r="AW30" s="17"/>
      <c r="AX30" s="17"/>
      <c r="AY30" s="17"/>
      <c r="AZ30" s="17"/>
      <c r="BA30" s="17"/>
      <c r="BB30" s="17"/>
      <c r="BC30" s="17"/>
      <c r="BD30" s="17"/>
      <c r="BE30" s="17"/>
      <c r="BF30" s="116"/>
      <c r="BG30" s="17"/>
      <c r="BH30" s="17"/>
      <c r="BI30" s="17"/>
      <c r="BJ30" s="17"/>
      <c r="BK30" s="17"/>
      <c r="BL30" s="17"/>
      <c r="BM30" s="17"/>
      <c r="BN30" s="17"/>
      <c r="BO30" s="17"/>
    </row>
    <row r="31" spans="1:67" ht="15" customHeight="1" x14ac:dyDescent="0.25">
      <c r="A31" s="16"/>
      <c r="B31" s="114"/>
      <c r="C31" s="17"/>
      <c r="D31" s="17"/>
      <c r="E31" s="17"/>
      <c r="F31" s="17"/>
      <c r="G31" s="17"/>
      <c r="H31" s="17"/>
      <c r="I31" s="17"/>
      <c r="J31" s="17"/>
      <c r="K31" s="17"/>
      <c r="L31" s="116"/>
      <c r="M31" s="17"/>
      <c r="N31" s="17"/>
      <c r="O31" s="17"/>
      <c r="P31" s="17"/>
      <c r="Q31" s="17"/>
      <c r="R31" s="17"/>
      <c r="S31" s="17"/>
      <c r="T31" s="17"/>
      <c r="U31" s="17"/>
      <c r="X31" s="16"/>
      <c r="Y31" s="114"/>
      <c r="Z31" s="17"/>
      <c r="AA31" s="17"/>
      <c r="AB31" s="17"/>
      <c r="AC31" s="17"/>
      <c r="AD31" s="17"/>
      <c r="AE31" s="17"/>
      <c r="AF31" s="17"/>
      <c r="AG31" s="17"/>
      <c r="AH31" s="17"/>
      <c r="AI31" s="116"/>
      <c r="AJ31" s="17"/>
      <c r="AK31" s="17"/>
      <c r="AL31" s="17"/>
      <c r="AM31" s="17"/>
      <c r="AN31" s="17"/>
      <c r="AO31" s="17"/>
      <c r="AP31" s="17"/>
      <c r="AQ31" s="17"/>
      <c r="AR31" s="17"/>
      <c r="AU31" s="16"/>
      <c r="AV31" s="114"/>
      <c r="AW31" s="17"/>
      <c r="AX31" s="17"/>
      <c r="AY31" s="17"/>
      <c r="AZ31" s="17"/>
      <c r="BA31" s="17"/>
      <c r="BB31" s="17"/>
      <c r="BC31" s="17"/>
      <c r="BD31" s="17"/>
      <c r="BE31" s="17"/>
      <c r="BF31" s="116"/>
      <c r="BG31" s="17"/>
      <c r="BH31" s="17"/>
      <c r="BI31" s="17"/>
      <c r="BJ31" s="17"/>
      <c r="BK31" s="17"/>
      <c r="BL31" s="17"/>
      <c r="BM31" s="17"/>
      <c r="BN31" s="17"/>
      <c r="BO31" s="17"/>
    </row>
    <row r="32" spans="1:67" ht="15" customHeight="1" x14ac:dyDescent="0.25">
      <c r="A32" s="16"/>
      <c r="B32" s="114"/>
      <c r="C32" s="17"/>
      <c r="D32" s="17"/>
      <c r="E32" s="17"/>
      <c r="F32" s="17"/>
      <c r="G32" s="17"/>
      <c r="H32" s="17"/>
      <c r="I32" s="17"/>
      <c r="J32" s="17"/>
      <c r="K32" s="17"/>
      <c r="L32" s="116"/>
      <c r="M32" s="17"/>
      <c r="N32" s="17"/>
      <c r="O32" s="17"/>
      <c r="P32" s="17"/>
      <c r="Q32" s="17"/>
      <c r="R32" s="17"/>
      <c r="S32" s="17"/>
      <c r="T32" s="17"/>
      <c r="U32" s="17"/>
      <c r="X32" s="16"/>
      <c r="Y32" s="114"/>
      <c r="Z32" s="17"/>
      <c r="AA32" s="17"/>
      <c r="AB32" s="17"/>
      <c r="AC32" s="17"/>
      <c r="AD32" s="17"/>
      <c r="AE32" s="17"/>
      <c r="AF32" s="17"/>
      <c r="AG32" s="17"/>
      <c r="AH32" s="17"/>
      <c r="AI32" s="116"/>
      <c r="AJ32" s="17"/>
      <c r="AK32" s="17"/>
      <c r="AL32" s="17"/>
      <c r="AM32" s="17"/>
      <c r="AN32" s="17"/>
      <c r="AO32" s="17"/>
      <c r="AP32" s="17"/>
      <c r="AQ32" s="17"/>
      <c r="AR32" s="17"/>
      <c r="AU32" s="16"/>
      <c r="AV32" s="114"/>
      <c r="AW32" s="17"/>
      <c r="AX32" s="17"/>
      <c r="AY32" s="17"/>
      <c r="AZ32" s="17"/>
      <c r="BA32" s="17"/>
      <c r="BB32" s="17"/>
      <c r="BC32" s="17"/>
      <c r="BD32" s="17"/>
      <c r="BE32" s="17"/>
      <c r="BF32" s="116"/>
      <c r="BG32" s="17"/>
      <c r="BH32" s="17"/>
      <c r="BI32" s="17"/>
      <c r="BJ32" s="17"/>
      <c r="BK32" s="17"/>
      <c r="BL32" s="17"/>
      <c r="BM32" s="17"/>
      <c r="BN32" s="17"/>
      <c r="BO32" s="17"/>
    </row>
    <row r="33" spans="1:67" ht="15" customHeight="1" x14ac:dyDescent="0.25">
      <c r="A33" s="16"/>
      <c r="B33" s="114"/>
      <c r="C33" s="17"/>
      <c r="D33" s="17"/>
      <c r="E33" s="17"/>
      <c r="F33" s="17"/>
      <c r="G33" s="17"/>
      <c r="H33" s="17"/>
      <c r="I33" s="17"/>
      <c r="J33" s="17"/>
      <c r="K33" s="17"/>
      <c r="L33" s="116"/>
      <c r="M33" s="17"/>
      <c r="N33" s="17"/>
      <c r="O33" s="17"/>
      <c r="P33" s="17"/>
      <c r="Q33" s="17"/>
      <c r="R33" s="17"/>
      <c r="S33" s="17"/>
      <c r="T33" s="17"/>
      <c r="U33" s="17"/>
      <c r="X33" s="16"/>
      <c r="Y33" s="114"/>
      <c r="Z33" s="17"/>
      <c r="AA33" s="17"/>
      <c r="AB33" s="17"/>
      <c r="AC33" s="17"/>
      <c r="AD33" s="17"/>
      <c r="AE33" s="17"/>
      <c r="AF33" s="17"/>
      <c r="AG33" s="17"/>
      <c r="AH33" s="17"/>
      <c r="AI33" s="116"/>
      <c r="AJ33" s="17"/>
      <c r="AK33" s="17"/>
      <c r="AL33" s="17"/>
      <c r="AM33" s="17"/>
      <c r="AN33" s="17"/>
      <c r="AO33" s="17"/>
      <c r="AP33" s="17"/>
      <c r="AQ33" s="17"/>
      <c r="AR33" s="17"/>
      <c r="AU33" s="16"/>
      <c r="AV33" s="114"/>
      <c r="AW33" s="17"/>
      <c r="AX33" s="17"/>
      <c r="AY33" s="17"/>
      <c r="AZ33" s="17"/>
      <c r="BA33" s="17"/>
      <c r="BB33" s="17"/>
      <c r="BC33" s="17"/>
      <c r="BD33" s="17"/>
      <c r="BE33" s="17"/>
      <c r="BF33" s="116"/>
      <c r="BG33" s="17"/>
      <c r="BH33" s="17"/>
      <c r="BI33" s="17"/>
      <c r="BJ33" s="17"/>
      <c r="BK33" s="17"/>
      <c r="BL33" s="17"/>
      <c r="BM33" s="17"/>
      <c r="BN33" s="17"/>
      <c r="BO33" s="17"/>
    </row>
    <row r="34" spans="1:67" ht="15" customHeight="1" x14ac:dyDescent="0.25">
      <c r="A34" s="16"/>
      <c r="B34" s="114"/>
      <c r="C34" s="17"/>
      <c r="D34" s="17"/>
      <c r="E34" s="17"/>
      <c r="F34" s="17"/>
      <c r="G34" s="17"/>
      <c r="H34" s="17"/>
      <c r="I34" s="17"/>
      <c r="J34" s="17"/>
      <c r="K34" s="17"/>
      <c r="L34" s="116"/>
      <c r="M34" s="17"/>
      <c r="N34" s="17"/>
      <c r="O34" s="17"/>
      <c r="P34" s="17"/>
      <c r="Q34" s="17"/>
      <c r="R34" s="17"/>
      <c r="S34" s="17"/>
      <c r="T34" s="17"/>
      <c r="U34" s="17"/>
      <c r="X34" s="16"/>
      <c r="Y34" s="114"/>
      <c r="Z34" s="17"/>
      <c r="AA34" s="17"/>
      <c r="AB34" s="17"/>
      <c r="AC34" s="17"/>
      <c r="AD34" s="17"/>
      <c r="AE34" s="17"/>
      <c r="AF34" s="17"/>
      <c r="AG34" s="17"/>
      <c r="AH34" s="17"/>
      <c r="AI34" s="116"/>
      <c r="AJ34" s="17"/>
      <c r="AK34" s="17"/>
      <c r="AL34" s="17"/>
      <c r="AM34" s="17"/>
      <c r="AN34" s="17"/>
      <c r="AO34" s="17"/>
      <c r="AP34" s="17"/>
      <c r="AQ34" s="17"/>
      <c r="AR34" s="17"/>
      <c r="AU34" s="16"/>
      <c r="AV34" s="114"/>
      <c r="AW34" s="17"/>
      <c r="AX34" s="17"/>
      <c r="AY34" s="17"/>
      <c r="AZ34" s="17"/>
      <c r="BA34" s="17"/>
      <c r="BB34" s="17"/>
      <c r="BC34" s="17"/>
      <c r="BD34" s="17"/>
      <c r="BE34" s="17"/>
      <c r="BF34" s="116"/>
      <c r="BG34" s="17"/>
      <c r="BH34" s="17"/>
      <c r="BI34" s="17"/>
      <c r="BJ34" s="17"/>
      <c r="BK34" s="17"/>
      <c r="BL34" s="17"/>
      <c r="BM34" s="17"/>
      <c r="BN34" s="17"/>
      <c r="BO34" s="17"/>
    </row>
    <row r="35" spans="1:67" ht="15" customHeight="1" x14ac:dyDescent="0.25">
      <c r="A35" s="16"/>
      <c r="B35" s="114"/>
      <c r="C35" s="17"/>
      <c r="D35" s="17"/>
      <c r="E35" s="17"/>
      <c r="F35" s="17"/>
      <c r="G35" s="17"/>
      <c r="H35" s="17"/>
      <c r="I35" s="17"/>
      <c r="J35" s="17"/>
      <c r="K35" s="17"/>
      <c r="L35" s="116"/>
      <c r="M35" s="17"/>
      <c r="N35" s="17"/>
      <c r="O35" s="17"/>
      <c r="P35" s="17"/>
      <c r="Q35" s="17"/>
      <c r="R35" s="17"/>
      <c r="S35" s="17"/>
      <c r="T35" s="17"/>
      <c r="U35" s="17"/>
      <c r="X35" s="16"/>
      <c r="Y35" s="114"/>
      <c r="Z35" s="17"/>
      <c r="AA35" s="17"/>
      <c r="AB35" s="17"/>
      <c r="AC35" s="17"/>
      <c r="AD35" s="17"/>
      <c r="AE35" s="17"/>
      <c r="AF35" s="17"/>
      <c r="AG35" s="17"/>
      <c r="AH35" s="17"/>
      <c r="AI35" s="116"/>
      <c r="AJ35" s="17"/>
      <c r="AK35" s="17"/>
      <c r="AL35" s="17"/>
      <c r="AM35" s="17"/>
      <c r="AN35" s="17"/>
      <c r="AO35" s="17"/>
      <c r="AP35" s="17"/>
      <c r="AQ35" s="17"/>
      <c r="AR35" s="17"/>
      <c r="AU35" s="16"/>
      <c r="AV35" s="114"/>
      <c r="AW35" s="17"/>
      <c r="AX35" s="17"/>
      <c r="AY35" s="17"/>
      <c r="AZ35" s="17"/>
      <c r="BA35" s="17"/>
      <c r="BB35" s="17"/>
      <c r="BC35" s="17"/>
      <c r="BD35" s="17"/>
      <c r="BE35" s="17"/>
      <c r="BF35" s="116"/>
      <c r="BG35" s="17"/>
      <c r="BH35" s="17"/>
      <c r="BI35" s="17"/>
      <c r="BJ35" s="17"/>
      <c r="BK35" s="17"/>
      <c r="BL35" s="17"/>
      <c r="BM35" s="17"/>
      <c r="BN35" s="17"/>
      <c r="BO35" s="17"/>
    </row>
    <row r="36" spans="1:67" ht="15" customHeight="1" x14ac:dyDescent="0.25">
      <c r="A36" s="16"/>
      <c r="B36" s="114"/>
      <c r="C36" s="17"/>
      <c r="D36" s="17"/>
      <c r="E36" s="17"/>
      <c r="F36" s="17"/>
      <c r="G36" s="17"/>
      <c r="H36" s="17"/>
      <c r="I36" s="17"/>
      <c r="J36" s="17"/>
      <c r="K36" s="17"/>
      <c r="L36" s="116"/>
      <c r="M36" s="17"/>
      <c r="N36" s="17"/>
      <c r="O36" s="17"/>
      <c r="P36" s="17"/>
      <c r="Q36" s="17"/>
      <c r="R36" s="17"/>
      <c r="S36" s="17"/>
      <c r="T36" s="17"/>
      <c r="U36" s="17"/>
      <c r="X36" s="16"/>
      <c r="Y36" s="114"/>
      <c r="Z36" s="17"/>
      <c r="AA36" s="17"/>
      <c r="AB36" s="17"/>
      <c r="AC36" s="17"/>
      <c r="AD36" s="17"/>
      <c r="AE36" s="17"/>
      <c r="AF36" s="17"/>
      <c r="AG36" s="17"/>
      <c r="AH36" s="17"/>
      <c r="AI36" s="116"/>
      <c r="AJ36" s="17"/>
      <c r="AK36" s="17"/>
      <c r="AL36" s="17"/>
      <c r="AM36" s="17"/>
      <c r="AN36" s="17"/>
      <c r="AO36" s="17"/>
      <c r="AP36" s="17"/>
      <c r="AQ36" s="17"/>
      <c r="AR36" s="17"/>
      <c r="AU36" s="16"/>
      <c r="AV36" s="114"/>
      <c r="AW36" s="17"/>
      <c r="AX36" s="17"/>
      <c r="AY36" s="17"/>
      <c r="AZ36" s="17"/>
      <c r="BA36" s="17"/>
      <c r="BB36" s="17"/>
      <c r="BC36" s="17"/>
      <c r="BD36" s="17"/>
      <c r="BE36" s="17"/>
      <c r="BF36" s="116"/>
      <c r="BG36" s="17"/>
      <c r="BH36" s="17"/>
      <c r="BI36" s="17"/>
      <c r="BJ36" s="17"/>
      <c r="BK36" s="17"/>
      <c r="BL36" s="17"/>
      <c r="BM36" s="17"/>
      <c r="BN36" s="17"/>
      <c r="BO36" s="17"/>
    </row>
    <row r="37" spans="1:67" ht="15" customHeight="1" x14ac:dyDescent="0.25">
      <c r="A37" s="16"/>
      <c r="B37" s="114"/>
      <c r="C37" s="17"/>
      <c r="D37" s="17"/>
      <c r="E37" s="17"/>
      <c r="F37" s="17"/>
      <c r="G37" s="17"/>
      <c r="H37" s="17"/>
      <c r="I37" s="17"/>
      <c r="J37" s="17"/>
      <c r="K37" s="17"/>
      <c r="L37" s="116"/>
      <c r="M37" s="17"/>
      <c r="N37" s="17"/>
      <c r="O37" s="17"/>
      <c r="P37" s="17"/>
      <c r="Q37" s="17"/>
      <c r="R37" s="17"/>
      <c r="S37" s="17"/>
      <c r="T37" s="17"/>
      <c r="U37" s="17"/>
      <c r="X37" s="16"/>
      <c r="Y37" s="114"/>
      <c r="Z37" s="17"/>
      <c r="AA37" s="17"/>
      <c r="AB37" s="17"/>
      <c r="AC37" s="17"/>
      <c r="AD37" s="17"/>
      <c r="AE37" s="17"/>
      <c r="AF37" s="17"/>
      <c r="AG37" s="17"/>
      <c r="AH37" s="17"/>
      <c r="AI37" s="116"/>
      <c r="AJ37" s="17"/>
      <c r="AK37" s="17"/>
      <c r="AL37" s="17"/>
      <c r="AM37" s="17"/>
      <c r="AN37" s="17"/>
      <c r="AO37" s="17"/>
      <c r="AP37" s="17"/>
      <c r="AQ37" s="17"/>
      <c r="AR37" s="17"/>
      <c r="AU37" s="16"/>
      <c r="AV37" s="114"/>
      <c r="AW37" s="17"/>
      <c r="AX37" s="17"/>
      <c r="AY37" s="17"/>
      <c r="AZ37" s="17"/>
      <c r="BA37" s="17"/>
      <c r="BB37" s="17"/>
      <c r="BC37" s="17"/>
      <c r="BD37" s="17"/>
      <c r="BE37" s="17"/>
      <c r="BF37" s="116"/>
      <c r="BG37" s="17"/>
      <c r="BH37" s="17"/>
      <c r="BI37" s="17"/>
      <c r="BJ37" s="17"/>
      <c r="BK37" s="17"/>
      <c r="BL37" s="17"/>
      <c r="BM37" s="17"/>
      <c r="BN37" s="17"/>
      <c r="BO37" s="17"/>
    </row>
    <row r="38" spans="1:67" ht="15" customHeight="1" x14ac:dyDescent="0.25">
      <c r="A38" s="16"/>
      <c r="B38" s="114"/>
      <c r="C38" s="17"/>
      <c r="D38" s="17"/>
      <c r="E38" s="17"/>
      <c r="F38" s="17"/>
      <c r="G38" s="17"/>
      <c r="H38" s="17"/>
      <c r="I38" s="17"/>
      <c r="J38" s="17"/>
      <c r="K38" s="17"/>
      <c r="L38" s="116"/>
      <c r="M38" s="17"/>
      <c r="N38" s="17"/>
      <c r="O38" s="17"/>
      <c r="P38" s="17"/>
      <c r="Q38" s="17"/>
      <c r="R38" s="17"/>
      <c r="S38" s="17"/>
      <c r="T38" s="17"/>
      <c r="U38" s="17"/>
      <c r="X38" s="16"/>
      <c r="Y38" s="114"/>
      <c r="Z38" s="17"/>
      <c r="AA38" s="17"/>
      <c r="AB38" s="17"/>
      <c r="AC38" s="17"/>
      <c r="AD38" s="17"/>
      <c r="AE38" s="17"/>
      <c r="AF38" s="17"/>
      <c r="AG38" s="17"/>
      <c r="AH38" s="17"/>
      <c r="AI38" s="116"/>
      <c r="AJ38" s="17"/>
      <c r="AK38" s="17"/>
      <c r="AL38" s="17"/>
      <c r="AM38" s="17"/>
      <c r="AN38" s="17"/>
      <c r="AO38" s="17"/>
      <c r="AP38" s="17"/>
      <c r="AQ38" s="17"/>
      <c r="AR38" s="17"/>
      <c r="AU38" s="16"/>
      <c r="AV38" s="114"/>
      <c r="AW38" s="17"/>
      <c r="AX38" s="17"/>
      <c r="AY38" s="17"/>
      <c r="AZ38" s="17"/>
      <c r="BA38" s="17"/>
      <c r="BB38" s="17"/>
      <c r="BC38" s="17"/>
      <c r="BD38" s="17"/>
      <c r="BE38" s="17"/>
      <c r="BF38" s="116"/>
      <c r="BG38" s="17"/>
      <c r="BH38" s="17"/>
      <c r="BI38" s="17"/>
      <c r="BJ38" s="17"/>
      <c r="BK38" s="17"/>
      <c r="BL38" s="17"/>
      <c r="BM38" s="17"/>
      <c r="BN38" s="17"/>
      <c r="BO38" s="17"/>
    </row>
    <row r="39" spans="1:67" ht="15" customHeight="1" x14ac:dyDescent="0.25">
      <c r="A39" s="16"/>
      <c r="B39" s="114"/>
      <c r="C39" s="17"/>
      <c r="D39" s="17"/>
      <c r="E39" s="17"/>
      <c r="F39" s="17"/>
      <c r="G39" s="17"/>
      <c r="H39" s="17"/>
      <c r="I39" s="17"/>
      <c r="J39" s="17"/>
      <c r="K39" s="17"/>
      <c r="L39" s="116"/>
      <c r="M39" s="17"/>
      <c r="N39" s="17"/>
      <c r="O39" s="17"/>
      <c r="P39" s="17"/>
      <c r="Q39" s="17"/>
      <c r="R39" s="17"/>
      <c r="S39" s="17"/>
      <c r="T39" s="17"/>
      <c r="U39" s="17"/>
      <c r="X39" s="16"/>
      <c r="Y39" s="114"/>
      <c r="Z39" s="17"/>
      <c r="AA39" s="17"/>
      <c r="AB39" s="17"/>
      <c r="AC39" s="17"/>
      <c r="AD39" s="17"/>
      <c r="AE39" s="17"/>
      <c r="AF39" s="17"/>
      <c r="AG39" s="17"/>
      <c r="AH39" s="17"/>
      <c r="AI39" s="116"/>
      <c r="AJ39" s="17"/>
      <c r="AK39" s="17"/>
      <c r="AL39" s="17"/>
      <c r="AM39" s="17"/>
      <c r="AN39" s="17"/>
      <c r="AO39" s="17"/>
      <c r="AP39" s="17"/>
      <c r="AQ39" s="17"/>
      <c r="AR39" s="17"/>
      <c r="AU39" s="16"/>
      <c r="AV39" s="114"/>
      <c r="AW39" s="17"/>
      <c r="AX39" s="17"/>
      <c r="AY39" s="17"/>
      <c r="AZ39" s="17"/>
      <c r="BA39" s="17"/>
      <c r="BB39" s="17"/>
      <c r="BC39" s="17"/>
      <c r="BD39" s="17"/>
      <c r="BE39" s="17"/>
      <c r="BF39" s="116"/>
      <c r="BG39" s="17"/>
      <c r="BH39" s="17"/>
      <c r="BI39" s="17"/>
      <c r="BJ39" s="17"/>
      <c r="BK39" s="17"/>
      <c r="BL39" s="17"/>
      <c r="BM39" s="17"/>
      <c r="BN39" s="17"/>
      <c r="BO39" s="17"/>
    </row>
    <row r="40" spans="1:67" ht="15" customHeight="1" x14ac:dyDescent="0.25">
      <c r="A40" s="16"/>
      <c r="B40" s="114"/>
      <c r="C40" s="17"/>
      <c r="D40" s="17"/>
      <c r="E40" s="17"/>
      <c r="F40" s="17"/>
      <c r="G40" s="17"/>
      <c r="H40" s="17"/>
      <c r="I40" s="17"/>
      <c r="J40" s="17"/>
      <c r="K40" s="17"/>
      <c r="L40" s="116"/>
      <c r="M40" s="17"/>
      <c r="N40" s="17"/>
      <c r="O40" s="17"/>
      <c r="P40" s="17"/>
      <c r="Q40" s="17"/>
      <c r="R40" s="17"/>
      <c r="S40" s="17"/>
      <c r="T40" s="17"/>
      <c r="U40" s="17"/>
      <c r="X40" s="16"/>
      <c r="Y40" s="114"/>
      <c r="Z40" s="17"/>
      <c r="AA40" s="17"/>
      <c r="AB40" s="17"/>
      <c r="AC40" s="17"/>
      <c r="AD40" s="17"/>
      <c r="AE40" s="17"/>
      <c r="AF40" s="17"/>
      <c r="AG40" s="17"/>
      <c r="AH40" s="17"/>
      <c r="AI40" s="116"/>
      <c r="AJ40" s="17"/>
      <c r="AK40" s="17"/>
      <c r="AL40" s="17"/>
      <c r="AM40" s="17"/>
      <c r="AN40" s="17"/>
      <c r="AO40" s="17"/>
      <c r="AP40" s="17"/>
      <c r="AQ40" s="17"/>
      <c r="AR40" s="17"/>
      <c r="AU40" s="16"/>
      <c r="AV40" s="114"/>
      <c r="AW40" s="17"/>
      <c r="AX40" s="17"/>
      <c r="AY40" s="17"/>
      <c r="AZ40" s="17"/>
      <c r="BA40" s="17"/>
      <c r="BB40" s="17"/>
      <c r="BC40" s="17"/>
      <c r="BD40" s="17"/>
      <c r="BE40" s="17"/>
      <c r="BF40" s="116"/>
      <c r="BG40" s="17"/>
      <c r="BH40" s="17"/>
      <c r="BI40" s="17"/>
      <c r="BJ40" s="17"/>
      <c r="BK40" s="17"/>
      <c r="BL40" s="17"/>
      <c r="BM40" s="17"/>
      <c r="BN40" s="17"/>
      <c r="BO40" s="17"/>
    </row>
    <row r="41" spans="1:67" ht="15" customHeight="1" x14ac:dyDescent="0.25">
      <c r="A41" s="16"/>
      <c r="B41" s="114"/>
      <c r="C41" s="17"/>
      <c r="D41" s="17"/>
      <c r="E41" s="17"/>
      <c r="F41" s="17"/>
      <c r="G41" s="17"/>
      <c r="H41" s="17"/>
      <c r="I41" s="17"/>
      <c r="J41" s="17"/>
      <c r="K41" s="17"/>
      <c r="L41" s="116"/>
      <c r="M41" s="17"/>
      <c r="N41" s="17"/>
      <c r="O41" s="17"/>
      <c r="P41" s="17"/>
      <c r="Q41" s="17"/>
      <c r="R41" s="17"/>
      <c r="S41" s="17"/>
      <c r="T41" s="17"/>
      <c r="U41" s="17"/>
      <c r="X41" s="16"/>
      <c r="Y41" s="114"/>
      <c r="Z41" s="17"/>
      <c r="AA41" s="17"/>
      <c r="AB41" s="17"/>
      <c r="AC41" s="17"/>
      <c r="AD41" s="17"/>
      <c r="AE41" s="17"/>
      <c r="AF41" s="17"/>
      <c r="AG41" s="17"/>
      <c r="AH41" s="17"/>
      <c r="AI41" s="116"/>
      <c r="AJ41" s="17"/>
      <c r="AK41" s="17"/>
      <c r="AL41" s="17"/>
      <c r="AM41" s="17"/>
      <c r="AN41" s="17"/>
      <c r="AO41" s="17"/>
      <c r="AP41" s="17"/>
      <c r="AQ41" s="17"/>
      <c r="AR41" s="17"/>
      <c r="AU41" s="16"/>
      <c r="AV41" s="114"/>
      <c r="AW41" s="17"/>
      <c r="AX41" s="17"/>
      <c r="AY41" s="17"/>
      <c r="AZ41" s="17"/>
      <c r="BA41" s="17"/>
      <c r="BB41" s="17"/>
      <c r="BC41" s="17"/>
      <c r="BD41" s="17"/>
      <c r="BE41" s="17"/>
      <c r="BF41" s="116"/>
      <c r="BG41" s="17"/>
      <c r="BH41" s="17"/>
      <c r="BI41" s="17"/>
      <c r="BJ41" s="17"/>
      <c r="BK41" s="17"/>
      <c r="BL41" s="17"/>
      <c r="BM41" s="17"/>
      <c r="BN41" s="17"/>
      <c r="BO41" s="17"/>
    </row>
    <row r="42" spans="1:67" ht="15" customHeight="1" x14ac:dyDescent="0.25">
      <c r="A42" s="16"/>
      <c r="B42" s="114"/>
      <c r="C42" s="17"/>
      <c r="D42" s="17"/>
      <c r="E42" s="17"/>
      <c r="F42" s="17"/>
      <c r="G42" s="17"/>
      <c r="H42" s="17"/>
      <c r="I42" s="17"/>
      <c r="J42" s="17"/>
      <c r="K42" s="17"/>
      <c r="L42" s="116"/>
      <c r="M42" s="17"/>
      <c r="N42" s="17"/>
      <c r="O42" s="17"/>
      <c r="P42" s="17"/>
      <c r="Q42" s="17"/>
      <c r="R42" s="17"/>
      <c r="S42" s="17"/>
      <c r="T42" s="17"/>
      <c r="U42" s="17"/>
      <c r="X42" s="16"/>
      <c r="Y42" s="114"/>
      <c r="Z42" s="17"/>
      <c r="AA42" s="17"/>
      <c r="AB42" s="17"/>
      <c r="AC42" s="17"/>
      <c r="AD42" s="17"/>
      <c r="AE42" s="17"/>
      <c r="AF42" s="17"/>
      <c r="AG42" s="17"/>
      <c r="AH42" s="17"/>
      <c r="AI42" s="116"/>
      <c r="AJ42" s="17"/>
      <c r="AK42" s="17"/>
      <c r="AL42" s="17"/>
      <c r="AM42" s="17"/>
      <c r="AN42" s="17"/>
      <c r="AO42" s="17"/>
      <c r="AP42" s="17"/>
      <c r="AQ42" s="17"/>
      <c r="AR42" s="17"/>
      <c r="AU42" s="16"/>
      <c r="AV42" s="114"/>
      <c r="AW42" s="17"/>
      <c r="AX42" s="17"/>
      <c r="AY42" s="17"/>
      <c r="AZ42" s="17"/>
      <c r="BA42" s="17"/>
      <c r="BB42" s="17"/>
      <c r="BC42" s="17"/>
      <c r="BD42" s="17"/>
      <c r="BE42" s="17"/>
      <c r="BF42" s="116"/>
      <c r="BG42" s="17"/>
      <c r="BH42" s="17"/>
      <c r="BI42" s="17"/>
      <c r="BJ42" s="17"/>
      <c r="BK42" s="17"/>
      <c r="BL42" s="17"/>
      <c r="BM42" s="17"/>
      <c r="BN42" s="17"/>
      <c r="BO42" s="17"/>
    </row>
    <row r="43" spans="1:67" ht="15" customHeight="1" x14ac:dyDescent="0.25">
      <c r="A43" s="16"/>
      <c r="B43" s="114"/>
      <c r="C43" s="17"/>
      <c r="D43" s="17"/>
      <c r="E43" s="17"/>
      <c r="F43" s="17"/>
      <c r="G43" s="17"/>
      <c r="H43" s="17"/>
      <c r="I43" s="17"/>
      <c r="J43" s="17"/>
      <c r="K43" s="17"/>
      <c r="L43" s="116"/>
      <c r="M43" s="17"/>
      <c r="N43" s="17"/>
      <c r="O43" s="17"/>
      <c r="P43" s="17"/>
      <c r="Q43" s="17"/>
      <c r="R43" s="17"/>
      <c r="S43" s="17"/>
      <c r="T43" s="17"/>
      <c r="U43" s="17"/>
      <c r="X43" s="16"/>
      <c r="Y43" s="114"/>
      <c r="Z43" s="17"/>
      <c r="AA43" s="17"/>
      <c r="AB43" s="17"/>
      <c r="AC43" s="17"/>
      <c r="AD43" s="17"/>
      <c r="AE43" s="17"/>
      <c r="AF43" s="17"/>
      <c r="AG43" s="17"/>
      <c r="AH43" s="17"/>
      <c r="AI43" s="116"/>
      <c r="AJ43" s="17"/>
      <c r="AK43" s="17"/>
      <c r="AL43" s="17"/>
      <c r="AM43" s="17"/>
      <c r="AN43" s="17"/>
      <c r="AO43" s="17"/>
      <c r="AP43" s="17"/>
      <c r="AQ43" s="17"/>
      <c r="AR43" s="17"/>
      <c r="AU43" s="16"/>
      <c r="AV43" s="114"/>
      <c r="AW43" s="17"/>
      <c r="AX43" s="17"/>
      <c r="AY43" s="17"/>
      <c r="AZ43" s="17"/>
      <c r="BA43" s="17"/>
      <c r="BB43" s="17"/>
      <c r="BC43" s="17"/>
      <c r="BD43" s="17"/>
      <c r="BE43" s="17"/>
      <c r="BF43" s="116"/>
      <c r="BG43" s="17"/>
      <c r="BH43" s="17"/>
      <c r="BI43" s="17"/>
      <c r="BJ43" s="17"/>
      <c r="BK43" s="17"/>
      <c r="BL43" s="17"/>
      <c r="BM43" s="17"/>
      <c r="BN43" s="17"/>
      <c r="BO43" s="17"/>
    </row>
    <row r="44" spans="1:67" ht="15" customHeight="1" x14ac:dyDescent="0.25">
      <c r="A44" s="16"/>
      <c r="B44" s="114"/>
      <c r="C44" s="17"/>
      <c r="D44" s="17"/>
      <c r="E44" s="17"/>
      <c r="F44" s="17"/>
      <c r="G44" s="17"/>
      <c r="H44" s="17"/>
      <c r="I44" s="17"/>
      <c r="J44" s="17"/>
      <c r="K44" s="17"/>
      <c r="L44" s="116"/>
      <c r="M44" s="17"/>
      <c r="N44" s="17"/>
      <c r="O44" s="17"/>
      <c r="P44" s="17"/>
      <c r="Q44" s="17"/>
      <c r="R44" s="17"/>
      <c r="S44" s="17"/>
      <c r="T44" s="17"/>
      <c r="U44" s="17"/>
      <c r="X44" s="16"/>
      <c r="Y44" s="114"/>
      <c r="Z44" s="17"/>
      <c r="AA44" s="17"/>
      <c r="AB44" s="17"/>
      <c r="AC44" s="17"/>
      <c r="AD44" s="17"/>
      <c r="AE44" s="17"/>
      <c r="AF44" s="17"/>
      <c r="AG44" s="17"/>
      <c r="AH44" s="17"/>
      <c r="AI44" s="116"/>
      <c r="AJ44" s="17"/>
      <c r="AK44" s="17"/>
      <c r="AL44" s="17"/>
      <c r="AM44" s="17"/>
      <c r="AN44" s="17"/>
      <c r="AO44" s="17"/>
      <c r="AP44" s="17"/>
      <c r="AQ44" s="17"/>
      <c r="AR44" s="17"/>
      <c r="AU44" s="16"/>
      <c r="AV44" s="114"/>
      <c r="AW44" s="17"/>
      <c r="AX44" s="17"/>
      <c r="AY44" s="17"/>
      <c r="AZ44" s="17"/>
      <c r="BA44" s="17"/>
      <c r="BB44" s="17"/>
      <c r="BC44" s="17"/>
      <c r="BD44" s="17"/>
      <c r="BE44" s="17"/>
      <c r="BF44" s="116"/>
      <c r="BG44" s="17"/>
      <c r="BH44" s="17"/>
      <c r="BI44" s="17"/>
      <c r="BJ44" s="17"/>
      <c r="BK44" s="17"/>
      <c r="BL44" s="17"/>
      <c r="BM44" s="17"/>
      <c r="BN44" s="17"/>
      <c r="BO44" s="17"/>
    </row>
    <row r="45" spans="1:67" ht="15" customHeight="1" x14ac:dyDescent="0.25">
      <c r="A45" s="16"/>
      <c r="B45" s="114"/>
      <c r="C45" s="17"/>
      <c r="D45" s="17"/>
      <c r="E45" s="17"/>
      <c r="F45" s="17"/>
      <c r="G45" s="17"/>
      <c r="H45" s="17"/>
      <c r="I45" s="17"/>
      <c r="J45" s="17"/>
      <c r="K45" s="17"/>
      <c r="L45" s="116"/>
      <c r="M45" s="17"/>
      <c r="N45" s="17"/>
      <c r="O45" s="17"/>
      <c r="P45" s="17"/>
      <c r="Q45" s="17"/>
      <c r="R45" s="17"/>
      <c r="S45" s="17"/>
      <c r="T45" s="17"/>
      <c r="U45" s="17"/>
      <c r="X45" s="16"/>
      <c r="Y45" s="114"/>
      <c r="Z45" s="17"/>
      <c r="AA45" s="17"/>
      <c r="AB45" s="17"/>
      <c r="AC45" s="17"/>
      <c r="AD45" s="17"/>
      <c r="AE45" s="17"/>
      <c r="AF45" s="17"/>
      <c r="AG45" s="17"/>
      <c r="AH45" s="17"/>
      <c r="AI45" s="116"/>
      <c r="AJ45" s="17"/>
      <c r="AK45" s="17"/>
      <c r="AL45" s="17"/>
      <c r="AM45" s="17"/>
      <c r="AN45" s="17"/>
      <c r="AO45" s="17"/>
      <c r="AP45" s="17"/>
      <c r="AQ45" s="17"/>
      <c r="AR45" s="17"/>
      <c r="AU45" s="16"/>
      <c r="AV45" s="114"/>
      <c r="AW45" s="17"/>
      <c r="AX45" s="17"/>
      <c r="AY45" s="17"/>
      <c r="AZ45" s="17"/>
      <c r="BA45" s="17"/>
      <c r="BB45" s="17"/>
      <c r="BC45" s="17"/>
      <c r="BD45" s="17"/>
      <c r="BE45" s="17"/>
      <c r="BF45" s="116"/>
      <c r="BG45" s="17"/>
      <c r="BH45" s="17"/>
      <c r="BI45" s="17"/>
      <c r="BJ45" s="17"/>
      <c r="BK45" s="17"/>
      <c r="BL45" s="17"/>
      <c r="BM45" s="17"/>
      <c r="BN45" s="17"/>
      <c r="BO45" s="17"/>
    </row>
    <row r="46" spans="1:67" ht="15" customHeight="1" x14ac:dyDescent="0.25">
      <c r="A46" s="16"/>
      <c r="B46" s="6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X46" s="16"/>
      <c r="Y46" s="63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U46" s="16"/>
      <c r="AV46" s="63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</row>
    <row r="47" spans="1:67" ht="15" customHeight="1" x14ac:dyDescent="0.25">
      <c r="A47" s="16"/>
      <c r="B47" s="6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X47" s="16"/>
      <c r="Y47" s="63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U47" s="16"/>
      <c r="AV47" s="63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</row>
    <row r="48" spans="1:67" ht="15" customHeight="1" x14ac:dyDescent="0.5">
      <c r="A48" s="16"/>
      <c r="B48" s="62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7"/>
      <c r="X48" s="16"/>
      <c r="Y48" s="62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7"/>
      <c r="AU48" s="16"/>
      <c r="AV48" s="62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7"/>
    </row>
    <row r="49" spans="1:67" ht="15" customHeight="1" x14ac:dyDescent="0.5">
      <c r="A49" s="16"/>
      <c r="B49" s="62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7"/>
      <c r="X49" s="16"/>
      <c r="Y49" s="62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7"/>
      <c r="AU49" s="16"/>
      <c r="AV49" s="62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7"/>
    </row>
    <row r="50" spans="1:67" ht="15" customHeight="1" x14ac:dyDescent="0.25">
      <c r="A50" s="16"/>
      <c r="B50" s="114" t="str">
        <f>'R2'!B1</f>
        <v>Northern Cape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7"/>
      <c r="X50" s="16"/>
      <c r="Y50" s="114" t="str">
        <f>'R5'!B1</f>
        <v>North West</v>
      </c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7"/>
      <c r="AU50" s="16"/>
      <c r="AV50" s="114" t="str">
        <f>'R8'!B1</f>
        <v>Limpopo</v>
      </c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7"/>
    </row>
    <row r="51" spans="1:67" ht="15" customHeight="1" x14ac:dyDescent="0.25">
      <c r="A51" s="16"/>
      <c r="B51" s="114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7"/>
      <c r="X51" s="16"/>
      <c r="Y51" s="114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7"/>
      <c r="AU51" s="16"/>
      <c r="AV51" s="114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7"/>
    </row>
    <row r="52" spans="1:67" ht="15" customHeight="1" x14ac:dyDescent="0.25">
      <c r="A52" s="16"/>
      <c r="B52" s="114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7"/>
      <c r="X52" s="16"/>
      <c r="Y52" s="114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7"/>
      <c r="AU52" s="16"/>
      <c r="AV52" s="114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7"/>
    </row>
    <row r="53" spans="1:67" ht="15" customHeight="1" x14ac:dyDescent="0.25">
      <c r="A53" s="16"/>
      <c r="B53" s="114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7"/>
      <c r="X53" s="16"/>
      <c r="Y53" s="114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7"/>
      <c r="AU53" s="16"/>
      <c r="AV53" s="114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7"/>
    </row>
    <row r="54" spans="1:67" ht="15" customHeight="1" x14ac:dyDescent="0.25">
      <c r="A54" s="16"/>
      <c r="B54" s="114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7"/>
      <c r="X54" s="16"/>
      <c r="Y54" s="114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7"/>
      <c r="AU54" s="16"/>
      <c r="AV54" s="114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7"/>
    </row>
    <row r="55" spans="1:67" ht="15" customHeight="1" x14ac:dyDescent="0.25">
      <c r="A55" s="16"/>
      <c r="B55" s="114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7"/>
      <c r="X55" s="16"/>
      <c r="Y55" s="114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7"/>
      <c r="AU55" s="16"/>
      <c r="AV55" s="114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7"/>
    </row>
    <row r="56" spans="1:67" ht="15" customHeight="1" x14ac:dyDescent="0.25">
      <c r="A56" s="16"/>
      <c r="B56" s="114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7"/>
      <c r="X56" s="16"/>
      <c r="Y56" s="114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7"/>
      <c r="AU56" s="16"/>
      <c r="AV56" s="114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7"/>
    </row>
    <row r="57" spans="1:67" ht="15" customHeight="1" x14ac:dyDescent="0.25">
      <c r="A57" s="16"/>
      <c r="B57" s="114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7"/>
      <c r="X57" s="16"/>
      <c r="Y57" s="114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7"/>
      <c r="AU57" s="16"/>
      <c r="AV57" s="114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7"/>
    </row>
    <row r="58" spans="1:67" ht="15" customHeight="1" x14ac:dyDescent="0.25">
      <c r="A58" s="16"/>
      <c r="B58" s="114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7"/>
      <c r="X58" s="16"/>
      <c r="Y58" s="114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7"/>
      <c r="AU58" s="16"/>
      <c r="AV58" s="114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7"/>
    </row>
    <row r="59" spans="1:67" ht="15" customHeight="1" x14ac:dyDescent="0.25">
      <c r="A59" s="16"/>
      <c r="B59" s="114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7"/>
      <c r="X59" s="16"/>
      <c r="Y59" s="114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7"/>
      <c r="AU59" s="16"/>
      <c r="AV59" s="114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7"/>
    </row>
    <row r="60" spans="1:67" ht="15" customHeight="1" x14ac:dyDescent="0.25">
      <c r="A60" s="16"/>
      <c r="B60" s="114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7"/>
      <c r="X60" s="16"/>
      <c r="Y60" s="114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7"/>
      <c r="AU60" s="16"/>
      <c r="AV60" s="114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7"/>
    </row>
    <row r="61" spans="1:67" ht="15" customHeight="1" x14ac:dyDescent="0.25">
      <c r="A61" s="16"/>
      <c r="B61" s="114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7"/>
      <c r="X61" s="16"/>
      <c r="Y61" s="114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7"/>
      <c r="AU61" s="16"/>
      <c r="AV61" s="114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7"/>
    </row>
    <row r="62" spans="1:67" ht="15" customHeight="1" x14ac:dyDescent="0.25">
      <c r="A62" s="16"/>
      <c r="B62" s="114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7"/>
      <c r="X62" s="16"/>
      <c r="Y62" s="114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7"/>
      <c r="AU62" s="16"/>
      <c r="AV62" s="114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7"/>
    </row>
    <row r="63" spans="1:67" ht="15" customHeight="1" x14ac:dyDescent="0.25">
      <c r="A63" s="16"/>
      <c r="B63" s="114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7"/>
      <c r="X63" s="16"/>
      <c r="Y63" s="114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7"/>
      <c r="AU63" s="16"/>
      <c r="AV63" s="114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7"/>
    </row>
    <row r="64" spans="1:67" ht="15" customHeight="1" x14ac:dyDescent="0.25">
      <c r="A64" s="16"/>
      <c r="B64" s="114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7"/>
      <c r="X64" s="16"/>
      <c r="Y64" s="114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7"/>
      <c r="AU64" s="16"/>
      <c r="AV64" s="114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7"/>
    </row>
    <row r="65" spans="1:67" ht="15" customHeight="1" x14ac:dyDescent="0.25">
      <c r="A65" s="16"/>
      <c r="B65" s="114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7"/>
      <c r="X65" s="16"/>
      <c r="Y65" s="114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7"/>
      <c r="AU65" s="16"/>
      <c r="AV65" s="114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7"/>
    </row>
    <row r="66" spans="1:67" ht="15" customHeight="1" x14ac:dyDescent="0.25">
      <c r="A66" s="16"/>
      <c r="B66" s="114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7"/>
      <c r="X66" s="16"/>
      <c r="Y66" s="114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7"/>
      <c r="AU66" s="16"/>
      <c r="AV66" s="114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7"/>
    </row>
    <row r="67" spans="1:67" ht="15" customHeight="1" x14ac:dyDescent="0.25">
      <c r="A67" s="16"/>
      <c r="B67" s="16"/>
      <c r="U67" s="17"/>
      <c r="X67" s="16"/>
      <c r="Y67" s="16"/>
      <c r="AR67" s="17"/>
      <c r="AU67" s="16"/>
      <c r="AV67" s="16"/>
      <c r="BO67" s="17"/>
    </row>
    <row r="68" spans="1:67" ht="15" customHeight="1" x14ac:dyDescent="0.25">
      <c r="A68" s="16"/>
      <c r="B68" s="16"/>
      <c r="U68" s="17"/>
      <c r="X68" s="16"/>
      <c r="Y68" s="16"/>
      <c r="AR68" s="17"/>
      <c r="AU68" s="16"/>
      <c r="AV68" s="16"/>
      <c r="BO68" s="17"/>
    </row>
    <row r="69" spans="1:67" ht="15" customHeight="1" x14ac:dyDescent="0.25">
      <c r="A69" s="16"/>
      <c r="B69" s="16"/>
      <c r="U69" s="17"/>
      <c r="X69" s="16"/>
      <c r="Y69" s="16"/>
      <c r="AR69" s="17"/>
      <c r="AU69" s="16"/>
      <c r="AV69" s="16"/>
      <c r="BO69" s="17"/>
    </row>
    <row r="70" spans="1:67" ht="15" customHeight="1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6"/>
      <c r="W70" s="16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6"/>
      <c r="AT70" s="16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</row>
    <row r="71" spans="1:67" ht="15" customHeight="1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</row>
    <row r="72" spans="1:67" ht="15" customHeight="1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</row>
    <row r="73" spans="1:67" ht="15" customHeight="1" x14ac:dyDescent="0.25"/>
  </sheetData>
  <mergeCells count="24">
    <mergeCell ref="Y50:Y66"/>
    <mergeCell ref="AX2:BE3"/>
    <mergeCell ref="BG2:BN3"/>
    <mergeCell ref="AX4:BE5"/>
    <mergeCell ref="BG4:BN5"/>
    <mergeCell ref="AV8:AV24"/>
    <mergeCell ref="AV29:AV45"/>
    <mergeCell ref="BF29:BF45"/>
    <mergeCell ref="AV50:AV66"/>
    <mergeCell ref="AJ2:AQ3"/>
    <mergeCell ref="AA4:AH5"/>
    <mergeCell ref="AJ4:AQ5"/>
    <mergeCell ref="Y8:Y24"/>
    <mergeCell ref="Y29:Y45"/>
    <mergeCell ref="AI29:AI45"/>
    <mergeCell ref="AA2:AH3"/>
    <mergeCell ref="B29:B45"/>
    <mergeCell ref="L29:L45"/>
    <mergeCell ref="B50:B66"/>
    <mergeCell ref="M2:T3"/>
    <mergeCell ref="M4:T5"/>
    <mergeCell ref="D2:K3"/>
    <mergeCell ref="B8:B24"/>
    <mergeCell ref="D4:K5"/>
  </mergeCells>
  <printOptions horizontalCentered="1" verticalCentered="1"/>
  <pageMargins left="0" right="0" top="0" bottom="0" header="0" footer="0"/>
  <pageSetup scale="17" orientation="portrait" horizontalDpi="4294967292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  <pageSetUpPr fitToPage="1"/>
  </sheetPr>
  <dimension ref="A1:BO73"/>
  <sheetViews>
    <sheetView zoomScale="25" zoomScaleNormal="40" workbookViewId="0">
      <selection activeCell="AS116" sqref="AS116"/>
    </sheetView>
  </sheetViews>
  <sheetFormatPr defaultColWidth="9.140625" defaultRowHeight="15" x14ac:dyDescent="0.25"/>
  <cols>
    <col min="1" max="1" width="9.140625" style="20"/>
    <col min="2" max="2" width="9.140625" style="20" customWidth="1"/>
    <col min="3" max="24" width="9.140625" style="20"/>
    <col min="25" max="25" width="9.140625" style="20" customWidth="1"/>
    <col min="26" max="47" width="9.140625" style="20"/>
    <col min="48" max="48" width="9.140625" style="20" customWidth="1"/>
    <col min="49" max="16384" width="9.140625" style="20"/>
  </cols>
  <sheetData>
    <row r="1" spans="1:67" ht="15" customHeight="1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</row>
    <row r="2" spans="1:67" ht="15" customHeight="1" x14ac:dyDescent="0.25">
      <c r="A2" s="16"/>
      <c r="B2" s="60"/>
      <c r="C2" s="66"/>
      <c r="D2" s="117" t="s">
        <v>43</v>
      </c>
      <c r="E2" s="117"/>
      <c r="F2" s="117"/>
      <c r="G2" s="117"/>
      <c r="H2" s="117"/>
      <c r="I2" s="117"/>
      <c r="J2" s="117"/>
      <c r="K2" s="117"/>
      <c r="L2" s="66"/>
      <c r="M2" s="117" t="s">
        <v>45</v>
      </c>
      <c r="N2" s="117"/>
      <c r="O2" s="117"/>
      <c r="P2" s="117"/>
      <c r="Q2" s="117"/>
      <c r="R2" s="117"/>
      <c r="S2" s="117"/>
      <c r="T2" s="117"/>
      <c r="U2" s="66"/>
      <c r="V2" s="20" t="s">
        <v>34</v>
      </c>
      <c r="X2" s="16"/>
      <c r="Y2" s="60"/>
      <c r="Z2" s="66"/>
      <c r="AA2" s="117" t="s">
        <v>43</v>
      </c>
      <c r="AB2" s="117"/>
      <c r="AC2" s="117"/>
      <c r="AD2" s="117"/>
      <c r="AE2" s="117"/>
      <c r="AF2" s="117"/>
      <c r="AG2" s="117"/>
      <c r="AH2" s="117"/>
      <c r="AI2" s="66"/>
      <c r="AJ2" s="117" t="s">
        <v>45</v>
      </c>
      <c r="AK2" s="117"/>
      <c r="AL2" s="117"/>
      <c r="AM2" s="117"/>
      <c r="AN2" s="117"/>
      <c r="AO2" s="117"/>
      <c r="AP2" s="117"/>
      <c r="AQ2" s="117"/>
      <c r="AR2" s="66"/>
      <c r="AU2" s="16"/>
      <c r="AV2" s="60"/>
      <c r="AW2" s="66"/>
      <c r="AX2" s="117" t="s">
        <v>43</v>
      </c>
      <c r="AY2" s="117"/>
      <c r="AZ2" s="117"/>
      <c r="BA2" s="117"/>
      <c r="BB2" s="117"/>
      <c r="BC2" s="117"/>
      <c r="BD2" s="117"/>
      <c r="BE2" s="117"/>
      <c r="BF2" s="66"/>
      <c r="BG2" s="117" t="s">
        <v>45</v>
      </c>
      <c r="BH2" s="117"/>
      <c r="BI2" s="117"/>
      <c r="BJ2" s="117"/>
      <c r="BK2" s="117"/>
      <c r="BL2" s="117"/>
      <c r="BM2" s="117"/>
      <c r="BN2" s="117"/>
      <c r="BO2" s="66"/>
    </row>
    <row r="3" spans="1:67" ht="15" customHeight="1" x14ac:dyDescent="0.25">
      <c r="A3" s="16"/>
      <c r="B3" s="60"/>
      <c r="C3" s="66"/>
      <c r="D3" s="117"/>
      <c r="E3" s="117"/>
      <c r="F3" s="117"/>
      <c r="G3" s="117"/>
      <c r="H3" s="117"/>
      <c r="I3" s="117"/>
      <c r="J3" s="117"/>
      <c r="K3" s="117"/>
      <c r="L3" s="66"/>
      <c r="M3" s="117"/>
      <c r="N3" s="117"/>
      <c r="O3" s="117"/>
      <c r="P3" s="117"/>
      <c r="Q3" s="117"/>
      <c r="R3" s="117"/>
      <c r="S3" s="117"/>
      <c r="T3" s="117"/>
      <c r="U3" s="66"/>
      <c r="V3" s="20" t="s">
        <v>35</v>
      </c>
      <c r="X3" s="16"/>
      <c r="Y3" s="60"/>
      <c r="Z3" s="66"/>
      <c r="AA3" s="117"/>
      <c r="AB3" s="117"/>
      <c r="AC3" s="117"/>
      <c r="AD3" s="117"/>
      <c r="AE3" s="117"/>
      <c r="AF3" s="117"/>
      <c r="AG3" s="117"/>
      <c r="AH3" s="117"/>
      <c r="AI3" s="66"/>
      <c r="AJ3" s="117"/>
      <c r="AK3" s="117"/>
      <c r="AL3" s="117"/>
      <c r="AM3" s="117"/>
      <c r="AN3" s="117"/>
      <c r="AO3" s="117"/>
      <c r="AP3" s="117"/>
      <c r="AQ3" s="117"/>
      <c r="AR3" s="66"/>
      <c r="AU3" s="16"/>
      <c r="AV3" s="60"/>
      <c r="AW3" s="66"/>
      <c r="AX3" s="117"/>
      <c r="AY3" s="117"/>
      <c r="AZ3" s="117"/>
      <c r="BA3" s="117"/>
      <c r="BB3" s="117"/>
      <c r="BC3" s="117"/>
      <c r="BD3" s="117"/>
      <c r="BE3" s="117"/>
      <c r="BF3" s="66"/>
      <c r="BG3" s="117"/>
      <c r="BH3" s="117"/>
      <c r="BI3" s="117"/>
      <c r="BJ3" s="117"/>
      <c r="BK3" s="117"/>
      <c r="BL3" s="117"/>
      <c r="BM3" s="117"/>
      <c r="BN3" s="117"/>
      <c r="BO3" s="66"/>
    </row>
    <row r="4" spans="1:67" ht="15" customHeight="1" x14ac:dyDescent="0.25">
      <c r="A4" s="16"/>
      <c r="B4" s="60"/>
      <c r="C4" s="66"/>
      <c r="D4" s="117" t="s">
        <v>44</v>
      </c>
      <c r="E4" s="117"/>
      <c r="F4" s="117"/>
      <c r="G4" s="117"/>
      <c r="H4" s="117"/>
      <c r="I4" s="117"/>
      <c r="J4" s="117"/>
      <c r="K4" s="117"/>
      <c r="L4" s="66"/>
      <c r="M4" s="117" t="s">
        <v>44</v>
      </c>
      <c r="N4" s="117"/>
      <c r="O4" s="117"/>
      <c r="P4" s="117"/>
      <c r="Q4" s="117"/>
      <c r="R4" s="117"/>
      <c r="S4" s="117"/>
      <c r="T4" s="117"/>
      <c r="U4" s="66"/>
      <c r="V4" s="20" t="s">
        <v>36</v>
      </c>
      <c r="X4" s="16"/>
      <c r="Y4" s="60"/>
      <c r="Z4" s="66"/>
      <c r="AA4" s="117" t="s">
        <v>44</v>
      </c>
      <c r="AB4" s="117"/>
      <c r="AC4" s="117"/>
      <c r="AD4" s="117"/>
      <c r="AE4" s="117"/>
      <c r="AF4" s="117"/>
      <c r="AG4" s="117"/>
      <c r="AH4" s="117"/>
      <c r="AI4" s="66"/>
      <c r="AJ4" s="117" t="s">
        <v>44</v>
      </c>
      <c r="AK4" s="117"/>
      <c r="AL4" s="117"/>
      <c r="AM4" s="117"/>
      <c r="AN4" s="117"/>
      <c r="AO4" s="117"/>
      <c r="AP4" s="117"/>
      <c r="AQ4" s="117"/>
      <c r="AR4" s="66"/>
      <c r="AU4" s="16"/>
      <c r="AV4" s="60"/>
      <c r="AW4" s="66"/>
      <c r="AX4" s="117" t="s">
        <v>44</v>
      </c>
      <c r="AY4" s="117"/>
      <c r="AZ4" s="117"/>
      <c r="BA4" s="117"/>
      <c r="BB4" s="117"/>
      <c r="BC4" s="117"/>
      <c r="BD4" s="117"/>
      <c r="BE4" s="117"/>
      <c r="BF4" s="66"/>
      <c r="BG4" s="117" t="s">
        <v>44</v>
      </c>
      <c r="BH4" s="117"/>
      <c r="BI4" s="117"/>
      <c r="BJ4" s="117"/>
      <c r="BK4" s="117"/>
      <c r="BL4" s="117"/>
      <c r="BM4" s="117"/>
      <c r="BN4" s="117"/>
      <c r="BO4" s="66"/>
    </row>
    <row r="5" spans="1:67" ht="15" customHeight="1" x14ac:dyDescent="0.25">
      <c r="A5" s="16"/>
      <c r="B5" s="60"/>
      <c r="C5" s="66"/>
      <c r="D5" s="117"/>
      <c r="E5" s="117"/>
      <c r="F5" s="117"/>
      <c r="G5" s="117"/>
      <c r="H5" s="117"/>
      <c r="I5" s="117"/>
      <c r="J5" s="117"/>
      <c r="K5" s="117"/>
      <c r="L5" s="66"/>
      <c r="M5" s="117"/>
      <c r="N5" s="117"/>
      <c r="O5" s="117"/>
      <c r="P5" s="117"/>
      <c r="Q5" s="117"/>
      <c r="R5" s="117"/>
      <c r="S5" s="117"/>
      <c r="T5" s="117"/>
      <c r="U5" s="66"/>
      <c r="V5" s="20" t="s">
        <v>37</v>
      </c>
      <c r="X5" s="16"/>
      <c r="Y5" s="60"/>
      <c r="Z5" s="66"/>
      <c r="AA5" s="117"/>
      <c r="AB5" s="117"/>
      <c r="AC5" s="117"/>
      <c r="AD5" s="117"/>
      <c r="AE5" s="117"/>
      <c r="AF5" s="117"/>
      <c r="AG5" s="117"/>
      <c r="AH5" s="117"/>
      <c r="AI5" s="66"/>
      <c r="AJ5" s="117"/>
      <c r="AK5" s="117"/>
      <c r="AL5" s="117"/>
      <c r="AM5" s="117"/>
      <c r="AN5" s="117"/>
      <c r="AO5" s="117"/>
      <c r="AP5" s="117"/>
      <c r="AQ5" s="117"/>
      <c r="AR5" s="66"/>
      <c r="AU5" s="16"/>
      <c r="AV5" s="60"/>
      <c r="AW5" s="66"/>
      <c r="AX5" s="117"/>
      <c r="AY5" s="117"/>
      <c r="AZ5" s="117"/>
      <c r="BA5" s="117"/>
      <c r="BB5" s="117"/>
      <c r="BC5" s="117"/>
      <c r="BD5" s="117"/>
      <c r="BE5" s="117"/>
      <c r="BF5" s="66"/>
      <c r="BG5" s="117"/>
      <c r="BH5" s="117"/>
      <c r="BI5" s="117"/>
      <c r="BJ5" s="117"/>
      <c r="BK5" s="117"/>
      <c r="BL5" s="117"/>
      <c r="BM5" s="117"/>
      <c r="BN5" s="117"/>
      <c r="BO5" s="66"/>
    </row>
    <row r="6" spans="1:67" ht="15" customHeight="1" x14ac:dyDescent="0.6">
      <c r="A6" s="16"/>
      <c r="B6" s="18"/>
      <c r="C6" s="67"/>
      <c r="D6" s="67"/>
      <c r="E6" s="67"/>
      <c r="F6" s="67"/>
      <c r="G6" s="67"/>
      <c r="H6" s="67"/>
      <c r="I6" s="67"/>
      <c r="J6" s="67"/>
      <c r="K6" s="67"/>
      <c r="L6" s="66"/>
      <c r="M6" s="66"/>
      <c r="N6" s="66"/>
      <c r="O6" s="66"/>
      <c r="P6" s="66"/>
      <c r="Q6" s="66"/>
      <c r="R6" s="66"/>
      <c r="S6" s="66"/>
      <c r="T6" s="66"/>
      <c r="U6" s="67"/>
      <c r="X6" s="16"/>
      <c r="Y6" s="18"/>
      <c r="Z6" s="67"/>
      <c r="AA6" s="67"/>
      <c r="AB6" s="67"/>
      <c r="AC6" s="67"/>
      <c r="AD6" s="67"/>
      <c r="AE6" s="67"/>
      <c r="AF6" s="67"/>
      <c r="AG6" s="67"/>
      <c r="AH6" s="67"/>
      <c r="AI6" s="66"/>
      <c r="AJ6" s="66"/>
      <c r="AK6" s="66"/>
      <c r="AL6" s="66"/>
      <c r="AM6" s="66"/>
      <c r="AN6" s="66"/>
      <c r="AO6" s="66"/>
      <c r="AP6" s="66"/>
      <c r="AQ6" s="66"/>
      <c r="AR6" s="67"/>
      <c r="AU6" s="16"/>
      <c r="AV6" s="18"/>
      <c r="AW6" s="67"/>
      <c r="AX6" s="67"/>
      <c r="AY6" s="67"/>
      <c r="AZ6" s="67"/>
      <c r="BA6" s="67"/>
      <c r="BB6" s="67"/>
      <c r="BC6" s="67"/>
      <c r="BD6" s="67"/>
      <c r="BE6" s="67"/>
      <c r="BF6" s="66"/>
      <c r="BG6" s="66"/>
      <c r="BH6" s="66"/>
      <c r="BI6" s="66"/>
      <c r="BJ6" s="66"/>
      <c r="BK6" s="66"/>
      <c r="BL6" s="66"/>
      <c r="BM6" s="66"/>
      <c r="BN6" s="66"/>
      <c r="BO6" s="67"/>
    </row>
    <row r="7" spans="1:67" ht="15" customHeight="1" x14ac:dyDescent="0.25">
      <c r="A7" s="16"/>
      <c r="B7" s="18"/>
      <c r="C7" s="17"/>
      <c r="D7" s="17"/>
      <c r="E7" s="17"/>
      <c r="F7" s="17"/>
      <c r="G7" s="17"/>
      <c r="H7" s="17"/>
      <c r="I7" s="17"/>
      <c r="J7" s="17"/>
      <c r="K7" s="17"/>
      <c r="L7" s="61"/>
      <c r="M7" s="61"/>
      <c r="N7" s="61"/>
      <c r="O7" s="61"/>
      <c r="P7" s="61"/>
      <c r="Q7" s="61"/>
      <c r="R7" s="61"/>
      <c r="S7" s="61"/>
      <c r="T7" s="17"/>
      <c r="U7" s="17"/>
      <c r="X7" s="16"/>
      <c r="Y7" s="18"/>
      <c r="Z7" s="17"/>
      <c r="AA7" s="17"/>
      <c r="AB7" s="17"/>
      <c r="AC7" s="17"/>
      <c r="AD7" s="17"/>
      <c r="AE7" s="17"/>
      <c r="AF7" s="17"/>
      <c r="AG7" s="17"/>
      <c r="AH7" s="17"/>
      <c r="AI7" s="61"/>
      <c r="AJ7" s="61"/>
      <c r="AK7" s="61"/>
      <c r="AL7" s="61"/>
      <c r="AM7" s="61"/>
      <c r="AN7" s="61"/>
      <c r="AO7" s="61"/>
      <c r="AP7" s="61"/>
      <c r="AQ7" s="17"/>
      <c r="AR7" s="17"/>
      <c r="AU7" s="16"/>
      <c r="AV7" s="18"/>
      <c r="AW7" s="17"/>
      <c r="AX7" s="17"/>
      <c r="AY7" s="17"/>
      <c r="AZ7" s="17"/>
      <c r="BA7" s="17"/>
      <c r="BB7" s="17"/>
      <c r="BC7" s="17"/>
      <c r="BD7" s="17"/>
      <c r="BE7" s="17"/>
      <c r="BF7" s="61"/>
      <c r="BG7" s="61"/>
      <c r="BH7" s="61"/>
      <c r="BI7" s="61"/>
      <c r="BJ7" s="61"/>
      <c r="BK7" s="61"/>
      <c r="BL7" s="61"/>
      <c r="BM7" s="61"/>
      <c r="BN7" s="17"/>
      <c r="BO7" s="17"/>
    </row>
    <row r="8" spans="1:67" ht="15" customHeight="1" x14ac:dyDescent="0.25">
      <c r="A8" s="16"/>
      <c r="B8" s="114" t="str">
        <f>R0!B1</f>
        <v>Western Cape</v>
      </c>
      <c r="C8" s="17"/>
      <c r="D8" s="17"/>
      <c r="E8" s="17"/>
      <c r="F8" s="17"/>
      <c r="G8" s="17"/>
      <c r="H8" s="17"/>
      <c r="I8" s="17"/>
      <c r="J8" s="17"/>
      <c r="K8" s="17"/>
      <c r="L8" s="18"/>
      <c r="M8" s="17"/>
      <c r="N8" s="17"/>
      <c r="O8" s="17"/>
      <c r="P8" s="17"/>
      <c r="Q8" s="17"/>
      <c r="R8" s="17"/>
      <c r="S8" s="17"/>
      <c r="T8" s="17"/>
      <c r="U8" s="17"/>
      <c r="X8" s="16"/>
      <c r="Y8" s="114" t="str">
        <f>'R3'!B1</f>
        <v>Free State</v>
      </c>
      <c r="Z8" s="17"/>
      <c r="AA8" s="17"/>
      <c r="AB8" s="17"/>
      <c r="AC8" s="17"/>
      <c r="AD8" s="17"/>
      <c r="AE8" s="17"/>
      <c r="AF8" s="17"/>
      <c r="AG8" s="17"/>
      <c r="AH8" s="17"/>
      <c r="AI8" s="18"/>
      <c r="AJ8" s="17"/>
      <c r="AK8" s="17"/>
      <c r="AL8" s="17"/>
      <c r="AM8" s="17"/>
      <c r="AN8" s="17"/>
      <c r="AO8" s="17"/>
      <c r="AP8" s="17"/>
      <c r="AQ8" s="17"/>
      <c r="AR8" s="17"/>
      <c r="AU8" s="16"/>
      <c r="AV8" s="114" t="str">
        <f>'R6'!B1</f>
        <v>Gauteng</v>
      </c>
      <c r="AW8" s="17"/>
      <c r="AX8" s="17"/>
      <c r="AY8" s="17"/>
      <c r="AZ8" s="17"/>
      <c r="BA8" s="17"/>
      <c r="BB8" s="17"/>
      <c r="BC8" s="17"/>
      <c r="BD8" s="17"/>
      <c r="BE8" s="17"/>
      <c r="BF8" s="18"/>
      <c r="BG8" s="17"/>
      <c r="BH8" s="17"/>
      <c r="BI8" s="17"/>
      <c r="BJ8" s="17"/>
      <c r="BK8" s="17"/>
      <c r="BL8" s="17"/>
      <c r="BM8" s="17"/>
      <c r="BN8" s="17"/>
      <c r="BO8" s="17"/>
    </row>
    <row r="9" spans="1:67" ht="15" customHeight="1" x14ac:dyDescent="0.25">
      <c r="A9" s="16"/>
      <c r="B9" s="114"/>
      <c r="C9" s="17"/>
      <c r="D9" s="17"/>
      <c r="E9" s="17"/>
      <c r="F9" s="17"/>
      <c r="G9" s="17"/>
      <c r="H9" s="17"/>
      <c r="I9" s="17"/>
      <c r="J9" s="17"/>
      <c r="K9" s="17"/>
      <c r="L9" s="19"/>
      <c r="M9" s="17"/>
      <c r="N9" s="17"/>
      <c r="O9" s="17"/>
      <c r="P9" s="17"/>
      <c r="Q9" s="17"/>
      <c r="R9" s="17"/>
      <c r="S9" s="17"/>
      <c r="T9" s="17"/>
      <c r="U9" s="17"/>
      <c r="X9" s="16"/>
      <c r="Y9" s="114"/>
      <c r="Z9" s="17"/>
      <c r="AA9" s="17"/>
      <c r="AB9" s="17"/>
      <c r="AC9" s="17"/>
      <c r="AD9" s="17"/>
      <c r="AE9" s="17"/>
      <c r="AF9" s="17"/>
      <c r="AG9" s="17"/>
      <c r="AH9" s="17"/>
      <c r="AI9" s="19"/>
      <c r="AJ9" s="17"/>
      <c r="AK9" s="17"/>
      <c r="AL9" s="17"/>
      <c r="AM9" s="17"/>
      <c r="AN9" s="17"/>
      <c r="AO9" s="17"/>
      <c r="AP9" s="17"/>
      <c r="AQ9" s="17"/>
      <c r="AR9" s="17"/>
      <c r="AU9" s="16"/>
      <c r="AV9" s="114"/>
      <c r="AW9" s="17"/>
      <c r="AX9" s="17"/>
      <c r="AY9" s="17"/>
      <c r="AZ9" s="17"/>
      <c r="BA9" s="17"/>
      <c r="BB9" s="17"/>
      <c r="BC9" s="17"/>
      <c r="BD9" s="17"/>
      <c r="BE9" s="17"/>
      <c r="BF9" s="19"/>
      <c r="BG9" s="17"/>
      <c r="BH9" s="17"/>
      <c r="BI9" s="17"/>
      <c r="BJ9" s="17"/>
      <c r="BK9" s="17"/>
      <c r="BL9" s="17"/>
      <c r="BM9" s="17"/>
      <c r="BN9" s="17"/>
      <c r="BO9" s="17"/>
    </row>
    <row r="10" spans="1:67" ht="15" customHeight="1" x14ac:dyDescent="0.25">
      <c r="A10" s="16"/>
      <c r="B10" s="114"/>
      <c r="C10" s="17"/>
      <c r="D10" s="17"/>
      <c r="E10" s="17"/>
      <c r="F10" s="17"/>
      <c r="G10" s="17"/>
      <c r="H10" s="17"/>
      <c r="I10" s="17"/>
      <c r="J10" s="17"/>
      <c r="K10" s="17"/>
      <c r="L10" s="19"/>
      <c r="M10" s="17"/>
      <c r="N10" s="17"/>
      <c r="O10" s="17"/>
      <c r="P10" s="17"/>
      <c r="Q10" s="17"/>
      <c r="R10" s="17"/>
      <c r="S10" s="17"/>
      <c r="T10" s="17"/>
      <c r="U10" s="17"/>
      <c r="X10" s="16"/>
      <c r="Y10" s="114"/>
      <c r="Z10" s="17"/>
      <c r="AA10" s="17"/>
      <c r="AB10" s="17"/>
      <c r="AC10" s="17"/>
      <c r="AD10" s="17"/>
      <c r="AE10" s="17"/>
      <c r="AF10" s="17"/>
      <c r="AG10" s="17"/>
      <c r="AH10" s="17"/>
      <c r="AI10" s="19"/>
      <c r="AJ10" s="17"/>
      <c r="AK10" s="17"/>
      <c r="AL10" s="17"/>
      <c r="AM10" s="17"/>
      <c r="AN10" s="17"/>
      <c r="AO10" s="17"/>
      <c r="AP10" s="17"/>
      <c r="AQ10" s="17"/>
      <c r="AR10" s="17"/>
      <c r="AU10" s="16"/>
      <c r="AV10" s="114"/>
      <c r="AW10" s="17"/>
      <c r="AX10" s="17"/>
      <c r="AY10" s="17"/>
      <c r="AZ10" s="17"/>
      <c r="BA10" s="17"/>
      <c r="BB10" s="17"/>
      <c r="BC10" s="17"/>
      <c r="BD10" s="17"/>
      <c r="BE10" s="17"/>
      <c r="BF10" s="19"/>
      <c r="BG10" s="17"/>
      <c r="BH10" s="17"/>
      <c r="BI10" s="17"/>
      <c r="BJ10" s="17"/>
      <c r="BK10" s="17"/>
      <c r="BL10" s="17"/>
      <c r="BM10" s="17"/>
      <c r="BN10" s="17"/>
      <c r="BO10" s="17"/>
    </row>
    <row r="11" spans="1:67" ht="15" customHeight="1" x14ac:dyDescent="0.25">
      <c r="A11" s="16"/>
      <c r="B11" s="114"/>
      <c r="C11" s="17"/>
      <c r="D11" s="17"/>
      <c r="E11" s="17"/>
      <c r="F11" s="17"/>
      <c r="G11" s="17"/>
      <c r="H11" s="17"/>
      <c r="I11" s="17"/>
      <c r="J11" s="17"/>
      <c r="K11" s="17"/>
      <c r="L11" s="19"/>
      <c r="M11" s="17"/>
      <c r="N11" s="17"/>
      <c r="O11" s="17"/>
      <c r="P11" s="17"/>
      <c r="Q11" s="17"/>
      <c r="R11" s="17"/>
      <c r="S11" s="17"/>
      <c r="T11" s="17"/>
      <c r="U11" s="17"/>
      <c r="X11" s="16"/>
      <c r="Y11" s="114"/>
      <c r="Z11" s="17"/>
      <c r="AA11" s="17"/>
      <c r="AB11" s="17"/>
      <c r="AC11" s="17"/>
      <c r="AD11" s="17"/>
      <c r="AE11" s="17"/>
      <c r="AF11" s="17"/>
      <c r="AG11" s="17"/>
      <c r="AH11" s="17"/>
      <c r="AI11" s="19"/>
      <c r="AJ11" s="17"/>
      <c r="AK11" s="17"/>
      <c r="AL11" s="17"/>
      <c r="AM11" s="17"/>
      <c r="AN11" s="17"/>
      <c r="AO11" s="17"/>
      <c r="AP11" s="17"/>
      <c r="AQ11" s="17"/>
      <c r="AR11" s="17"/>
      <c r="AU11" s="16"/>
      <c r="AV11" s="114"/>
      <c r="AW11" s="17"/>
      <c r="AX11" s="17"/>
      <c r="AY11" s="17"/>
      <c r="AZ11" s="17"/>
      <c r="BA11" s="17"/>
      <c r="BB11" s="17"/>
      <c r="BC11" s="17"/>
      <c r="BD11" s="17"/>
      <c r="BE11" s="17"/>
      <c r="BF11" s="19"/>
      <c r="BG11" s="17"/>
      <c r="BH11" s="17"/>
      <c r="BI11" s="17"/>
      <c r="BJ11" s="17"/>
      <c r="BK11" s="17"/>
      <c r="BL11" s="17"/>
      <c r="BM11" s="17"/>
      <c r="BN11" s="17"/>
      <c r="BO11" s="17"/>
    </row>
    <row r="12" spans="1:67" ht="15" customHeight="1" x14ac:dyDescent="0.25">
      <c r="A12" s="16"/>
      <c r="B12" s="114"/>
      <c r="C12" s="17"/>
      <c r="D12" s="17"/>
      <c r="E12" s="17"/>
      <c r="F12" s="17"/>
      <c r="G12" s="17"/>
      <c r="H12" s="17"/>
      <c r="I12" s="17"/>
      <c r="J12" s="17"/>
      <c r="K12" s="17"/>
      <c r="L12" s="19"/>
      <c r="M12" s="17"/>
      <c r="N12" s="17"/>
      <c r="O12" s="17"/>
      <c r="P12" s="17"/>
      <c r="Q12" s="17"/>
      <c r="R12" s="17"/>
      <c r="S12" s="17"/>
      <c r="T12" s="17"/>
      <c r="U12" s="17"/>
      <c r="X12" s="16"/>
      <c r="Y12" s="114"/>
      <c r="Z12" s="17"/>
      <c r="AA12" s="17"/>
      <c r="AB12" s="17"/>
      <c r="AC12" s="17"/>
      <c r="AD12" s="17"/>
      <c r="AE12" s="17"/>
      <c r="AF12" s="17"/>
      <c r="AG12" s="17"/>
      <c r="AH12" s="17"/>
      <c r="AI12" s="19"/>
      <c r="AJ12" s="17"/>
      <c r="AK12" s="17"/>
      <c r="AL12" s="17"/>
      <c r="AM12" s="17"/>
      <c r="AN12" s="17"/>
      <c r="AO12" s="17"/>
      <c r="AP12" s="17"/>
      <c r="AQ12" s="17"/>
      <c r="AR12" s="17"/>
      <c r="AU12" s="16"/>
      <c r="AV12" s="114"/>
      <c r="AW12" s="17"/>
      <c r="AX12" s="17"/>
      <c r="AY12" s="17"/>
      <c r="AZ12" s="17"/>
      <c r="BA12" s="17"/>
      <c r="BB12" s="17"/>
      <c r="BC12" s="17"/>
      <c r="BD12" s="17"/>
      <c r="BE12" s="17"/>
      <c r="BF12" s="19"/>
      <c r="BG12" s="17"/>
      <c r="BH12" s="17"/>
      <c r="BI12" s="17"/>
      <c r="BJ12" s="17"/>
      <c r="BK12" s="17"/>
      <c r="BL12" s="17"/>
      <c r="BM12" s="17"/>
      <c r="BN12" s="17"/>
      <c r="BO12" s="17"/>
    </row>
    <row r="13" spans="1:67" ht="15" customHeight="1" x14ac:dyDescent="0.25">
      <c r="A13" s="16"/>
      <c r="B13" s="114"/>
      <c r="C13" s="17"/>
      <c r="D13" s="17"/>
      <c r="E13" s="17"/>
      <c r="F13" s="17"/>
      <c r="G13" s="17"/>
      <c r="H13" s="17"/>
      <c r="I13" s="17"/>
      <c r="J13" s="17"/>
      <c r="K13" s="17"/>
      <c r="L13" s="19"/>
      <c r="M13" s="17"/>
      <c r="N13" s="17"/>
      <c r="O13" s="17"/>
      <c r="P13" s="17"/>
      <c r="Q13" s="17"/>
      <c r="R13" s="17"/>
      <c r="S13" s="17"/>
      <c r="T13" s="17"/>
      <c r="U13" s="17"/>
      <c r="X13" s="16"/>
      <c r="Y13" s="114"/>
      <c r="Z13" s="17"/>
      <c r="AA13" s="17"/>
      <c r="AB13" s="17"/>
      <c r="AC13" s="17"/>
      <c r="AD13" s="17"/>
      <c r="AE13" s="17"/>
      <c r="AF13" s="17"/>
      <c r="AG13" s="17"/>
      <c r="AH13" s="17"/>
      <c r="AI13" s="19"/>
      <c r="AJ13" s="17"/>
      <c r="AK13" s="17"/>
      <c r="AL13" s="17"/>
      <c r="AM13" s="17"/>
      <c r="AN13" s="17"/>
      <c r="AO13" s="17"/>
      <c r="AP13" s="17"/>
      <c r="AQ13" s="17"/>
      <c r="AR13" s="17"/>
      <c r="AU13" s="16"/>
      <c r="AV13" s="114"/>
      <c r="AW13" s="17"/>
      <c r="AX13" s="17"/>
      <c r="AY13" s="17"/>
      <c r="AZ13" s="17"/>
      <c r="BA13" s="17"/>
      <c r="BB13" s="17"/>
      <c r="BC13" s="17"/>
      <c r="BD13" s="17"/>
      <c r="BE13" s="17"/>
      <c r="BF13" s="19"/>
      <c r="BG13" s="17"/>
      <c r="BH13" s="17"/>
      <c r="BI13" s="17"/>
      <c r="BJ13" s="17"/>
      <c r="BK13" s="17"/>
      <c r="BL13" s="17"/>
      <c r="BM13" s="17"/>
      <c r="BN13" s="17"/>
      <c r="BO13" s="17"/>
    </row>
    <row r="14" spans="1:67" ht="15" customHeight="1" x14ac:dyDescent="0.25">
      <c r="A14" s="16"/>
      <c r="B14" s="114"/>
      <c r="C14" s="17"/>
      <c r="D14" s="17"/>
      <c r="E14" s="17"/>
      <c r="F14" s="17"/>
      <c r="G14" s="17"/>
      <c r="H14" s="17"/>
      <c r="I14" s="17"/>
      <c r="J14" s="17"/>
      <c r="K14" s="17"/>
      <c r="L14" s="19"/>
      <c r="M14" s="17"/>
      <c r="N14" s="17"/>
      <c r="O14" s="17"/>
      <c r="P14" s="17"/>
      <c r="Q14" s="17"/>
      <c r="R14" s="17"/>
      <c r="S14" s="17"/>
      <c r="T14" s="17"/>
      <c r="U14" s="17"/>
      <c r="X14" s="16"/>
      <c r="Y14" s="114"/>
      <c r="Z14" s="17"/>
      <c r="AA14" s="17"/>
      <c r="AB14" s="17"/>
      <c r="AC14" s="17"/>
      <c r="AD14" s="17"/>
      <c r="AE14" s="17"/>
      <c r="AF14" s="17"/>
      <c r="AG14" s="17"/>
      <c r="AH14" s="17"/>
      <c r="AI14" s="19"/>
      <c r="AJ14" s="17"/>
      <c r="AK14" s="17"/>
      <c r="AL14" s="17"/>
      <c r="AM14" s="17"/>
      <c r="AN14" s="17"/>
      <c r="AO14" s="17"/>
      <c r="AP14" s="17"/>
      <c r="AQ14" s="17"/>
      <c r="AR14" s="17"/>
      <c r="AU14" s="16"/>
      <c r="AV14" s="114"/>
      <c r="AW14" s="17"/>
      <c r="AX14" s="17"/>
      <c r="AY14" s="17"/>
      <c r="AZ14" s="17"/>
      <c r="BA14" s="17"/>
      <c r="BB14" s="17"/>
      <c r="BC14" s="17"/>
      <c r="BD14" s="17"/>
      <c r="BE14" s="17"/>
      <c r="BF14" s="19"/>
      <c r="BG14" s="17"/>
      <c r="BH14" s="17"/>
      <c r="BI14" s="17"/>
      <c r="BJ14" s="17"/>
      <c r="BK14" s="17"/>
      <c r="BL14" s="17"/>
      <c r="BM14" s="17"/>
      <c r="BN14" s="17"/>
      <c r="BO14" s="17"/>
    </row>
    <row r="15" spans="1:67" ht="15" customHeight="1" x14ac:dyDescent="0.25">
      <c r="A15" s="16"/>
      <c r="B15" s="114"/>
      <c r="C15" s="17"/>
      <c r="D15" s="17"/>
      <c r="E15" s="17"/>
      <c r="F15" s="17"/>
      <c r="G15" s="17"/>
      <c r="H15" s="17"/>
      <c r="I15" s="17"/>
      <c r="J15" s="17"/>
      <c r="K15" s="17"/>
      <c r="L15" s="19"/>
      <c r="M15" s="17"/>
      <c r="N15" s="17"/>
      <c r="O15" s="17"/>
      <c r="P15" s="17"/>
      <c r="Q15" s="17"/>
      <c r="R15" s="17"/>
      <c r="S15" s="17"/>
      <c r="T15" s="17"/>
      <c r="U15" s="17"/>
      <c r="X15" s="16"/>
      <c r="Y15" s="114"/>
      <c r="Z15" s="17"/>
      <c r="AA15" s="17"/>
      <c r="AB15" s="17"/>
      <c r="AC15" s="17"/>
      <c r="AD15" s="17"/>
      <c r="AE15" s="17"/>
      <c r="AF15" s="17"/>
      <c r="AG15" s="17"/>
      <c r="AH15" s="17"/>
      <c r="AI15" s="19"/>
      <c r="AJ15" s="17"/>
      <c r="AK15" s="17"/>
      <c r="AL15" s="17"/>
      <c r="AM15" s="17"/>
      <c r="AN15" s="17"/>
      <c r="AO15" s="17"/>
      <c r="AP15" s="17"/>
      <c r="AQ15" s="17"/>
      <c r="AR15" s="17"/>
      <c r="AU15" s="16"/>
      <c r="AV15" s="114"/>
      <c r="AW15" s="17"/>
      <c r="AX15" s="17"/>
      <c r="AY15" s="17"/>
      <c r="AZ15" s="17"/>
      <c r="BA15" s="17"/>
      <c r="BB15" s="17"/>
      <c r="BC15" s="17"/>
      <c r="BD15" s="17"/>
      <c r="BE15" s="17"/>
      <c r="BF15" s="19"/>
      <c r="BG15" s="17"/>
      <c r="BH15" s="17"/>
      <c r="BI15" s="17"/>
      <c r="BJ15" s="17"/>
      <c r="BK15" s="17"/>
      <c r="BL15" s="17"/>
      <c r="BM15" s="17"/>
      <c r="BN15" s="17"/>
      <c r="BO15" s="17"/>
    </row>
    <row r="16" spans="1:67" ht="15" customHeight="1" x14ac:dyDescent="0.25">
      <c r="A16" s="16"/>
      <c r="B16" s="114"/>
      <c r="C16" s="17"/>
      <c r="D16" s="17"/>
      <c r="E16" s="17"/>
      <c r="F16" s="17"/>
      <c r="G16" s="17"/>
      <c r="H16" s="17"/>
      <c r="I16" s="17"/>
      <c r="J16" s="17"/>
      <c r="K16" s="17"/>
      <c r="L16" s="19"/>
      <c r="M16" s="17"/>
      <c r="N16" s="17"/>
      <c r="O16" s="17"/>
      <c r="P16" s="17"/>
      <c r="Q16" s="17"/>
      <c r="R16" s="17"/>
      <c r="S16" s="17"/>
      <c r="T16" s="17"/>
      <c r="U16" s="17"/>
      <c r="X16" s="16"/>
      <c r="Y16" s="114"/>
      <c r="Z16" s="17"/>
      <c r="AA16" s="17"/>
      <c r="AB16" s="17"/>
      <c r="AC16" s="17"/>
      <c r="AD16" s="17"/>
      <c r="AE16" s="17"/>
      <c r="AF16" s="17"/>
      <c r="AG16" s="17"/>
      <c r="AH16" s="17"/>
      <c r="AI16" s="19"/>
      <c r="AJ16" s="17"/>
      <c r="AK16" s="17"/>
      <c r="AL16" s="17"/>
      <c r="AM16" s="17"/>
      <c r="AN16" s="17"/>
      <c r="AO16" s="17"/>
      <c r="AP16" s="17"/>
      <c r="AQ16" s="17"/>
      <c r="AR16" s="17"/>
      <c r="AU16" s="16"/>
      <c r="AV16" s="114"/>
      <c r="AW16" s="17"/>
      <c r="AX16" s="17"/>
      <c r="AY16" s="17"/>
      <c r="AZ16" s="17"/>
      <c r="BA16" s="17"/>
      <c r="BB16" s="17"/>
      <c r="BC16" s="17"/>
      <c r="BD16" s="17"/>
      <c r="BE16" s="17"/>
      <c r="BF16" s="19"/>
      <c r="BG16" s="17"/>
      <c r="BH16" s="17"/>
      <c r="BI16" s="17"/>
      <c r="BJ16" s="17"/>
      <c r="BK16" s="17"/>
      <c r="BL16" s="17"/>
      <c r="BM16" s="17"/>
      <c r="BN16" s="17"/>
      <c r="BO16" s="17"/>
    </row>
    <row r="17" spans="1:67" ht="15" customHeight="1" x14ac:dyDescent="0.25">
      <c r="A17" s="16"/>
      <c r="B17" s="114"/>
      <c r="C17" s="17"/>
      <c r="D17" s="17"/>
      <c r="E17" s="17"/>
      <c r="F17" s="17"/>
      <c r="G17" s="17"/>
      <c r="H17" s="17"/>
      <c r="I17" s="17"/>
      <c r="J17" s="17"/>
      <c r="K17" s="17"/>
      <c r="L17" s="19"/>
      <c r="M17" s="17"/>
      <c r="N17" s="17"/>
      <c r="O17" s="17"/>
      <c r="P17" s="17"/>
      <c r="Q17" s="17"/>
      <c r="R17" s="17"/>
      <c r="S17" s="17"/>
      <c r="T17" s="17"/>
      <c r="U17" s="17"/>
      <c r="X17" s="16"/>
      <c r="Y17" s="114"/>
      <c r="Z17" s="17"/>
      <c r="AA17" s="17"/>
      <c r="AB17" s="17"/>
      <c r="AC17" s="17"/>
      <c r="AD17" s="17"/>
      <c r="AE17" s="17"/>
      <c r="AF17" s="17"/>
      <c r="AG17" s="17"/>
      <c r="AH17" s="17"/>
      <c r="AI17" s="19"/>
      <c r="AJ17" s="17"/>
      <c r="AK17" s="17"/>
      <c r="AL17" s="17"/>
      <c r="AM17" s="17"/>
      <c r="AN17" s="17"/>
      <c r="AO17" s="17"/>
      <c r="AP17" s="17"/>
      <c r="AQ17" s="17"/>
      <c r="AR17" s="17"/>
      <c r="AU17" s="16"/>
      <c r="AV17" s="114"/>
      <c r="AW17" s="17"/>
      <c r="AX17" s="17"/>
      <c r="AY17" s="17"/>
      <c r="AZ17" s="17"/>
      <c r="BA17" s="17"/>
      <c r="BB17" s="17"/>
      <c r="BC17" s="17"/>
      <c r="BD17" s="17"/>
      <c r="BE17" s="17"/>
      <c r="BF17" s="19"/>
      <c r="BG17" s="17"/>
      <c r="BH17" s="17"/>
      <c r="BI17" s="17"/>
      <c r="BJ17" s="17"/>
      <c r="BK17" s="17"/>
      <c r="BL17" s="17"/>
      <c r="BM17" s="17"/>
      <c r="BN17" s="17"/>
      <c r="BO17" s="17"/>
    </row>
    <row r="18" spans="1:67" ht="15" customHeight="1" x14ac:dyDescent="0.25">
      <c r="A18" s="16"/>
      <c r="B18" s="114"/>
      <c r="C18" s="17"/>
      <c r="D18" s="17"/>
      <c r="E18" s="17"/>
      <c r="F18" s="17"/>
      <c r="G18" s="17"/>
      <c r="H18" s="17"/>
      <c r="I18" s="17"/>
      <c r="J18" s="17"/>
      <c r="K18" s="17"/>
      <c r="L18" s="19"/>
      <c r="M18" s="17"/>
      <c r="N18" s="17"/>
      <c r="O18" s="17"/>
      <c r="P18" s="17"/>
      <c r="Q18" s="17"/>
      <c r="R18" s="17"/>
      <c r="S18" s="17"/>
      <c r="T18" s="17"/>
      <c r="U18" s="17"/>
      <c r="X18" s="16"/>
      <c r="Y18" s="114"/>
      <c r="Z18" s="17"/>
      <c r="AA18" s="17"/>
      <c r="AB18" s="17"/>
      <c r="AC18" s="17"/>
      <c r="AD18" s="17"/>
      <c r="AE18" s="17"/>
      <c r="AF18" s="17"/>
      <c r="AG18" s="17"/>
      <c r="AH18" s="17"/>
      <c r="AI18" s="19"/>
      <c r="AJ18" s="17"/>
      <c r="AK18" s="17"/>
      <c r="AL18" s="17"/>
      <c r="AM18" s="17"/>
      <c r="AN18" s="17"/>
      <c r="AO18" s="17"/>
      <c r="AP18" s="17"/>
      <c r="AQ18" s="17"/>
      <c r="AR18" s="17"/>
      <c r="AU18" s="16"/>
      <c r="AV18" s="114"/>
      <c r="AW18" s="17"/>
      <c r="AX18" s="17"/>
      <c r="AY18" s="17"/>
      <c r="AZ18" s="17"/>
      <c r="BA18" s="17"/>
      <c r="BB18" s="17"/>
      <c r="BC18" s="17"/>
      <c r="BD18" s="17"/>
      <c r="BE18" s="17"/>
      <c r="BF18" s="19"/>
      <c r="BG18" s="17"/>
      <c r="BH18" s="17"/>
      <c r="BI18" s="17"/>
      <c r="BJ18" s="17"/>
      <c r="BK18" s="17"/>
      <c r="BL18" s="17"/>
      <c r="BM18" s="17"/>
      <c r="BN18" s="17"/>
      <c r="BO18" s="17"/>
    </row>
    <row r="19" spans="1:67" ht="15" customHeight="1" x14ac:dyDescent="0.25">
      <c r="A19" s="16"/>
      <c r="B19" s="114"/>
      <c r="C19" s="17"/>
      <c r="D19" s="17"/>
      <c r="E19" s="17"/>
      <c r="F19" s="17"/>
      <c r="G19" s="17"/>
      <c r="H19" s="17"/>
      <c r="I19" s="17"/>
      <c r="J19" s="17"/>
      <c r="K19" s="17"/>
      <c r="L19" s="19"/>
      <c r="M19" s="17"/>
      <c r="N19" s="17"/>
      <c r="O19" s="17"/>
      <c r="P19" s="17"/>
      <c r="Q19" s="17"/>
      <c r="R19" s="17"/>
      <c r="S19" s="17"/>
      <c r="T19" s="17"/>
      <c r="U19" s="17"/>
      <c r="X19" s="16"/>
      <c r="Y19" s="114"/>
      <c r="Z19" s="17"/>
      <c r="AA19" s="17"/>
      <c r="AB19" s="17"/>
      <c r="AC19" s="17"/>
      <c r="AD19" s="17"/>
      <c r="AE19" s="17"/>
      <c r="AF19" s="17"/>
      <c r="AG19" s="17"/>
      <c r="AH19" s="17"/>
      <c r="AI19" s="19"/>
      <c r="AJ19" s="17"/>
      <c r="AK19" s="17"/>
      <c r="AL19" s="17"/>
      <c r="AM19" s="17"/>
      <c r="AN19" s="17"/>
      <c r="AO19" s="17"/>
      <c r="AP19" s="17"/>
      <c r="AQ19" s="17"/>
      <c r="AR19" s="17"/>
      <c r="AU19" s="16"/>
      <c r="AV19" s="114"/>
      <c r="AW19" s="17"/>
      <c r="AX19" s="17"/>
      <c r="AY19" s="17"/>
      <c r="AZ19" s="17"/>
      <c r="BA19" s="17"/>
      <c r="BB19" s="17"/>
      <c r="BC19" s="17"/>
      <c r="BD19" s="17"/>
      <c r="BE19" s="17"/>
      <c r="BF19" s="19"/>
      <c r="BG19" s="17"/>
      <c r="BH19" s="17"/>
      <c r="BI19" s="17"/>
      <c r="BJ19" s="17"/>
      <c r="BK19" s="17"/>
      <c r="BL19" s="17"/>
      <c r="BM19" s="17"/>
      <c r="BN19" s="17"/>
      <c r="BO19" s="17"/>
    </row>
    <row r="20" spans="1:67" ht="15" customHeight="1" x14ac:dyDescent="0.25">
      <c r="A20" s="16"/>
      <c r="B20" s="114"/>
      <c r="C20" s="17"/>
      <c r="D20" s="17"/>
      <c r="E20" s="17"/>
      <c r="F20" s="17"/>
      <c r="G20" s="17"/>
      <c r="H20" s="17"/>
      <c r="I20" s="17"/>
      <c r="J20" s="17"/>
      <c r="K20" s="17"/>
      <c r="L20" s="19"/>
      <c r="M20" s="17"/>
      <c r="N20" s="17"/>
      <c r="O20" s="17"/>
      <c r="P20" s="17"/>
      <c r="Q20" s="17"/>
      <c r="R20" s="17"/>
      <c r="S20" s="17"/>
      <c r="T20" s="17"/>
      <c r="U20" s="17"/>
      <c r="X20" s="16"/>
      <c r="Y20" s="114"/>
      <c r="Z20" s="17"/>
      <c r="AA20" s="17"/>
      <c r="AB20" s="17"/>
      <c r="AC20" s="17"/>
      <c r="AD20" s="17"/>
      <c r="AE20" s="17"/>
      <c r="AF20" s="17"/>
      <c r="AG20" s="17"/>
      <c r="AH20" s="17"/>
      <c r="AI20" s="19"/>
      <c r="AJ20" s="17"/>
      <c r="AK20" s="17"/>
      <c r="AL20" s="17"/>
      <c r="AM20" s="17"/>
      <c r="AN20" s="17"/>
      <c r="AO20" s="17"/>
      <c r="AP20" s="17"/>
      <c r="AQ20" s="17"/>
      <c r="AR20" s="17"/>
      <c r="AU20" s="16"/>
      <c r="AV20" s="114"/>
      <c r="AW20" s="17"/>
      <c r="AX20" s="17"/>
      <c r="AY20" s="17"/>
      <c r="AZ20" s="17"/>
      <c r="BA20" s="17"/>
      <c r="BB20" s="17"/>
      <c r="BC20" s="17"/>
      <c r="BD20" s="17"/>
      <c r="BE20" s="17"/>
      <c r="BF20" s="19"/>
      <c r="BG20" s="17"/>
      <c r="BH20" s="17"/>
      <c r="BI20" s="17"/>
      <c r="BJ20" s="17"/>
      <c r="BK20" s="17"/>
      <c r="BL20" s="17"/>
      <c r="BM20" s="17"/>
      <c r="BN20" s="17"/>
      <c r="BO20" s="17"/>
    </row>
    <row r="21" spans="1:67" ht="15" customHeight="1" x14ac:dyDescent="0.25">
      <c r="A21" s="16"/>
      <c r="B21" s="114"/>
      <c r="C21" s="17"/>
      <c r="D21" s="17"/>
      <c r="E21" s="17"/>
      <c r="F21" s="17"/>
      <c r="G21" s="17"/>
      <c r="H21" s="17"/>
      <c r="I21" s="17"/>
      <c r="J21" s="17"/>
      <c r="K21" s="17"/>
      <c r="L21" s="19"/>
      <c r="M21" s="17"/>
      <c r="N21" s="17"/>
      <c r="O21" s="17"/>
      <c r="P21" s="17"/>
      <c r="Q21" s="17"/>
      <c r="R21" s="17"/>
      <c r="S21" s="17"/>
      <c r="T21" s="17"/>
      <c r="U21" s="17"/>
      <c r="X21" s="16"/>
      <c r="Y21" s="114"/>
      <c r="Z21" s="17"/>
      <c r="AA21" s="17"/>
      <c r="AB21" s="17"/>
      <c r="AC21" s="17"/>
      <c r="AD21" s="17"/>
      <c r="AE21" s="17"/>
      <c r="AF21" s="17"/>
      <c r="AG21" s="17"/>
      <c r="AH21" s="17"/>
      <c r="AI21" s="19"/>
      <c r="AJ21" s="17"/>
      <c r="AK21" s="17"/>
      <c r="AL21" s="17"/>
      <c r="AM21" s="17"/>
      <c r="AN21" s="17"/>
      <c r="AO21" s="17"/>
      <c r="AP21" s="17"/>
      <c r="AQ21" s="17"/>
      <c r="AR21" s="17"/>
      <c r="AU21" s="16"/>
      <c r="AV21" s="114"/>
      <c r="AW21" s="17"/>
      <c r="AX21" s="17"/>
      <c r="AY21" s="17"/>
      <c r="AZ21" s="17"/>
      <c r="BA21" s="17"/>
      <c r="BB21" s="17"/>
      <c r="BC21" s="17"/>
      <c r="BD21" s="17"/>
      <c r="BE21" s="17"/>
      <c r="BF21" s="19"/>
      <c r="BG21" s="17"/>
      <c r="BH21" s="17"/>
      <c r="BI21" s="17"/>
      <c r="BJ21" s="17"/>
      <c r="BK21" s="17"/>
      <c r="BL21" s="17"/>
      <c r="BM21" s="17"/>
      <c r="BN21" s="17"/>
      <c r="BO21" s="17"/>
    </row>
    <row r="22" spans="1:67" ht="15" customHeight="1" x14ac:dyDescent="0.25">
      <c r="A22" s="16"/>
      <c r="B22" s="114"/>
      <c r="C22" s="17"/>
      <c r="D22" s="17"/>
      <c r="E22" s="17"/>
      <c r="F22" s="17"/>
      <c r="G22" s="17"/>
      <c r="H22" s="17"/>
      <c r="I22" s="17"/>
      <c r="J22" s="17"/>
      <c r="K22" s="17"/>
      <c r="L22" s="19"/>
      <c r="M22" s="17"/>
      <c r="N22" s="17"/>
      <c r="O22" s="17"/>
      <c r="P22" s="17"/>
      <c r="Q22" s="17"/>
      <c r="R22" s="17"/>
      <c r="S22" s="17"/>
      <c r="T22" s="17"/>
      <c r="U22" s="17"/>
      <c r="X22" s="16"/>
      <c r="Y22" s="114"/>
      <c r="Z22" s="17"/>
      <c r="AA22" s="17"/>
      <c r="AB22" s="17"/>
      <c r="AC22" s="17"/>
      <c r="AD22" s="17"/>
      <c r="AE22" s="17"/>
      <c r="AF22" s="17"/>
      <c r="AG22" s="17"/>
      <c r="AH22" s="17"/>
      <c r="AI22" s="19"/>
      <c r="AJ22" s="17"/>
      <c r="AK22" s="17"/>
      <c r="AL22" s="17"/>
      <c r="AM22" s="17"/>
      <c r="AN22" s="17"/>
      <c r="AO22" s="17"/>
      <c r="AP22" s="17"/>
      <c r="AQ22" s="17"/>
      <c r="AR22" s="17"/>
      <c r="AU22" s="16"/>
      <c r="AV22" s="114"/>
      <c r="AW22" s="17"/>
      <c r="AX22" s="17"/>
      <c r="AY22" s="17"/>
      <c r="AZ22" s="17"/>
      <c r="BA22" s="17"/>
      <c r="BB22" s="17"/>
      <c r="BC22" s="17"/>
      <c r="BD22" s="17"/>
      <c r="BE22" s="17"/>
      <c r="BF22" s="19"/>
      <c r="BG22" s="17"/>
      <c r="BH22" s="17"/>
      <c r="BI22" s="17"/>
      <c r="BJ22" s="17"/>
      <c r="BK22" s="17"/>
      <c r="BL22" s="17"/>
      <c r="BM22" s="17"/>
      <c r="BN22" s="17"/>
      <c r="BO22" s="17"/>
    </row>
    <row r="23" spans="1:67" ht="15" customHeight="1" x14ac:dyDescent="0.25">
      <c r="A23" s="16"/>
      <c r="B23" s="114"/>
      <c r="C23" s="17"/>
      <c r="D23" s="17"/>
      <c r="E23" s="17"/>
      <c r="F23" s="17"/>
      <c r="G23" s="17"/>
      <c r="H23" s="17"/>
      <c r="I23" s="17"/>
      <c r="J23" s="17"/>
      <c r="K23" s="17"/>
      <c r="L23" s="19"/>
      <c r="M23" s="17"/>
      <c r="N23" s="17"/>
      <c r="O23" s="17"/>
      <c r="P23" s="17"/>
      <c r="Q23" s="17"/>
      <c r="R23" s="17"/>
      <c r="S23" s="17"/>
      <c r="T23" s="17"/>
      <c r="U23" s="17"/>
      <c r="X23" s="16"/>
      <c r="Y23" s="114"/>
      <c r="Z23" s="17"/>
      <c r="AA23" s="17"/>
      <c r="AB23" s="17"/>
      <c r="AC23" s="17"/>
      <c r="AD23" s="17"/>
      <c r="AE23" s="17"/>
      <c r="AF23" s="17"/>
      <c r="AG23" s="17"/>
      <c r="AH23" s="17"/>
      <c r="AI23" s="19"/>
      <c r="AJ23" s="17"/>
      <c r="AK23" s="17"/>
      <c r="AL23" s="17"/>
      <c r="AM23" s="17"/>
      <c r="AN23" s="17"/>
      <c r="AO23" s="17"/>
      <c r="AP23" s="17"/>
      <c r="AQ23" s="17"/>
      <c r="AR23" s="17"/>
      <c r="AU23" s="16"/>
      <c r="AV23" s="114"/>
      <c r="AW23" s="17"/>
      <c r="AX23" s="17"/>
      <c r="AY23" s="17"/>
      <c r="AZ23" s="17"/>
      <c r="BA23" s="17"/>
      <c r="BB23" s="17"/>
      <c r="BC23" s="17"/>
      <c r="BD23" s="17"/>
      <c r="BE23" s="17"/>
      <c r="BF23" s="19"/>
      <c r="BG23" s="17"/>
      <c r="BH23" s="17"/>
      <c r="BI23" s="17"/>
      <c r="BJ23" s="17"/>
      <c r="BK23" s="17"/>
      <c r="BL23" s="17"/>
      <c r="BM23" s="17"/>
      <c r="BN23" s="17"/>
      <c r="BO23" s="17"/>
    </row>
    <row r="24" spans="1:67" ht="15" customHeight="1" x14ac:dyDescent="0.25">
      <c r="A24" s="16"/>
      <c r="B24" s="114"/>
      <c r="C24" s="17"/>
      <c r="D24" s="17"/>
      <c r="E24" s="17"/>
      <c r="F24" s="17"/>
      <c r="G24" s="17"/>
      <c r="H24" s="17"/>
      <c r="I24" s="17"/>
      <c r="J24" s="17"/>
      <c r="K24" s="17"/>
      <c r="L24" s="19"/>
      <c r="M24" s="17"/>
      <c r="N24" s="17"/>
      <c r="O24" s="17"/>
      <c r="P24" s="17"/>
      <c r="Q24" s="17"/>
      <c r="R24" s="17"/>
      <c r="S24" s="17"/>
      <c r="T24" s="17"/>
      <c r="U24" s="17"/>
      <c r="X24" s="16"/>
      <c r="Y24" s="114"/>
      <c r="Z24" s="17"/>
      <c r="AA24" s="17"/>
      <c r="AB24" s="17"/>
      <c r="AC24" s="17"/>
      <c r="AD24" s="17"/>
      <c r="AE24" s="17"/>
      <c r="AF24" s="17"/>
      <c r="AG24" s="17"/>
      <c r="AH24" s="17"/>
      <c r="AI24" s="19"/>
      <c r="AJ24" s="17"/>
      <c r="AK24" s="17"/>
      <c r="AL24" s="17"/>
      <c r="AM24" s="17"/>
      <c r="AN24" s="17"/>
      <c r="AO24" s="17"/>
      <c r="AP24" s="17"/>
      <c r="AQ24" s="17"/>
      <c r="AR24" s="17"/>
      <c r="AU24" s="16"/>
      <c r="AV24" s="114"/>
      <c r="AW24" s="17"/>
      <c r="AX24" s="17"/>
      <c r="AY24" s="17"/>
      <c r="AZ24" s="17"/>
      <c r="BA24" s="17"/>
      <c r="BB24" s="17"/>
      <c r="BC24" s="17"/>
      <c r="BD24" s="17"/>
      <c r="BE24" s="17"/>
      <c r="BF24" s="19"/>
      <c r="BG24" s="17"/>
      <c r="BH24" s="17"/>
      <c r="BI24" s="17"/>
      <c r="BJ24" s="17"/>
      <c r="BK24" s="17"/>
      <c r="BL24" s="17"/>
      <c r="BM24" s="17"/>
      <c r="BN24" s="17"/>
      <c r="BO24" s="17"/>
    </row>
    <row r="25" spans="1:67" ht="15" customHeight="1" x14ac:dyDescent="0.25">
      <c r="A25" s="16"/>
      <c r="B25" s="6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X25" s="16"/>
      <c r="Y25" s="63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U25" s="16"/>
      <c r="AV25" s="63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</row>
    <row r="26" spans="1:67" ht="15" customHeight="1" x14ac:dyDescent="0.25">
      <c r="A26" s="16"/>
      <c r="B26" s="6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X26" s="16"/>
      <c r="Y26" s="63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U26" s="16"/>
      <c r="AV26" s="63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</row>
    <row r="27" spans="1:67" ht="15" customHeight="1" x14ac:dyDescent="0.25">
      <c r="A27" s="16"/>
      <c r="B27" s="63"/>
      <c r="C27" s="17"/>
      <c r="D27" s="17"/>
      <c r="E27" s="17"/>
      <c r="F27" s="17"/>
      <c r="G27" s="17"/>
      <c r="H27" s="17"/>
      <c r="I27" s="17"/>
      <c r="J27" s="17"/>
      <c r="K27" s="17"/>
      <c r="L27" s="19"/>
      <c r="M27" s="17"/>
      <c r="N27" s="17"/>
      <c r="O27" s="17"/>
      <c r="P27" s="17"/>
      <c r="Q27" s="17"/>
      <c r="R27" s="17"/>
      <c r="S27" s="17"/>
      <c r="T27" s="17"/>
      <c r="U27" s="17"/>
      <c r="X27" s="16"/>
      <c r="Y27" s="63"/>
      <c r="Z27" s="17"/>
      <c r="AA27" s="17"/>
      <c r="AB27" s="17"/>
      <c r="AC27" s="17"/>
      <c r="AD27" s="17"/>
      <c r="AE27" s="17"/>
      <c r="AF27" s="17"/>
      <c r="AG27" s="17"/>
      <c r="AH27" s="17"/>
      <c r="AI27" s="19"/>
      <c r="AJ27" s="17"/>
      <c r="AK27" s="17"/>
      <c r="AL27" s="17"/>
      <c r="AM27" s="17"/>
      <c r="AN27" s="17"/>
      <c r="AO27" s="17"/>
      <c r="AP27" s="17"/>
      <c r="AQ27" s="17"/>
      <c r="AR27" s="17"/>
      <c r="AU27" s="16"/>
      <c r="AV27" s="63"/>
      <c r="AW27" s="17"/>
      <c r="AX27" s="17"/>
      <c r="AY27" s="17"/>
      <c r="AZ27" s="17"/>
      <c r="BA27" s="17"/>
      <c r="BB27" s="17"/>
      <c r="BC27" s="17"/>
      <c r="BD27" s="17"/>
      <c r="BE27" s="17"/>
      <c r="BF27" s="19"/>
      <c r="BG27" s="17"/>
      <c r="BH27" s="17"/>
      <c r="BI27" s="17"/>
      <c r="BJ27" s="17"/>
      <c r="BK27" s="17"/>
      <c r="BL27" s="17"/>
      <c r="BM27" s="17"/>
      <c r="BN27" s="17"/>
      <c r="BO27" s="17"/>
    </row>
    <row r="28" spans="1:67" ht="15" customHeight="1" x14ac:dyDescent="0.25">
      <c r="A28" s="16"/>
      <c r="B28" s="63"/>
      <c r="C28" s="17"/>
      <c r="D28" s="17"/>
      <c r="E28" s="17"/>
      <c r="F28" s="17"/>
      <c r="G28" s="17"/>
      <c r="H28" s="17"/>
      <c r="I28" s="17"/>
      <c r="J28" s="17"/>
      <c r="K28" s="17"/>
      <c r="L28" s="19"/>
      <c r="M28" s="17"/>
      <c r="N28" s="17"/>
      <c r="O28" s="17"/>
      <c r="P28" s="17"/>
      <c r="Q28" s="17"/>
      <c r="R28" s="17"/>
      <c r="S28" s="17"/>
      <c r="T28" s="17"/>
      <c r="U28" s="17"/>
      <c r="X28" s="16"/>
      <c r="Y28" s="63"/>
      <c r="Z28" s="17"/>
      <c r="AA28" s="17"/>
      <c r="AB28" s="17"/>
      <c r="AC28" s="17"/>
      <c r="AD28" s="17"/>
      <c r="AE28" s="17"/>
      <c r="AF28" s="17"/>
      <c r="AG28" s="17"/>
      <c r="AH28" s="17"/>
      <c r="AI28" s="19"/>
      <c r="AJ28" s="17"/>
      <c r="AK28" s="17"/>
      <c r="AL28" s="17"/>
      <c r="AM28" s="17"/>
      <c r="AN28" s="17"/>
      <c r="AO28" s="17"/>
      <c r="AP28" s="17"/>
      <c r="AQ28" s="17"/>
      <c r="AR28" s="17"/>
      <c r="AU28" s="16"/>
      <c r="AV28" s="63"/>
      <c r="AW28" s="17"/>
      <c r="AX28" s="17"/>
      <c r="AY28" s="17"/>
      <c r="AZ28" s="17"/>
      <c r="BA28" s="17"/>
      <c r="BB28" s="17"/>
      <c r="BC28" s="17"/>
      <c r="BD28" s="17"/>
      <c r="BE28" s="17"/>
      <c r="BF28" s="19"/>
      <c r="BG28" s="17"/>
      <c r="BH28" s="17"/>
      <c r="BI28" s="17"/>
      <c r="BJ28" s="17"/>
      <c r="BK28" s="17"/>
      <c r="BL28" s="17"/>
      <c r="BM28" s="17"/>
      <c r="BN28" s="17"/>
      <c r="BO28" s="17"/>
    </row>
    <row r="29" spans="1:67" ht="15" customHeight="1" x14ac:dyDescent="0.25">
      <c r="A29" s="16"/>
      <c r="B29" s="114" t="str">
        <f>'R1'!B1</f>
        <v>Eastern Cape</v>
      </c>
      <c r="C29" s="17"/>
      <c r="D29" s="17"/>
      <c r="E29" s="17"/>
      <c r="F29" s="17"/>
      <c r="G29" s="17"/>
      <c r="H29" s="17"/>
      <c r="I29" s="17"/>
      <c r="J29" s="17"/>
      <c r="K29" s="17"/>
      <c r="L29" s="115"/>
      <c r="M29" s="17"/>
      <c r="N29" s="17"/>
      <c r="O29" s="17"/>
      <c r="P29" s="17"/>
      <c r="Q29" s="17"/>
      <c r="R29" s="17"/>
      <c r="S29" s="17"/>
      <c r="T29" s="17"/>
      <c r="U29" s="17"/>
      <c r="X29" s="16"/>
      <c r="Y29" s="114" t="str">
        <f>'R4'!B1</f>
        <v>KwaZulu-Natal</v>
      </c>
      <c r="Z29" s="17"/>
      <c r="AA29" s="17"/>
      <c r="AB29" s="17"/>
      <c r="AC29" s="17"/>
      <c r="AD29" s="17"/>
      <c r="AE29" s="17"/>
      <c r="AF29" s="17"/>
      <c r="AG29" s="17"/>
      <c r="AH29" s="17"/>
      <c r="AI29" s="115"/>
      <c r="AJ29" s="17"/>
      <c r="AK29" s="17"/>
      <c r="AL29" s="17"/>
      <c r="AM29" s="17"/>
      <c r="AN29" s="17"/>
      <c r="AO29" s="17"/>
      <c r="AP29" s="17"/>
      <c r="AQ29" s="17"/>
      <c r="AR29" s="17"/>
      <c r="AU29" s="16"/>
      <c r="AV29" s="114" t="str">
        <f>'R7'!B1</f>
        <v>Mpumalanga</v>
      </c>
      <c r="AW29" s="17"/>
      <c r="AX29" s="17"/>
      <c r="AY29" s="17"/>
      <c r="AZ29" s="17"/>
      <c r="BA29" s="17"/>
      <c r="BB29" s="17"/>
      <c r="BC29" s="17"/>
      <c r="BD29" s="17"/>
      <c r="BE29" s="17"/>
      <c r="BF29" s="115"/>
      <c r="BG29" s="17"/>
      <c r="BH29" s="17"/>
      <c r="BI29" s="17"/>
      <c r="BJ29" s="17"/>
      <c r="BK29" s="17"/>
      <c r="BL29" s="17"/>
      <c r="BM29" s="17"/>
      <c r="BN29" s="17"/>
      <c r="BO29" s="17"/>
    </row>
    <row r="30" spans="1:67" ht="15" customHeight="1" x14ac:dyDescent="0.25">
      <c r="A30" s="16"/>
      <c r="B30" s="114"/>
      <c r="C30" s="17"/>
      <c r="D30" s="17"/>
      <c r="E30" s="17"/>
      <c r="F30" s="17"/>
      <c r="G30" s="17"/>
      <c r="H30" s="17"/>
      <c r="I30" s="17"/>
      <c r="J30" s="17"/>
      <c r="K30" s="17"/>
      <c r="L30" s="116"/>
      <c r="M30" s="17"/>
      <c r="N30" s="17"/>
      <c r="O30" s="17"/>
      <c r="P30" s="17"/>
      <c r="Q30" s="17"/>
      <c r="R30" s="17"/>
      <c r="S30" s="17"/>
      <c r="T30" s="17"/>
      <c r="U30" s="17"/>
      <c r="X30" s="16"/>
      <c r="Y30" s="114"/>
      <c r="Z30" s="17"/>
      <c r="AA30" s="17"/>
      <c r="AB30" s="17"/>
      <c r="AC30" s="17"/>
      <c r="AD30" s="17"/>
      <c r="AE30" s="17"/>
      <c r="AF30" s="17"/>
      <c r="AG30" s="17"/>
      <c r="AH30" s="17"/>
      <c r="AI30" s="116"/>
      <c r="AJ30" s="17"/>
      <c r="AK30" s="17"/>
      <c r="AL30" s="17"/>
      <c r="AM30" s="17"/>
      <c r="AN30" s="17"/>
      <c r="AO30" s="17"/>
      <c r="AP30" s="17"/>
      <c r="AQ30" s="17"/>
      <c r="AR30" s="17"/>
      <c r="AU30" s="16"/>
      <c r="AV30" s="114"/>
      <c r="AW30" s="17"/>
      <c r="AX30" s="17"/>
      <c r="AY30" s="17"/>
      <c r="AZ30" s="17"/>
      <c r="BA30" s="17"/>
      <c r="BB30" s="17"/>
      <c r="BC30" s="17"/>
      <c r="BD30" s="17"/>
      <c r="BE30" s="17"/>
      <c r="BF30" s="116"/>
      <c r="BG30" s="17"/>
      <c r="BH30" s="17"/>
      <c r="BI30" s="17"/>
      <c r="BJ30" s="17"/>
      <c r="BK30" s="17"/>
      <c r="BL30" s="17"/>
      <c r="BM30" s="17"/>
      <c r="BN30" s="17"/>
      <c r="BO30" s="17"/>
    </row>
    <row r="31" spans="1:67" ht="15" customHeight="1" x14ac:dyDescent="0.25">
      <c r="A31" s="16"/>
      <c r="B31" s="114"/>
      <c r="C31" s="17"/>
      <c r="D31" s="17"/>
      <c r="E31" s="17"/>
      <c r="F31" s="17"/>
      <c r="G31" s="17"/>
      <c r="H31" s="17"/>
      <c r="I31" s="17"/>
      <c r="J31" s="17"/>
      <c r="K31" s="17"/>
      <c r="L31" s="116"/>
      <c r="M31" s="17"/>
      <c r="N31" s="17"/>
      <c r="O31" s="17"/>
      <c r="P31" s="17"/>
      <c r="Q31" s="17"/>
      <c r="R31" s="17"/>
      <c r="S31" s="17"/>
      <c r="T31" s="17"/>
      <c r="U31" s="17"/>
      <c r="X31" s="16"/>
      <c r="Y31" s="114"/>
      <c r="Z31" s="17"/>
      <c r="AA31" s="17"/>
      <c r="AB31" s="17"/>
      <c r="AC31" s="17"/>
      <c r="AD31" s="17"/>
      <c r="AE31" s="17"/>
      <c r="AF31" s="17"/>
      <c r="AG31" s="17"/>
      <c r="AH31" s="17"/>
      <c r="AI31" s="116"/>
      <c r="AJ31" s="17"/>
      <c r="AK31" s="17"/>
      <c r="AL31" s="17"/>
      <c r="AM31" s="17"/>
      <c r="AN31" s="17"/>
      <c r="AO31" s="17"/>
      <c r="AP31" s="17"/>
      <c r="AQ31" s="17"/>
      <c r="AR31" s="17"/>
      <c r="AU31" s="16"/>
      <c r="AV31" s="114"/>
      <c r="AW31" s="17"/>
      <c r="AX31" s="17"/>
      <c r="AY31" s="17"/>
      <c r="AZ31" s="17"/>
      <c r="BA31" s="17"/>
      <c r="BB31" s="17"/>
      <c r="BC31" s="17"/>
      <c r="BD31" s="17"/>
      <c r="BE31" s="17"/>
      <c r="BF31" s="116"/>
      <c r="BG31" s="17"/>
      <c r="BH31" s="17"/>
      <c r="BI31" s="17"/>
      <c r="BJ31" s="17"/>
      <c r="BK31" s="17"/>
      <c r="BL31" s="17"/>
      <c r="BM31" s="17"/>
      <c r="BN31" s="17"/>
      <c r="BO31" s="17"/>
    </row>
    <row r="32" spans="1:67" ht="15" customHeight="1" x14ac:dyDescent="0.25">
      <c r="A32" s="16"/>
      <c r="B32" s="114"/>
      <c r="C32" s="17"/>
      <c r="D32" s="17"/>
      <c r="E32" s="17"/>
      <c r="F32" s="17"/>
      <c r="G32" s="17"/>
      <c r="H32" s="17"/>
      <c r="I32" s="17"/>
      <c r="J32" s="17"/>
      <c r="K32" s="17"/>
      <c r="L32" s="116"/>
      <c r="M32" s="17"/>
      <c r="N32" s="17"/>
      <c r="O32" s="17"/>
      <c r="P32" s="17"/>
      <c r="Q32" s="17"/>
      <c r="R32" s="17"/>
      <c r="S32" s="17"/>
      <c r="T32" s="17"/>
      <c r="U32" s="17"/>
      <c r="X32" s="16"/>
      <c r="Y32" s="114"/>
      <c r="Z32" s="17"/>
      <c r="AA32" s="17"/>
      <c r="AB32" s="17"/>
      <c r="AC32" s="17"/>
      <c r="AD32" s="17"/>
      <c r="AE32" s="17"/>
      <c r="AF32" s="17"/>
      <c r="AG32" s="17"/>
      <c r="AH32" s="17"/>
      <c r="AI32" s="116"/>
      <c r="AJ32" s="17"/>
      <c r="AK32" s="17"/>
      <c r="AL32" s="17"/>
      <c r="AM32" s="17"/>
      <c r="AN32" s="17"/>
      <c r="AO32" s="17"/>
      <c r="AP32" s="17"/>
      <c r="AQ32" s="17"/>
      <c r="AR32" s="17"/>
      <c r="AU32" s="16"/>
      <c r="AV32" s="114"/>
      <c r="AW32" s="17"/>
      <c r="AX32" s="17"/>
      <c r="AY32" s="17"/>
      <c r="AZ32" s="17"/>
      <c r="BA32" s="17"/>
      <c r="BB32" s="17"/>
      <c r="BC32" s="17"/>
      <c r="BD32" s="17"/>
      <c r="BE32" s="17"/>
      <c r="BF32" s="116"/>
      <c r="BG32" s="17"/>
      <c r="BH32" s="17"/>
      <c r="BI32" s="17"/>
      <c r="BJ32" s="17"/>
      <c r="BK32" s="17"/>
      <c r="BL32" s="17"/>
      <c r="BM32" s="17"/>
      <c r="BN32" s="17"/>
      <c r="BO32" s="17"/>
    </row>
    <row r="33" spans="1:67" ht="15" customHeight="1" x14ac:dyDescent="0.25">
      <c r="A33" s="16"/>
      <c r="B33" s="114"/>
      <c r="C33" s="17"/>
      <c r="D33" s="17"/>
      <c r="E33" s="17"/>
      <c r="F33" s="17"/>
      <c r="G33" s="17"/>
      <c r="H33" s="17"/>
      <c r="I33" s="17"/>
      <c r="J33" s="17"/>
      <c r="K33" s="17"/>
      <c r="L33" s="116"/>
      <c r="M33" s="17"/>
      <c r="N33" s="17"/>
      <c r="O33" s="17"/>
      <c r="P33" s="17"/>
      <c r="Q33" s="17"/>
      <c r="R33" s="17"/>
      <c r="S33" s="17"/>
      <c r="T33" s="17"/>
      <c r="U33" s="17"/>
      <c r="X33" s="16"/>
      <c r="Y33" s="114"/>
      <c r="Z33" s="17"/>
      <c r="AA33" s="17"/>
      <c r="AB33" s="17"/>
      <c r="AC33" s="17"/>
      <c r="AD33" s="17"/>
      <c r="AE33" s="17"/>
      <c r="AF33" s="17"/>
      <c r="AG33" s="17"/>
      <c r="AH33" s="17"/>
      <c r="AI33" s="116"/>
      <c r="AJ33" s="17"/>
      <c r="AK33" s="17"/>
      <c r="AL33" s="17"/>
      <c r="AM33" s="17"/>
      <c r="AN33" s="17"/>
      <c r="AO33" s="17"/>
      <c r="AP33" s="17"/>
      <c r="AQ33" s="17"/>
      <c r="AR33" s="17"/>
      <c r="AU33" s="16"/>
      <c r="AV33" s="114"/>
      <c r="AW33" s="17"/>
      <c r="AX33" s="17"/>
      <c r="AY33" s="17"/>
      <c r="AZ33" s="17"/>
      <c r="BA33" s="17"/>
      <c r="BB33" s="17"/>
      <c r="BC33" s="17"/>
      <c r="BD33" s="17"/>
      <c r="BE33" s="17"/>
      <c r="BF33" s="116"/>
      <c r="BG33" s="17"/>
      <c r="BH33" s="17"/>
      <c r="BI33" s="17"/>
      <c r="BJ33" s="17"/>
      <c r="BK33" s="17"/>
      <c r="BL33" s="17"/>
      <c r="BM33" s="17"/>
      <c r="BN33" s="17"/>
      <c r="BO33" s="17"/>
    </row>
    <row r="34" spans="1:67" ht="15" customHeight="1" x14ac:dyDescent="0.25">
      <c r="A34" s="16"/>
      <c r="B34" s="114"/>
      <c r="C34" s="17"/>
      <c r="D34" s="17"/>
      <c r="E34" s="17"/>
      <c r="F34" s="17"/>
      <c r="G34" s="17"/>
      <c r="H34" s="17"/>
      <c r="I34" s="17"/>
      <c r="J34" s="17"/>
      <c r="K34" s="17"/>
      <c r="L34" s="116"/>
      <c r="M34" s="17"/>
      <c r="N34" s="17"/>
      <c r="O34" s="17"/>
      <c r="P34" s="17"/>
      <c r="Q34" s="17"/>
      <c r="R34" s="17"/>
      <c r="S34" s="17"/>
      <c r="T34" s="17"/>
      <c r="U34" s="17"/>
      <c r="X34" s="16"/>
      <c r="Y34" s="114"/>
      <c r="Z34" s="17"/>
      <c r="AA34" s="17"/>
      <c r="AB34" s="17"/>
      <c r="AC34" s="17"/>
      <c r="AD34" s="17"/>
      <c r="AE34" s="17"/>
      <c r="AF34" s="17"/>
      <c r="AG34" s="17"/>
      <c r="AH34" s="17"/>
      <c r="AI34" s="116"/>
      <c r="AJ34" s="17"/>
      <c r="AK34" s="17"/>
      <c r="AL34" s="17"/>
      <c r="AM34" s="17"/>
      <c r="AN34" s="17"/>
      <c r="AO34" s="17"/>
      <c r="AP34" s="17"/>
      <c r="AQ34" s="17"/>
      <c r="AR34" s="17"/>
      <c r="AU34" s="16"/>
      <c r="AV34" s="114"/>
      <c r="AW34" s="17"/>
      <c r="AX34" s="17"/>
      <c r="AY34" s="17"/>
      <c r="AZ34" s="17"/>
      <c r="BA34" s="17"/>
      <c r="BB34" s="17"/>
      <c r="BC34" s="17"/>
      <c r="BD34" s="17"/>
      <c r="BE34" s="17"/>
      <c r="BF34" s="116"/>
      <c r="BG34" s="17"/>
      <c r="BH34" s="17"/>
      <c r="BI34" s="17"/>
      <c r="BJ34" s="17"/>
      <c r="BK34" s="17"/>
      <c r="BL34" s="17"/>
      <c r="BM34" s="17"/>
      <c r="BN34" s="17"/>
      <c r="BO34" s="17"/>
    </row>
    <row r="35" spans="1:67" ht="15" customHeight="1" x14ac:dyDescent="0.25">
      <c r="A35" s="16"/>
      <c r="B35" s="114"/>
      <c r="C35" s="17"/>
      <c r="D35" s="17"/>
      <c r="E35" s="17"/>
      <c r="F35" s="17"/>
      <c r="G35" s="17"/>
      <c r="H35" s="17"/>
      <c r="I35" s="17"/>
      <c r="J35" s="17"/>
      <c r="K35" s="17"/>
      <c r="L35" s="116"/>
      <c r="M35" s="17"/>
      <c r="N35" s="17"/>
      <c r="O35" s="17"/>
      <c r="P35" s="17"/>
      <c r="Q35" s="17"/>
      <c r="R35" s="17"/>
      <c r="S35" s="17"/>
      <c r="T35" s="17"/>
      <c r="U35" s="17"/>
      <c r="X35" s="16"/>
      <c r="Y35" s="114"/>
      <c r="Z35" s="17"/>
      <c r="AA35" s="17"/>
      <c r="AB35" s="17"/>
      <c r="AC35" s="17"/>
      <c r="AD35" s="17"/>
      <c r="AE35" s="17"/>
      <c r="AF35" s="17"/>
      <c r="AG35" s="17"/>
      <c r="AH35" s="17"/>
      <c r="AI35" s="116"/>
      <c r="AJ35" s="17"/>
      <c r="AK35" s="17"/>
      <c r="AL35" s="17"/>
      <c r="AM35" s="17"/>
      <c r="AN35" s="17"/>
      <c r="AO35" s="17"/>
      <c r="AP35" s="17"/>
      <c r="AQ35" s="17"/>
      <c r="AR35" s="17"/>
      <c r="AU35" s="16"/>
      <c r="AV35" s="114"/>
      <c r="AW35" s="17"/>
      <c r="AX35" s="17"/>
      <c r="AY35" s="17"/>
      <c r="AZ35" s="17"/>
      <c r="BA35" s="17"/>
      <c r="BB35" s="17"/>
      <c r="BC35" s="17"/>
      <c r="BD35" s="17"/>
      <c r="BE35" s="17"/>
      <c r="BF35" s="116"/>
      <c r="BG35" s="17"/>
      <c r="BH35" s="17"/>
      <c r="BI35" s="17"/>
      <c r="BJ35" s="17"/>
      <c r="BK35" s="17"/>
      <c r="BL35" s="17"/>
      <c r="BM35" s="17"/>
      <c r="BN35" s="17"/>
      <c r="BO35" s="17"/>
    </row>
    <row r="36" spans="1:67" ht="15" customHeight="1" x14ac:dyDescent="0.25">
      <c r="A36" s="16"/>
      <c r="B36" s="114"/>
      <c r="C36" s="17"/>
      <c r="D36" s="17"/>
      <c r="E36" s="17"/>
      <c r="F36" s="17"/>
      <c r="G36" s="17"/>
      <c r="H36" s="17"/>
      <c r="I36" s="17"/>
      <c r="J36" s="17"/>
      <c r="K36" s="17"/>
      <c r="L36" s="116"/>
      <c r="M36" s="17"/>
      <c r="N36" s="17"/>
      <c r="O36" s="17"/>
      <c r="P36" s="17"/>
      <c r="Q36" s="17"/>
      <c r="R36" s="17"/>
      <c r="S36" s="17"/>
      <c r="T36" s="17"/>
      <c r="U36" s="17"/>
      <c r="X36" s="16"/>
      <c r="Y36" s="114"/>
      <c r="Z36" s="17"/>
      <c r="AA36" s="17"/>
      <c r="AB36" s="17"/>
      <c r="AC36" s="17"/>
      <c r="AD36" s="17"/>
      <c r="AE36" s="17"/>
      <c r="AF36" s="17"/>
      <c r="AG36" s="17"/>
      <c r="AH36" s="17"/>
      <c r="AI36" s="116"/>
      <c r="AJ36" s="17"/>
      <c r="AK36" s="17"/>
      <c r="AL36" s="17"/>
      <c r="AM36" s="17"/>
      <c r="AN36" s="17"/>
      <c r="AO36" s="17"/>
      <c r="AP36" s="17"/>
      <c r="AQ36" s="17"/>
      <c r="AR36" s="17"/>
      <c r="AU36" s="16"/>
      <c r="AV36" s="114"/>
      <c r="AW36" s="17"/>
      <c r="AX36" s="17"/>
      <c r="AY36" s="17"/>
      <c r="AZ36" s="17"/>
      <c r="BA36" s="17"/>
      <c r="BB36" s="17"/>
      <c r="BC36" s="17"/>
      <c r="BD36" s="17"/>
      <c r="BE36" s="17"/>
      <c r="BF36" s="116"/>
      <c r="BG36" s="17"/>
      <c r="BH36" s="17"/>
      <c r="BI36" s="17"/>
      <c r="BJ36" s="17"/>
      <c r="BK36" s="17"/>
      <c r="BL36" s="17"/>
      <c r="BM36" s="17"/>
      <c r="BN36" s="17"/>
      <c r="BO36" s="17"/>
    </row>
    <row r="37" spans="1:67" ht="15" customHeight="1" x14ac:dyDescent="0.25">
      <c r="A37" s="16"/>
      <c r="B37" s="114"/>
      <c r="C37" s="17"/>
      <c r="D37" s="17"/>
      <c r="E37" s="17"/>
      <c r="F37" s="17"/>
      <c r="G37" s="17"/>
      <c r="H37" s="17"/>
      <c r="I37" s="17"/>
      <c r="J37" s="17"/>
      <c r="K37" s="17"/>
      <c r="L37" s="116"/>
      <c r="M37" s="17"/>
      <c r="N37" s="17"/>
      <c r="O37" s="17"/>
      <c r="P37" s="17"/>
      <c r="Q37" s="17"/>
      <c r="R37" s="17"/>
      <c r="S37" s="17"/>
      <c r="T37" s="17"/>
      <c r="U37" s="17"/>
      <c r="X37" s="16"/>
      <c r="Y37" s="114"/>
      <c r="Z37" s="17"/>
      <c r="AA37" s="17"/>
      <c r="AB37" s="17"/>
      <c r="AC37" s="17"/>
      <c r="AD37" s="17"/>
      <c r="AE37" s="17"/>
      <c r="AF37" s="17"/>
      <c r="AG37" s="17"/>
      <c r="AH37" s="17"/>
      <c r="AI37" s="116"/>
      <c r="AJ37" s="17"/>
      <c r="AK37" s="17"/>
      <c r="AL37" s="17"/>
      <c r="AM37" s="17"/>
      <c r="AN37" s="17"/>
      <c r="AO37" s="17"/>
      <c r="AP37" s="17"/>
      <c r="AQ37" s="17"/>
      <c r="AR37" s="17"/>
      <c r="AU37" s="16"/>
      <c r="AV37" s="114"/>
      <c r="AW37" s="17"/>
      <c r="AX37" s="17"/>
      <c r="AY37" s="17"/>
      <c r="AZ37" s="17"/>
      <c r="BA37" s="17"/>
      <c r="BB37" s="17"/>
      <c r="BC37" s="17"/>
      <c r="BD37" s="17"/>
      <c r="BE37" s="17"/>
      <c r="BF37" s="116"/>
      <c r="BG37" s="17"/>
      <c r="BH37" s="17"/>
      <c r="BI37" s="17"/>
      <c r="BJ37" s="17"/>
      <c r="BK37" s="17"/>
      <c r="BL37" s="17"/>
      <c r="BM37" s="17"/>
      <c r="BN37" s="17"/>
      <c r="BO37" s="17"/>
    </row>
    <row r="38" spans="1:67" ht="15" customHeight="1" x14ac:dyDescent="0.25">
      <c r="A38" s="16"/>
      <c r="B38" s="114"/>
      <c r="C38" s="17"/>
      <c r="D38" s="17"/>
      <c r="E38" s="17"/>
      <c r="F38" s="17"/>
      <c r="G38" s="17"/>
      <c r="H38" s="17"/>
      <c r="I38" s="17"/>
      <c r="J38" s="17"/>
      <c r="K38" s="17"/>
      <c r="L38" s="116"/>
      <c r="M38" s="17"/>
      <c r="N38" s="17"/>
      <c r="O38" s="17"/>
      <c r="P38" s="17"/>
      <c r="Q38" s="17"/>
      <c r="R38" s="17"/>
      <c r="S38" s="17"/>
      <c r="T38" s="17"/>
      <c r="U38" s="17"/>
      <c r="X38" s="16"/>
      <c r="Y38" s="114"/>
      <c r="Z38" s="17"/>
      <c r="AA38" s="17"/>
      <c r="AB38" s="17"/>
      <c r="AC38" s="17"/>
      <c r="AD38" s="17"/>
      <c r="AE38" s="17"/>
      <c r="AF38" s="17"/>
      <c r="AG38" s="17"/>
      <c r="AH38" s="17"/>
      <c r="AI38" s="116"/>
      <c r="AJ38" s="17"/>
      <c r="AK38" s="17"/>
      <c r="AL38" s="17"/>
      <c r="AM38" s="17"/>
      <c r="AN38" s="17"/>
      <c r="AO38" s="17"/>
      <c r="AP38" s="17"/>
      <c r="AQ38" s="17"/>
      <c r="AR38" s="17"/>
      <c r="AU38" s="16"/>
      <c r="AV38" s="114"/>
      <c r="AW38" s="17"/>
      <c r="AX38" s="17"/>
      <c r="AY38" s="17"/>
      <c r="AZ38" s="17"/>
      <c r="BA38" s="17"/>
      <c r="BB38" s="17"/>
      <c r="BC38" s="17"/>
      <c r="BD38" s="17"/>
      <c r="BE38" s="17"/>
      <c r="BF38" s="116"/>
      <c r="BG38" s="17"/>
      <c r="BH38" s="17"/>
      <c r="BI38" s="17"/>
      <c r="BJ38" s="17"/>
      <c r="BK38" s="17"/>
      <c r="BL38" s="17"/>
      <c r="BM38" s="17"/>
      <c r="BN38" s="17"/>
      <c r="BO38" s="17"/>
    </row>
    <row r="39" spans="1:67" ht="15" customHeight="1" x14ac:dyDescent="0.25">
      <c r="A39" s="16"/>
      <c r="B39" s="114"/>
      <c r="C39" s="17"/>
      <c r="D39" s="17"/>
      <c r="E39" s="17"/>
      <c r="F39" s="17"/>
      <c r="G39" s="17"/>
      <c r="H39" s="17"/>
      <c r="I39" s="17"/>
      <c r="J39" s="17"/>
      <c r="K39" s="17"/>
      <c r="L39" s="116"/>
      <c r="M39" s="17"/>
      <c r="N39" s="17"/>
      <c r="O39" s="17"/>
      <c r="P39" s="17"/>
      <c r="Q39" s="17"/>
      <c r="R39" s="17"/>
      <c r="S39" s="17"/>
      <c r="T39" s="17"/>
      <c r="U39" s="17"/>
      <c r="X39" s="16"/>
      <c r="Y39" s="114"/>
      <c r="Z39" s="17"/>
      <c r="AA39" s="17"/>
      <c r="AB39" s="17"/>
      <c r="AC39" s="17"/>
      <c r="AD39" s="17"/>
      <c r="AE39" s="17"/>
      <c r="AF39" s="17"/>
      <c r="AG39" s="17"/>
      <c r="AH39" s="17"/>
      <c r="AI39" s="116"/>
      <c r="AJ39" s="17"/>
      <c r="AK39" s="17"/>
      <c r="AL39" s="17"/>
      <c r="AM39" s="17"/>
      <c r="AN39" s="17"/>
      <c r="AO39" s="17"/>
      <c r="AP39" s="17"/>
      <c r="AQ39" s="17"/>
      <c r="AR39" s="17"/>
      <c r="AU39" s="16"/>
      <c r="AV39" s="114"/>
      <c r="AW39" s="17"/>
      <c r="AX39" s="17"/>
      <c r="AY39" s="17"/>
      <c r="AZ39" s="17"/>
      <c r="BA39" s="17"/>
      <c r="BB39" s="17"/>
      <c r="BC39" s="17"/>
      <c r="BD39" s="17"/>
      <c r="BE39" s="17"/>
      <c r="BF39" s="116"/>
      <c r="BG39" s="17"/>
      <c r="BH39" s="17"/>
      <c r="BI39" s="17"/>
      <c r="BJ39" s="17"/>
      <c r="BK39" s="17"/>
      <c r="BL39" s="17"/>
      <c r="BM39" s="17"/>
      <c r="BN39" s="17"/>
      <c r="BO39" s="17"/>
    </row>
    <row r="40" spans="1:67" ht="15" customHeight="1" x14ac:dyDescent="0.25">
      <c r="A40" s="16"/>
      <c r="B40" s="114"/>
      <c r="C40" s="17"/>
      <c r="D40" s="17"/>
      <c r="E40" s="17"/>
      <c r="F40" s="17"/>
      <c r="G40" s="17"/>
      <c r="H40" s="17"/>
      <c r="I40" s="17"/>
      <c r="J40" s="17"/>
      <c r="K40" s="17"/>
      <c r="L40" s="116"/>
      <c r="M40" s="17"/>
      <c r="N40" s="17"/>
      <c r="O40" s="17"/>
      <c r="P40" s="17"/>
      <c r="Q40" s="17"/>
      <c r="R40" s="17"/>
      <c r="S40" s="17"/>
      <c r="T40" s="17"/>
      <c r="U40" s="17"/>
      <c r="X40" s="16"/>
      <c r="Y40" s="114"/>
      <c r="Z40" s="17"/>
      <c r="AA40" s="17"/>
      <c r="AB40" s="17"/>
      <c r="AC40" s="17"/>
      <c r="AD40" s="17"/>
      <c r="AE40" s="17"/>
      <c r="AF40" s="17"/>
      <c r="AG40" s="17"/>
      <c r="AH40" s="17"/>
      <c r="AI40" s="116"/>
      <c r="AJ40" s="17"/>
      <c r="AK40" s="17"/>
      <c r="AL40" s="17"/>
      <c r="AM40" s="17"/>
      <c r="AN40" s="17"/>
      <c r="AO40" s="17"/>
      <c r="AP40" s="17"/>
      <c r="AQ40" s="17"/>
      <c r="AR40" s="17"/>
      <c r="AU40" s="16"/>
      <c r="AV40" s="114"/>
      <c r="AW40" s="17"/>
      <c r="AX40" s="17"/>
      <c r="AY40" s="17"/>
      <c r="AZ40" s="17"/>
      <c r="BA40" s="17"/>
      <c r="BB40" s="17"/>
      <c r="BC40" s="17"/>
      <c r="BD40" s="17"/>
      <c r="BE40" s="17"/>
      <c r="BF40" s="116"/>
      <c r="BG40" s="17"/>
      <c r="BH40" s="17"/>
      <c r="BI40" s="17"/>
      <c r="BJ40" s="17"/>
      <c r="BK40" s="17"/>
      <c r="BL40" s="17"/>
      <c r="BM40" s="17"/>
      <c r="BN40" s="17"/>
      <c r="BO40" s="17"/>
    </row>
    <row r="41" spans="1:67" ht="15" customHeight="1" x14ac:dyDescent="0.25">
      <c r="A41" s="16"/>
      <c r="B41" s="114"/>
      <c r="C41" s="17"/>
      <c r="D41" s="17"/>
      <c r="E41" s="17"/>
      <c r="F41" s="17"/>
      <c r="G41" s="17"/>
      <c r="H41" s="17"/>
      <c r="I41" s="17"/>
      <c r="J41" s="17"/>
      <c r="K41" s="17"/>
      <c r="L41" s="116"/>
      <c r="M41" s="17"/>
      <c r="N41" s="17"/>
      <c r="O41" s="17"/>
      <c r="P41" s="17"/>
      <c r="Q41" s="17"/>
      <c r="R41" s="17"/>
      <c r="S41" s="17"/>
      <c r="T41" s="17"/>
      <c r="U41" s="17"/>
      <c r="X41" s="16"/>
      <c r="Y41" s="114"/>
      <c r="Z41" s="17"/>
      <c r="AA41" s="17"/>
      <c r="AB41" s="17"/>
      <c r="AC41" s="17"/>
      <c r="AD41" s="17"/>
      <c r="AE41" s="17"/>
      <c r="AF41" s="17"/>
      <c r="AG41" s="17"/>
      <c r="AH41" s="17"/>
      <c r="AI41" s="116"/>
      <c r="AJ41" s="17"/>
      <c r="AK41" s="17"/>
      <c r="AL41" s="17"/>
      <c r="AM41" s="17"/>
      <c r="AN41" s="17"/>
      <c r="AO41" s="17"/>
      <c r="AP41" s="17"/>
      <c r="AQ41" s="17"/>
      <c r="AR41" s="17"/>
      <c r="AU41" s="16"/>
      <c r="AV41" s="114"/>
      <c r="AW41" s="17"/>
      <c r="AX41" s="17"/>
      <c r="AY41" s="17"/>
      <c r="AZ41" s="17"/>
      <c r="BA41" s="17"/>
      <c r="BB41" s="17"/>
      <c r="BC41" s="17"/>
      <c r="BD41" s="17"/>
      <c r="BE41" s="17"/>
      <c r="BF41" s="116"/>
      <c r="BG41" s="17"/>
      <c r="BH41" s="17"/>
      <c r="BI41" s="17"/>
      <c r="BJ41" s="17"/>
      <c r="BK41" s="17"/>
      <c r="BL41" s="17"/>
      <c r="BM41" s="17"/>
      <c r="BN41" s="17"/>
      <c r="BO41" s="17"/>
    </row>
    <row r="42" spans="1:67" ht="15" customHeight="1" x14ac:dyDescent="0.25">
      <c r="A42" s="16"/>
      <c r="B42" s="114"/>
      <c r="C42" s="17"/>
      <c r="D42" s="17"/>
      <c r="E42" s="17"/>
      <c r="F42" s="17"/>
      <c r="G42" s="17"/>
      <c r="H42" s="17"/>
      <c r="I42" s="17"/>
      <c r="J42" s="17"/>
      <c r="K42" s="17"/>
      <c r="L42" s="116"/>
      <c r="M42" s="17"/>
      <c r="N42" s="17"/>
      <c r="O42" s="17"/>
      <c r="P42" s="17"/>
      <c r="Q42" s="17"/>
      <c r="R42" s="17"/>
      <c r="S42" s="17"/>
      <c r="T42" s="17"/>
      <c r="U42" s="17"/>
      <c r="X42" s="16"/>
      <c r="Y42" s="114"/>
      <c r="Z42" s="17"/>
      <c r="AA42" s="17"/>
      <c r="AB42" s="17"/>
      <c r="AC42" s="17"/>
      <c r="AD42" s="17"/>
      <c r="AE42" s="17"/>
      <c r="AF42" s="17"/>
      <c r="AG42" s="17"/>
      <c r="AH42" s="17"/>
      <c r="AI42" s="116"/>
      <c r="AJ42" s="17"/>
      <c r="AK42" s="17"/>
      <c r="AL42" s="17"/>
      <c r="AM42" s="17"/>
      <c r="AN42" s="17"/>
      <c r="AO42" s="17"/>
      <c r="AP42" s="17"/>
      <c r="AQ42" s="17"/>
      <c r="AR42" s="17"/>
      <c r="AU42" s="16"/>
      <c r="AV42" s="114"/>
      <c r="AW42" s="17"/>
      <c r="AX42" s="17"/>
      <c r="AY42" s="17"/>
      <c r="AZ42" s="17"/>
      <c r="BA42" s="17"/>
      <c r="BB42" s="17"/>
      <c r="BC42" s="17"/>
      <c r="BD42" s="17"/>
      <c r="BE42" s="17"/>
      <c r="BF42" s="116"/>
      <c r="BG42" s="17"/>
      <c r="BH42" s="17"/>
      <c r="BI42" s="17"/>
      <c r="BJ42" s="17"/>
      <c r="BK42" s="17"/>
      <c r="BL42" s="17"/>
      <c r="BM42" s="17"/>
      <c r="BN42" s="17"/>
      <c r="BO42" s="17"/>
    </row>
    <row r="43" spans="1:67" ht="15" customHeight="1" x14ac:dyDescent="0.25">
      <c r="A43" s="16"/>
      <c r="B43" s="114"/>
      <c r="C43" s="17"/>
      <c r="D43" s="17"/>
      <c r="E43" s="17"/>
      <c r="F43" s="17"/>
      <c r="G43" s="17"/>
      <c r="H43" s="17"/>
      <c r="I43" s="17"/>
      <c r="J43" s="17"/>
      <c r="K43" s="17"/>
      <c r="L43" s="116"/>
      <c r="M43" s="17"/>
      <c r="N43" s="17"/>
      <c r="O43" s="17"/>
      <c r="P43" s="17"/>
      <c r="Q43" s="17"/>
      <c r="R43" s="17"/>
      <c r="S43" s="17"/>
      <c r="T43" s="17"/>
      <c r="U43" s="17"/>
      <c r="X43" s="16"/>
      <c r="Y43" s="114"/>
      <c r="Z43" s="17"/>
      <c r="AA43" s="17"/>
      <c r="AB43" s="17"/>
      <c r="AC43" s="17"/>
      <c r="AD43" s="17"/>
      <c r="AE43" s="17"/>
      <c r="AF43" s="17"/>
      <c r="AG43" s="17"/>
      <c r="AH43" s="17"/>
      <c r="AI43" s="116"/>
      <c r="AJ43" s="17"/>
      <c r="AK43" s="17"/>
      <c r="AL43" s="17"/>
      <c r="AM43" s="17"/>
      <c r="AN43" s="17"/>
      <c r="AO43" s="17"/>
      <c r="AP43" s="17"/>
      <c r="AQ43" s="17"/>
      <c r="AR43" s="17"/>
      <c r="AU43" s="16"/>
      <c r="AV43" s="114"/>
      <c r="AW43" s="17"/>
      <c r="AX43" s="17"/>
      <c r="AY43" s="17"/>
      <c r="AZ43" s="17"/>
      <c r="BA43" s="17"/>
      <c r="BB43" s="17"/>
      <c r="BC43" s="17"/>
      <c r="BD43" s="17"/>
      <c r="BE43" s="17"/>
      <c r="BF43" s="116"/>
      <c r="BG43" s="17"/>
      <c r="BH43" s="17"/>
      <c r="BI43" s="17"/>
      <c r="BJ43" s="17"/>
      <c r="BK43" s="17"/>
      <c r="BL43" s="17"/>
      <c r="BM43" s="17"/>
      <c r="BN43" s="17"/>
      <c r="BO43" s="17"/>
    </row>
    <row r="44" spans="1:67" ht="15" customHeight="1" x14ac:dyDescent="0.25">
      <c r="A44" s="16"/>
      <c r="B44" s="114"/>
      <c r="C44" s="17"/>
      <c r="D44" s="17"/>
      <c r="E44" s="17"/>
      <c r="F44" s="17"/>
      <c r="G44" s="17"/>
      <c r="H44" s="17"/>
      <c r="I44" s="17"/>
      <c r="J44" s="17"/>
      <c r="K44" s="17"/>
      <c r="L44" s="116"/>
      <c r="M44" s="17"/>
      <c r="N44" s="17"/>
      <c r="O44" s="17"/>
      <c r="P44" s="17"/>
      <c r="Q44" s="17"/>
      <c r="R44" s="17"/>
      <c r="S44" s="17"/>
      <c r="T44" s="17"/>
      <c r="U44" s="17"/>
      <c r="X44" s="16"/>
      <c r="Y44" s="114"/>
      <c r="Z44" s="17"/>
      <c r="AA44" s="17"/>
      <c r="AB44" s="17"/>
      <c r="AC44" s="17"/>
      <c r="AD44" s="17"/>
      <c r="AE44" s="17"/>
      <c r="AF44" s="17"/>
      <c r="AG44" s="17"/>
      <c r="AH44" s="17"/>
      <c r="AI44" s="116"/>
      <c r="AJ44" s="17"/>
      <c r="AK44" s="17"/>
      <c r="AL44" s="17"/>
      <c r="AM44" s="17"/>
      <c r="AN44" s="17"/>
      <c r="AO44" s="17"/>
      <c r="AP44" s="17"/>
      <c r="AQ44" s="17"/>
      <c r="AR44" s="17"/>
      <c r="AU44" s="16"/>
      <c r="AV44" s="114"/>
      <c r="AW44" s="17"/>
      <c r="AX44" s="17"/>
      <c r="AY44" s="17"/>
      <c r="AZ44" s="17"/>
      <c r="BA44" s="17"/>
      <c r="BB44" s="17"/>
      <c r="BC44" s="17"/>
      <c r="BD44" s="17"/>
      <c r="BE44" s="17"/>
      <c r="BF44" s="116"/>
      <c r="BG44" s="17"/>
      <c r="BH44" s="17"/>
      <c r="BI44" s="17"/>
      <c r="BJ44" s="17"/>
      <c r="BK44" s="17"/>
      <c r="BL44" s="17"/>
      <c r="BM44" s="17"/>
      <c r="BN44" s="17"/>
      <c r="BO44" s="17"/>
    </row>
    <row r="45" spans="1:67" ht="15" customHeight="1" x14ac:dyDescent="0.25">
      <c r="A45" s="16"/>
      <c r="B45" s="114"/>
      <c r="C45" s="17"/>
      <c r="D45" s="17"/>
      <c r="E45" s="17"/>
      <c r="F45" s="17"/>
      <c r="G45" s="17"/>
      <c r="H45" s="17"/>
      <c r="I45" s="17"/>
      <c r="J45" s="17"/>
      <c r="K45" s="17"/>
      <c r="L45" s="116"/>
      <c r="M45" s="17"/>
      <c r="N45" s="17"/>
      <c r="O45" s="17"/>
      <c r="P45" s="17"/>
      <c r="Q45" s="17"/>
      <c r="R45" s="17"/>
      <c r="S45" s="17"/>
      <c r="T45" s="17"/>
      <c r="U45" s="17"/>
      <c r="X45" s="16"/>
      <c r="Y45" s="114"/>
      <c r="Z45" s="17"/>
      <c r="AA45" s="17"/>
      <c r="AB45" s="17"/>
      <c r="AC45" s="17"/>
      <c r="AD45" s="17"/>
      <c r="AE45" s="17"/>
      <c r="AF45" s="17"/>
      <c r="AG45" s="17"/>
      <c r="AH45" s="17"/>
      <c r="AI45" s="116"/>
      <c r="AJ45" s="17"/>
      <c r="AK45" s="17"/>
      <c r="AL45" s="17"/>
      <c r="AM45" s="17"/>
      <c r="AN45" s="17"/>
      <c r="AO45" s="17"/>
      <c r="AP45" s="17"/>
      <c r="AQ45" s="17"/>
      <c r="AR45" s="17"/>
      <c r="AU45" s="16"/>
      <c r="AV45" s="114"/>
      <c r="AW45" s="17"/>
      <c r="AX45" s="17"/>
      <c r="AY45" s="17"/>
      <c r="AZ45" s="17"/>
      <c r="BA45" s="17"/>
      <c r="BB45" s="17"/>
      <c r="BC45" s="17"/>
      <c r="BD45" s="17"/>
      <c r="BE45" s="17"/>
      <c r="BF45" s="116"/>
      <c r="BG45" s="17"/>
      <c r="BH45" s="17"/>
      <c r="BI45" s="17"/>
      <c r="BJ45" s="17"/>
      <c r="BK45" s="17"/>
      <c r="BL45" s="17"/>
      <c r="BM45" s="17"/>
      <c r="BN45" s="17"/>
      <c r="BO45" s="17"/>
    </row>
    <row r="46" spans="1:67" ht="15" customHeight="1" x14ac:dyDescent="0.25">
      <c r="A46" s="16"/>
      <c r="B46" s="6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X46" s="16"/>
      <c r="Y46" s="63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U46" s="16"/>
      <c r="AV46" s="63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</row>
    <row r="47" spans="1:67" ht="15" customHeight="1" x14ac:dyDescent="0.25">
      <c r="A47" s="16"/>
      <c r="B47" s="6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X47" s="16"/>
      <c r="Y47" s="63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U47" s="16"/>
      <c r="AV47" s="63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</row>
    <row r="48" spans="1:67" ht="15" customHeight="1" x14ac:dyDescent="0.5">
      <c r="A48" s="16"/>
      <c r="B48" s="62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7"/>
      <c r="X48" s="16"/>
      <c r="Y48" s="62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7"/>
      <c r="AU48" s="16"/>
      <c r="AV48" s="62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7"/>
    </row>
    <row r="49" spans="1:67" ht="15" customHeight="1" x14ac:dyDescent="0.5">
      <c r="A49" s="16"/>
      <c r="B49" s="62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7"/>
      <c r="X49" s="16"/>
      <c r="Y49" s="62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7"/>
      <c r="AU49" s="16"/>
      <c r="AV49" s="62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7"/>
    </row>
    <row r="50" spans="1:67" ht="15" customHeight="1" x14ac:dyDescent="0.25">
      <c r="A50" s="16"/>
      <c r="B50" s="114" t="str">
        <f>'R2'!B1</f>
        <v>Northern Cape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7"/>
      <c r="X50" s="16"/>
      <c r="Y50" s="114" t="str">
        <f>'R5'!B1</f>
        <v>North West</v>
      </c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7"/>
      <c r="AU50" s="16"/>
      <c r="AV50" s="114" t="str">
        <f>'R8'!B1</f>
        <v>Limpopo</v>
      </c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7"/>
    </row>
    <row r="51" spans="1:67" ht="15" customHeight="1" x14ac:dyDescent="0.25">
      <c r="A51" s="16"/>
      <c r="B51" s="114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7"/>
      <c r="X51" s="16"/>
      <c r="Y51" s="114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7"/>
      <c r="AU51" s="16"/>
      <c r="AV51" s="114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7"/>
    </row>
    <row r="52" spans="1:67" ht="15" customHeight="1" x14ac:dyDescent="0.25">
      <c r="A52" s="16"/>
      <c r="B52" s="114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7"/>
      <c r="X52" s="16"/>
      <c r="Y52" s="114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7"/>
      <c r="AU52" s="16"/>
      <c r="AV52" s="114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7"/>
    </row>
    <row r="53" spans="1:67" ht="15" customHeight="1" x14ac:dyDescent="0.25">
      <c r="A53" s="16"/>
      <c r="B53" s="114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7"/>
      <c r="X53" s="16"/>
      <c r="Y53" s="114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7"/>
      <c r="AU53" s="16"/>
      <c r="AV53" s="114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7"/>
    </row>
    <row r="54" spans="1:67" ht="15" customHeight="1" x14ac:dyDescent="0.25">
      <c r="A54" s="16"/>
      <c r="B54" s="114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7"/>
      <c r="X54" s="16"/>
      <c r="Y54" s="114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7"/>
      <c r="AU54" s="16"/>
      <c r="AV54" s="114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7"/>
    </row>
    <row r="55" spans="1:67" ht="15" customHeight="1" x14ac:dyDescent="0.25">
      <c r="A55" s="16"/>
      <c r="B55" s="114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7"/>
      <c r="X55" s="16"/>
      <c r="Y55" s="114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7"/>
      <c r="AU55" s="16"/>
      <c r="AV55" s="114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7"/>
    </row>
    <row r="56" spans="1:67" ht="15" customHeight="1" x14ac:dyDescent="0.25">
      <c r="A56" s="16"/>
      <c r="B56" s="114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7"/>
      <c r="X56" s="16"/>
      <c r="Y56" s="114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7"/>
      <c r="AU56" s="16"/>
      <c r="AV56" s="114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7"/>
    </row>
    <row r="57" spans="1:67" ht="15" customHeight="1" x14ac:dyDescent="0.25">
      <c r="A57" s="16"/>
      <c r="B57" s="114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7"/>
      <c r="X57" s="16"/>
      <c r="Y57" s="114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7"/>
      <c r="AU57" s="16"/>
      <c r="AV57" s="114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7"/>
    </row>
    <row r="58" spans="1:67" ht="15" customHeight="1" x14ac:dyDescent="0.25">
      <c r="A58" s="16"/>
      <c r="B58" s="114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7"/>
      <c r="X58" s="16"/>
      <c r="Y58" s="114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7"/>
      <c r="AU58" s="16"/>
      <c r="AV58" s="114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7"/>
    </row>
    <row r="59" spans="1:67" ht="15" customHeight="1" x14ac:dyDescent="0.25">
      <c r="A59" s="16"/>
      <c r="B59" s="114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7"/>
      <c r="X59" s="16"/>
      <c r="Y59" s="114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7"/>
      <c r="AU59" s="16"/>
      <c r="AV59" s="114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7"/>
    </row>
    <row r="60" spans="1:67" ht="15" customHeight="1" x14ac:dyDescent="0.25">
      <c r="A60" s="16"/>
      <c r="B60" s="114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7"/>
      <c r="X60" s="16"/>
      <c r="Y60" s="114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7"/>
      <c r="AU60" s="16"/>
      <c r="AV60" s="114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7"/>
    </row>
    <row r="61" spans="1:67" ht="15" customHeight="1" x14ac:dyDescent="0.25">
      <c r="A61" s="16"/>
      <c r="B61" s="114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7"/>
      <c r="X61" s="16"/>
      <c r="Y61" s="114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7"/>
      <c r="AU61" s="16"/>
      <c r="AV61" s="114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7"/>
    </row>
    <row r="62" spans="1:67" ht="15" customHeight="1" x14ac:dyDescent="0.25">
      <c r="A62" s="16"/>
      <c r="B62" s="114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7"/>
      <c r="X62" s="16"/>
      <c r="Y62" s="114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7"/>
      <c r="AU62" s="16"/>
      <c r="AV62" s="114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7"/>
    </row>
    <row r="63" spans="1:67" ht="15" customHeight="1" x14ac:dyDescent="0.25">
      <c r="A63" s="16"/>
      <c r="B63" s="114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7"/>
      <c r="X63" s="16"/>
      <c r="Y63" s="114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7"/>
      <c r="AU63" s="16"/>
      <c r="AV63" s="114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7"/>
    </row>
    <row r="64" spans="1:67" ht="15" customHeight="1" x14ac:dyDescent="0.25">
      <c r="A64" s="16"/>
      <c r="B64" s="114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7"/>
      <c r="X64" s="16"/>
      <c r="Y64" s="114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7"/>
      <c r="AU64" s="16"/>
      <c r="AV64" s="114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7"/>
    </row>
    <row r="65" spans="1:67" ht="15" customHeight="1" x14ac:dyDescent="0.25">
      <c r="A65" s="16"/>
      <c r="B65" s="114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7"/>
      <c r="X65" s="16"/>
      <c r="Y65" s="114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7"/>
      <c r="AU65" s="16"/>
      <c r="AV65" s="114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7"/>
    </row>
    <row r="66" spans="1:67" ht="15" customHeight="1" x14ac:dyDescent="0.25">
      <c r="A66" s="16"/>
      <c r="B66" s="114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7"/>
      <c r="X66" s="16"/>
      <c r="Y66" s="114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7"/>
      <c r="AU66" s="16"/>
      <c r="AV66" s="114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7"/>
    </row>
    <row r="67" spans="1:67" ht="15" customHeight="1" x14ac:dyDescent="0.25">
      <c r="A67" s="16"/>
      <c r="B67" s="16"/>
      <c r="U67" s="17"/>
      <c r="X67" s="16"/>
      <c r="Y67" s="16"/>
      <c r="AR67" s="17"/>
      <c r="AU67" s="16"/>
      <c r="AV67" s="16"/>
      <c r="BO67" s="17"/>
    </row>
    <row r="68" spans="1:67" ht="15" customHeight="1" x14ac:dyDescent="0.25">
      <c r="A68" s="16"/>
      <c r="B68" s="16"/>
      <c r="U68" s="17"/>
      <c r="X68" s="16"/>
      <c r="Y68" s="16"/>
      <c r="AR68" s="17"/>
      <c r="AU68" s="16"/>
      <c r="AV68" s="16"/>
      <c r="BO68" s="17"/>
    </row>
    <row r="69" spans="1:67" ht="15" customHeight="1" x14ac:dyDescent="0.25">
      <c r="A69" s="16"/>
      <c r="B69" s="16"/>
      <c r="U69" s="17"/>
      <c r="X69" s="16"/>
      <c r="Y69" s="16"/>
      <c r="AR69" s="17"/>
      <c r="AU69" s="16"/>
      <c r="AV69" s="16"/>
      <c r="BO69" s="17"/>
    </row>
    <row r="70" spans="1:67" ht="15" customHeight="1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6"/>
      <c r="W70" s="16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6"/>
      <c r="AT70" s="16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</row>
    <row r="71" spans="1:67" ht="15" customHeight="1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</row>
    <row r="72" spans="1:67" ht="15" customHeight="1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</row>
    <row r="73" spans="1:67" ht="15" customHeight="1" x14ac:dyDescent="0.25"/>
  </sheetData>
  <mergeCells count="24">
    <mergeCell ref="BF29:BF45"/>
    <mergeCell ref="B50:B66"/>
    <mergeCell ref="Y50:Y66"/>
    <mergeCell ref="AV50:AV66"/>
    <mergeCell ref="B8:B24"/>
    <mergeCell ref="Y8:Y24"/>
    <mergeCell ref="AV8:AV24"/>
    <mergeCell ref="B29:B45"/>
    <mergeCell ref="L29:L45"/>
    <mergeCell ref="Y29:Y45"/>
    <mergeCell ref="AI29:AI45"/>
    <mergeCell ref="AV29:AV45"/>
    <mergeCell ref="BG4:BN5"/>
    <mergeCell ref="D2:K3"/>
    <mergeCell ref="M2:T3"/>
    <mergeCell ref="AA2:AH3"/>
    <mergeCell ref="AJ2:AQ3"/>
    <mergeCell ref="AX2:BE3"/>
    <mergeCell ref="BG2:BN3"/>
    <mergeCell ref="D4:K5"/>
    <mergeCell ref="M4:T5"/>
    <mergeCell ref="AA4:AH5"/>
    <mergeCell ref="AJ4:AQ5"/>
    <mergeCell ref="AX4:BE5"/>
  </mergeCells>
  <printOptions horizontalCentered="1" verticalCentered="1"/>
  <pageMargins left="0" right="0" top="0" bottom="0" header="0" footer="0"/>
  <pageSetup scale="17" orientation="portrait" horizontalDpi="4294967292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W107"/>
  <sheetViews>
    <sheetView zoomScale="70" zoomScaleNormal="70" workbookViewId="0">
      <selection activeCell="V11" sqref="V11"/>
    </sheetView>
  </sheetViews>
  <sheetFormatPr defaultColWidth="9.140625" defaultRowHeight="15" x14ac:dyDescent="0.25"/>
  <cols>
    <col min="1" max="1" width="5.7109375" style="72" customWidth="1"/>
    <col min="2" max="10" width="9.140625" style="20"/>
    <col min="11" max="11" width="5.7109375" style="72" customWidth="1"/>
    <col min="12" max="16384" width="9.140625" style="20"/>
  </cols>
  <sheetData>
    <row r="1" spans="1:20" ht="15" customHeight="1" x14ac:dyDescent="0.25">
      <c r="A1" s="75"/>
      <c r="B1" s="17"/>
      <c r="C1" s="17"/>
      <c r="D1" s="17"/>
      <c r="E1" s="17"/>
      <c r="F1" s="17"/>
      <c r="G1" s="17"/>
      <c r="H1" s="17"/>
      <c r="I1" s="17"/>
      <c r="J1" s="17"/>
      <c r="K1" s="70"/>
      <c r="L1" s="17"/>
      <c r="M1" s="17"/>
      <c r="N1" s="17"/>
      <c r="O1" s="17"/>
      <c r="P1" s="17"/>
      <c r="Q1" s="17"/>
      <c r="R1" s="17"/>
      <c r="S1" s="17"/>
      <c r="T1" s="17"/>
    </row>
    <row r="2" spans="1:20" x14ac:dyDescent="0.25">
      <c r="A2" s="75"/>
      <c r="B2" s="17"/>
      <c r="C2" s="17"/>
      <c r="D2" s="17"/>
      <c r="E2" s="17"/>
      <c r="F2" s="17"/>
      <c r="G2" s="17"/>
      <c r="H2" s="17"/>
      <c r="I2" s="17"/>
      <c r="J2" s="17"/>
      <c r="K2" s="70"/>
      <c r="L2" s="17"/>
      <c r="M2" s="17"/>
      <c r="N2" s="17"/>
      <c r="O2" s="17"/>
      <c r="P2" s="17"/>
      <c r="Q2" s="17"/>
      <c r="R2" s="17"/>
      <c r="S2" s="17"/>
      <c r="T2" s="17"/>
    </row>
    <row r="3" spans="1:20" ht="15" customHeight="1" x14ac:dyDescent="0.25">
      <c r="A3" s="75"/>
      <c r="B3" s="17"/>
      <c r="C3" s="17"/>
      <c r="D3" s="17"/>
      <c r="E3" s="17"/>
      <c r="F3" s="17"/>
      <c r="G3" s="17"/>
      <c r="H3" s="17"/>
      <c r="I3" s="17"/>
      <c r="J3" s="17"/>
      <c r="K3" s="18"/>
      <c r="L3" s="17"/>
      <c r="M3" s="17"/>
      <c r="N3" s="17"/>
      <c r="O3" s="17"/>
      <c r="P3" s="17"/>
      <c r="Q3" s="17"/>
      <c r="R3" s="17"/>
      <c r="S3" s="17"/>
      <c r="T3" s="17"/>
    </row>
    <row r="4" spans="1:20" x14ac:dyDescent="0.25">
      <c r="A4" s="118" t="str">
        <f>'R9'!B1</f>
        <v>South Africa</v>
      </c>
      <c r="B4" s="17"/>
      <c r="C4" s="17"/>
      <c r="D4" s="17"/>
      <c r="E4" s="17"/>
      <c r="F4" s="17"/>
      <c r="G4" s="17"/>
      <c r="H4" s="17"/>
      <c r="I4" s="17"/>
      <c r="J4" s="17"/>
      <c r="K4" s="116" t="str">
        <f>R0!B1</f>
        <v>Western Cape</v>
      </c>
      <c r="L4" s="17"/>
      <c r="M4" s="17"/>
      <c r="N4" s="17"/>
      <c r="O4" s="17"/>
      <c r="P4" s="17"/>
      <c r="Q4" s="17"/>
      <c r="R4" s="17"/>
      <c r="S4" s="17"/>
      <c r="T4" s="17"/>
    </row>
    <row r="5" spans="1:20" x14ac:dyDescent="0.25">
      <c r="A5" s="118"/>
      <c r="B5" s="17"/>
      <c r="C5" s="17"/>
      <c r="D5" s="17"/>
      <c r="E5" s="17"/>
      <c r="F5" s="17"/>
      <c r="G5" s="17"/>
      <c r="H5" s="17"/>
      <c r="I5" s="17"/>
      <c r="J5" s="17"/>
      <c r="K5" s="116"/>
      <c r="L5" s="17"/>
      <c r="M5" s="17"/>
      <c r="N5" s="17"/>
      <c r="O5" s="17"/>
      <c r="P5" s="17"/>
      <c r="Q5" s="17"/>
      <c r="R5" s="17"/>
      <c r="S5" s="17"/>
      <c r="T5" s="17"/>
    </row>
    <row r="6" spans="1:20" x14ac:dyDescent="0.25">
      <c r="A6" s="118"/>
      <c r="B6" s="17"/>
      <c r="C6" s="17"/>
      <c r="D6" s="17"/>
      <c r="E6" s="17"/>
      <c r="F6" s="17"/>
      <c r="G6" s="17"/>
      <c r="H6" s="17"/>
      <c r="I6" s="17"/>
      <c r="J6" s="17"/>
      <c r="K6" s="116"/>
      <c r="L6" s="17"/>
      <c r="M6" s="17"/>
      <c r="N6" s="17"/>
      <c r="O6" s="17"/>
      <c r="P6" s="17"/>
      <c r="Q6" s="17"/>
      <c r="R6" s="17"/>
      <c r="S6" s="17"/>
      <c r="T6" s="17"/>
    </row>
    <row r="7" spans="1:20" x14ac:dyDescent="0.25">
      <c r="A7" s="118"/>
      <c r="B7" s="17"/>
      <c r="C7" s="17"/>
      <c r="D7" s="17"/>
      <c r="E7" s="17"/>
      <c r="F7" s="17"/>
      <c r="G7" s="17"/>
      <c r="H7" s="17"/>
      <c r="I7" s="17"/>
      <c r="J7" s="17"/>
      <c r="K7" s="116"/>
      <c r="L7" s="17"/>
      <c r="M7" s="17"/>
      <c r="N7" s="17"/>
      <c r="O7" s="17"/>
      <c r="P7" s="17"/>
      <c r="Q7" s="17"/>
      <c r="R7" s="17"/>
      <c r="S7" s="17"/>
      <c r="T7" s="17"/>
    </row>
    <row r="8" spans="1:20" x14ac:dyDescent="0.25">
      <c r="A8" s="118"/>
      <c r="B8" s="17"/>
      <c r="C8" s="17"/>
      <c r="D8" s="17"/>
      <c r="E8" s="17"/>
      <c r="F8" s="17"/>
      <c r="G8" s="17"/>
      <c r="H8" s="17"/>
      <c r="I8" s="17"/>
      <c r="J8" s="17"/>
      <c r="K8" s="116"/>
      <c r="L8" s="17"/>
      <c r="M8" s="17"/>
      <c r="N8" s="17"/>
      <c r="O8" s="17"/>
      <c r="P8" s="17"/>
      <c r="Q8" s="17"/>
      <c r="R8" s="17"/>
      <c r="S8" s="17"/>
      <c r="T8" s="17"/>
    </row>
    <row r="9" spans="1:20" x14ac:dyDescent="0.25">
      <c r="A9" s="118"/>
      <c r="B9" s="17"/>
      <c r="C9" s="17"/>
      <c r="D9" s="17"/>
      <c r="E9" s="17"/>
      <c r="F9" s="17"/>
      <c r="G9" s="17"/>
      <c r="H9" s="17"/>
      <c r="I9" s="17"/>
      <c r="J9" s="17"/>
      <c r="K9" s="116"/>
      <c r="L9" s="17"/>
      <c r="M9" s="17"/>
      <c r="N9" s="17"/>
      <c r="O9" s="17"/>
      <c r="P9" s="17"/>
      <c r="Q9" s="17"/>
      <c r="R9" s="17"/>
      <c r="S9" s="17"/>
      <c r="T9" s="17"/>
    </row>
    <row r="10" spans="1:20" x14ac:dyDescent="0.25">
      <c r="A10" s="118"/>
      <c r="B10" s="17"/>
      <c r="C10" s="17"/>
      <c r="D10" s="17"/>
      <c r="E10" s="17"/>
      <c r="F10" s="17"/>
      <c r="G10" s="17"/>
      <c r="H10" s="17"/>
      <c r="I10" s="17"/>
      <c r="J10" s="17"/>
      <c r="K10" s="116"/>
      <c r="L10" s="17"/>
      <c r="M10" s="17"/>
      <c r="N10" s="17"/>
      <c r="O10" s="17"/>
      <c r="P10" s="17"/>
      <c r="Q10" s="17"/>
      <c r="R10" s="17"/>
      <c r="S10" s="17"/>
      <c r="T10" s="17"/>
    </row>
    <row r="11" spans="1:20" x14ac:dyDescent="0.25">
      <c r="A11" s="118"/>
      <c r="B11" s="17"/>
      <c r="C11" s="17"/>
      <c r="D11" s="17"/>
      <c r="E11" s="17"/>
      <c r="F11" s="17"/>
      <c r="G11" s="17"/>
      <c r="H11" s="17"/>
      <c r="I11" s="17"/>
      <c r="J11" s="17"/>
      <c r="K11" s="116"/>
      <c r="L11" s="17"/>
      <c r="M11" s="17"/>
      <c r="N11" s="17"/>
      <c r="O11" s="17"/>
      <c r="P11" s="17"/>
      <c r="Q11" s="17"/>
      <c r="R11" s="17"/>
      <c r="S11" s="17"/>
      <c r="T11" s="17"/>
    </row>
    <row r="12" spans="1:20" x14ac:dyDescent="0.25">
      <c r="A12" s="118"/>
      <c r="B12" s="17"/>
      <c r="C12" s="17"/>
      <c r="D12" s="17"/>
      <c r="E12" s="17"/>
      <c r="F12" s="17"/>
      <c r="G12" s="17"/>
      <c r="H12" s="17"/>
      <c r="I12" s="17"/>
      <c r="J12" s="17"/>
      <c r="K12" s="116"/>
      <c r="L12" s="17"/>
      <c r="M12" s="17"/>
      <c r="N12" s="17"/>
      <c r="O12" s="17"/>
      <c r="P12" s="17"/>
      <c r="Q12" s="17"/>
      <c r="R12" s="17"/>
      <c r="S12" s="17"/>
      <c r="T12" s="17"/>
    </row>
    <row r="13" spans="1:20" x14ac:dyDescent="0.25">
      <c r="A13" s="118"/>
      <c r="B13" s="17"/>
      <c r="C13" s="17"/>
      <c r="D13" s="17"/>
      <c r="E13" s="17"/>
      <c r="F13" s="17"/>
      <c r="G13" s="17"/>
      <c r="H13" s="17"/>
      <c r="I13" s="17"/>
      <c r="J13" s="17"/>
      <c r="K13" s="116"/>
      <c r="L13" s="17"/>
      <c r="M13" s="17"/>
      <c r="N13" s="17"/>
      <c r="O13" s="17"/>
      <c r="P13" s="17"/>
      <c r="Q13" s="17"/>
      <c r="R13" s="17"/>
      <c r="S13" s="17"/>
      <c r="T13" s="17"/>
    </row>
    <row r="14" spans="1:20" x14ac:dyDescent="0.25">
      <c r="A14" s="118"/>
      <c r="B14" s="17"/>
      <c r="C14" s="17"/>
      <c r="D14" s="17"/>
      <c r="E14" s="17"/>
      <c r="F14" s="17"/>
      <c r="G14" s="17"/>
      <c r="H14" s="17"/>
      <c r="I14" s="17"/>
      <c r="J14" s="17"/>
      <c r="K14" s="116"/>
      <c r="L14" s="17"/>
      <c r="M14" s="17"/>
      <c r="N14" s="17"/>
      <c r="O14" s="17"/>
      <c r="P14" s="17"/>
      <c r="Q14" s="17"/>
      <c r="R14" s="17"/>
      <c r="S14" s="17"/>
      <c r="T14" s="17"/>
    </row>
    <row r="15" spans="1:20" x14ac:dyDescent="0.25">
      <c r="A15" s="118"/>
      <c r="B15" s="17"/>
      <c r="C15" s="17"/>
      <c r="D15" s="17"/>
      <c r="E15" s="17"/>
      <c r="F15" s="17"/>
      <c r="G15" s="17"/>
      <c r="H15" s="17"/>
      <c r="I15" s="17"/>
      <c r="J15" s="17"/>
      <c r="K15" s="116"/>
      <c r="L15" s="17"/>
      <c r="M15" s="17"/>
      <c r="N15" s="17"/>
      <c r="O15" s="17"/>
      <c r="P15" s="17"/>
      <c r="Q15" s="17"/>
      <c r="R15" s="17"/>
      <c r="S15" s="17"/>
      <c r="T15" s="17"/>
    </row>
    <row r="16" spans="1:20" x14ac:dyDescent="0.25">
      <c r="A16" s="118"/>
      <c r="B16" s="17"/>
      <c r="C16" s="17"/>
      <c r="D16" s="17"/>
      <c r="E16" s="17"/>
      <c r="F16" s="17"/>
      <c r="G16" s="17"/>
      <c r="H16" s="17"/>
      <c r="I16" s="17"/>
      <c r="J16" s="17"/>
      <c r="K16" s="116"/>
      <c r="L16" s="17"/>
      <c r="M16" s="17"/>
      <c r="N16" s="17"/>
      <c r="O16" s="17"/>
      <c r="P16" s="17"/>
      <c r="Q16" s="17"/>
      <c r="R16" s="17"/>
      <c r="S16" s="17"/>
      <c r="T16" s="17"/>
    </row>
    <row r="17" spans="1:23" x14ac:dyDescent="0.25">
      <c r="A17" s="118"/>
      <c r="B17" s="17"/>
      <c r="C17" s="17"/>
      <c r="D17" s="17"/>
      <c r="E17" s="17"/>
      <c r="F17" s="17"/>
      <c r="G17" s="17"/>
      <c r="H17" s="17"/>
      <c r="I17" s="17"/>
      <c r="J17" s="17"/>
      <c r="K17" s="116"/>
      <c r="L17" s="17"/>
      <c r="M17" s="17"/>
      <c r="N17" s="17"/>
      <c r="O17" s="17"/>
      <c r="P17" s="17"/>
      <c r="Q17" s="17"/>
      <c r="R17" s="17"/>
      <c r="S17" s="17"/>
      <c r="T17" s="17"/>
    </row>
    <row r="18" spans="1:23" x14ac:dyDescent="0.25">
      <c r="A18" s="76"/>
      <c r="B18" s="17"/>
      <c r="C18" s="17"/>
      <c r="D18" s="17"/>
      <c r="E18" s="17"/>
      <c r="F18" s="17"/>
      <c r="G18" s="17"/>
      <c r="H18" s="17"/>
      <c r="I18" s="17"/>
      <c r="J18" s="17"/>
      <c r="K18" s="19"/>
      <c r="L18" s="17"/>
      <c r="M18" s="17"/>
      <c r="N18" s="17"/>
      <c r="O18" s="17"/>
      <c r="P18" s="17"/>
      <c r="Q18" s="17"/>
      <c r="R18" s="17"/>
      <c r="S18" s="17"/>
      <c r="T18" s="17"/>
    </row>
    <row r="19" spans="1:23" x14ac:dyDescent="0.25">
      <c r="A19" s="19"/>
      <c r="B19" s="17"/>
      <c r="C19" s="17"/>
      <c r="D19" s="17"/>
      <c r="E19" s="17"/>
      <c r="F19" s="17"/>
      <c r="G19" s="17"/>
      <c r="H19" s="17"/>
      <c r="I19" s="17"/>
      <c r="J19" s="17"/>
      <c r="K19" s="19"/>
      <c r="L19" s="17"/>
      <c r="M19" s="17"/>
      <c r="N19" s="17"/>
      <c r="O19" s="17"/>
      <c r="P19" s="17"/>
      <c r="Q19" s="17"/>
      <c r="R19" s="17"/>
      <c r="S19" s="17"/>
      <c r="T19" s="17"/>
    </row>
    <row r="20" spans="1:23" x14ac:dyDescent="0.25">
      <c r="A20" s="68"/>
      <c r="B20" s="17"/>
      <c r="C20" s="17"/>
      <c r="D20" s="17"/>
      <c r="E20" s="17"/>
      <c r="F20" s="17"/>
      <c r="G20" s="17"/>
      <c r="H20" s="17"/>
      <c r="I20" s="17"/>
      <c r="J20" s="17"/>
      <c r="K20" s="68"/>
      <c r="L20" s="17"/>
      <c r="M20" s="17"/>
      <c r="N20" s="17"/>
      <c r="O20" s="17"/>
      <c r="P20" s="17"/>
      <c r="Q20" s="17"/>
      <c r="R20" s="17"/>
      <c r="S20" s="17"/>
      <c r="T20" s="17"/>
    </row>
    <row r="21" spans="1:23" x14ac:dyDescent="0.25">
      <c r="A21" s="115" t="str">
        <f>'R1'!B1</f>
        <v>Eastern Cape</v>
      </c>
      <c r="B21" s="17"/>
      <c r="C21" s="17"/>
      <c r="D21" s="17"/>
      <c r="E21" s="17"/>
      <c r="F21" s="17"/>
      <c r="G21" s="17"/>
      <c r="H21" s="17"/>
      <c r="I21" s="17"/>
      <c r="J21" s="17"/>
      <c r="K21" s="115" t="str">
        <f>'R2'!B1</f>
        <v>Northern Cape</v>
      </c>
      <c r="L21" s="17"/>
      <c r="M21" s="17"/>
      <c r="N21" s="17"/>
      <c r="O21" s="17"/>
      <c r="P21" s="17"/>
      <c r="Q21" s="17"/>
      <c r="R21" s="17"/>
      <c r="S21" s="17"/>
      <c r="T21" s="17"/>
    </row>
    <row r="22" spans="1:23" x14ac:dyDescent="0.25">
      <c r="A22" s="115"/>
      <c r="B22" s="17"/>
      <c r="C22" s="17"/>
      <c r="D22" s="17"/>
      <c r="E22" s="17"/>
      <c r="F22" s="17"/>
      <c r="G22" s="17"/>
      <c r="H22" s="17"/>
      <c r="I22" s="17"/>
      <c r="J22" s="17"/>
      <c r="K22" s="115"/>
      <c r="L22" s="17"/>
      <c r="M22" s="17"/>
      <c r="N22" s="17"/>
      <c r="O22" s="17"/>
      <c r="P22" s="17"/>
      <c r="Q22" s="17"/>
      <c r="R22" s="17"/>
      <c r="S22" s="17"/>
      <c r="T22" s="17"/>
    </row>
    <row r="23" spans="1:23" x14ac:dyDescent="0.25">
      <c r="A23" s="115"/>
      <c r="B23" s="17"/>
      <c r="C23" s="17"/>
      <c r="D23" s="17"/>
      <c r="E23" s="17"/>
      <c r="F23" s="17"/>
      <c r="G23" s="17"/>
      <c r="H23" s="17"/>
      <c r="I23" s="17"/>
      <c r="J23" s="17"/>
      <c r="K23" s="115"/>
      <c r="L23" s="17"/>
      <c r="M23" s="17"/>
      <c r="N23" s="17"/>
      <c r="O23" s="17"/>
      <c r="P23" s="17"/>
      <c r="Q23" s="17"/>
      <c r="R23" s="17"/>
      <c r="S23" s="17"/>
      <c r="T23" s="17"/>
    </row>
    <row r="24" spans="1:23" ht="15" customHeight="1" x14ac:dyDescent="0.25">
      <c r="A24" s="115"/>
      <c r="B24" s="17"/>
      <c r="C24" s="17"/>
      <c r="D24" s="17"/>
      <c r="E24" s="17"/>
      <c r="F24" s="17"/>
      <c r="G24" s="17"/>
      <c r="H24" s="17"/>
      <c r="I24" s="17"/>
      <c r="J24" s="17"/>
      <c r="K24" s="115"/>
      <c r="L24" s="17"/>
      <c r="M24" s="17"/>
      <c r="N24" s="17"/>
      <c r="O24" s="17"/>
      <c r="P24" s="17"/>
      <c r="Q24" s="17"/>
      <c r="R24" s="17"/>
      <c r="S24" s="17"/>
      <c r="T24" s="17"/>
    </row>
    <row r="25" spans="1:23" x14ac:dyDescent="0.25">
      <c r="A25" s="115"/>
      <c r="B25" s="17"/>
      <c r="C25" s="17"/>
      <c r="D25" s="17"/>
      <c r="E25" s="17"/>
      <c r="F25" s="17"/>
      <c r="G25" s="17"/>
      <c r="H25" s="17"/>
      <c r="I25" s="17"/>
      <c r="J25" s="17"/>
      <c r="K25" s="115"/>
      <c r="L25" s="17"/>
      <c r="M25" s="17"/>
      <c r="N25" s="17"/>
      <c r="O25" s="17"/>
      <c r="P25" s="17"/>
      <c r="Q25" s="17"/>
      <c r="R25" s="17"/>
      <c r="S25" s="17"/>
      <c r="T25" s="17"/>
    </row>
    <row r="26" spans="1:23" x14ac:dyDescent="0.25">
      <c r="A26" s="115"/>
      <c r="B26" s="17"/>
      <c r="C26" s="17"/>
      <c r="D26" s="17"/>
      <c r="E26" s="17"/>
      <c r="F26" s="17"/>
      <c r="G26" s="17"/>
      <c r="H26" s="17"/>
      <c r="I26" s="17"/>
      <c r="J26" s="17"/>
      <c r="K26" s="115"/>
      <c r="L26" s="17"/>
      <c r="M26" s="17"/>
      <c r="N26" s="17"/>
      <c r="O26" s="17"/>
      <c r="P26" s="17"/>
      <c r="Q26" s="17"/>
      <c r="R26" s="17"/>
      <c r="S26" s="17"/>
      <c r="T26" s="17"/>
    </row>
    <row r="27" spans="1:23" x14ac:dyDescent="0.25">
      <c r="A27" s="115"/>
      <c r="B27" s="17"/>
      <c r="C27" s="17"/>
      <c r="D27" s="17"/>
      <c r="E27" s="17"/>
      <c r="F27" s="17"/>
      <c r="G27" s="17"/>
      <c r="H27" s="17"/>
      <c r="I27" s="17"/>
      <c r="J27" s="17"/>
      <c r="K27" s="115"/>
      <c r="L27" s="17"/>
      <c r="M27" s="17"/>
      <c r="N27" s="17"/>
      <c r="O27" s="17"/>
      <c r="P27" s="17"/>
      <c r="Q27" s="17"/>
      <c r="R27" s="17"/>
      <c r="S27" s="17"/>
      <c r="T27" s="17"/>
    </row>
    <row r="28" spans="1:23" x14ac:dyDescent="0.25">
      <c r="A28" s="115"/>
      <c r="B28" s="17"/>
      <c r="C28" s="17"/>
      <c r="D28" s="17"/>
      <c r="E28" s="17"/>
      <c r="F28" s="17"/>
      <c r="G28" s="17"/>
      <c r="H28" s="17"/>
      <c r="I28" s="17"/>
      <c r="J28" s="17"/>
      <c r="K28" s="115"/>
      <c r="L28" s="17"/>
      <c r="M28" s="17"/>
      <c r="N28" s="17"/>
      <c r="O28" s="17"/>
      <c r="P28" s="17"/>
      <c r="Q28" s="17"/>
      <c r="R28" s="17"/>
      <c r="S28" s="17"/>
      <c r="T28" s="17"/>
    </row>
    <row r="29" spans="1:23" x14ac:dyDescent="0.25">
      <c r="A29" s="115"/>
      <c r="B29" s="17"/>
      <c r="C29" s="17"/>
      <c r="D29" s="17"/>
      <c r="E29" s="17"/>
      <c r="F29" s="17"/>
      <c r="G29" s="17"/>
      <c r="H29" s="17"/>
      <c r="I29" s="17"/>
      <c r="J29" s="17"/>
      <c r="K29" s="115"/>
      <c r="L29" s="17"/>
      <c r="M29" s="17"/>
      <c r="N29" s="17"/>
      <c r="O29" s="17"/>
      <c r="P29" s="17"/>
      <c r="Q29" s="17"/>
      <c r="R29" s="17"/>
      <c r="S29" s="17"/>
      <c r="T29" s="17"/>
    </row>
    <row r="30" spans="1:23" x14ac:dyDescent="0.25">
      <c r="A30" s="115"/>
      <c r="B30" s="17"/>
      <c r="C30" s="17"/>
      <c r="D30" s="17"/>
      <c r="E30" s="17"/>
      <c r="F30" s="17"/>
      <c r="G30" s="17"/>
      <c r="H30" s="17"/>
      <c r="I30" s="17"/>
      <c r="J30" s="17"/>
      <c r="K30" s="115"/>
      <c r="L30" s="17"/>
      <c r="M30" s="17"/>
      <c r="N30" s="17"/>
      <c r="O30" s="17"/>
      <c r="P30" s="17"/>
      <c r="Q30" s="17"/>
      <c r="R30" s="17"/>
      <c r="S30" s="17"/>
      <c r="T30" s="17"/>
    </row>
    <row r="31" spans="1:23" x14ac:dyDescent="0.25">
      <c r="A31" s="115"/>
      <c r="B31" s="17"/>
      <c r="C31" s="17"/>
      <c r="D31" s="17"/>
      <c r="E31" s="17"/>
      <c r="F31" s="17"/>
      <c r="G31" s="17"/>
      <c r="H31" s="17"/>
      <c r="I31" s="17"/>
      <c r="J31" s="17"/>
      <c r="K31" s="115"/>
      <c r="L31" s="17"/>
      <c r="M31" s="17"/>
      <c r="N31" s="17"/>
      <c r="O31" s="17"/>
      <c r="P31" s="17"/>
      <c r="Q31" s="17"/>
      <c r="R31" s="17"/>
      <c r="S31" s="17"/>
      <c r="T31" s="17"/>
      <c r="W31" s="71"/>
    </row>
    <row r="32" spans="1:23" x14ac:dyDescent="0.25">
      <c r="A32" s="115"/>
      <c r="B32" s="17"/>
      <c r="C32" s="17"/>
      <c r="D32" s="17"/>
      <c r="E32" s="17"/>
      <c r="F32" s="17"/>
      <c r="G32" s="17"/>
      <c r="H32" s="17"/>
      <c r="I32" s="17"/>
      <c r="J32" s="17"/>
      <c r="K32" s="115"/>
      <c r="L32" s="17"/>
      <c r="M32" s="17"/>
      <c r="N32" s="17"/>
      <c r="O32" s="17"/>
      <c r="P32" s="17"/>
      <c r="Q32" s="17"/>
      <c r="R32" s="17"/>
      <c r="S32" s="17"/>
      <c r="T32" s="17"/>
    </row>
    <row r="33" spans="1:20" x14ac:dyDescent="0.25">
      <c r="A33" s="115"/>
      <c r="B33" s="17"/>
      <c r="C33" s="17"/>
      <c r="D33" s="17"/>
      <c r="E33" s="17"/>
      <c r="F33" s="17"/>
      <c r="G33" s="17"/>
      <c r="H33" s="17"/>
      <c r="I33" s="17"/>
      <c r="J33" s="17"/>
      <c r="K33" s="115"/>
      <c r="L33" s="17"/>
      <c r="M33" s="17"/>
      <c r="N33" s="17"/>
      <c r="O33" s="17"/>
      <c r="P33" s="17"/>
      <c r="Q33" s="17"/>
      <c r="R33" s="17"/>
      <c r="S33" s="17"/>
      <c r="T33" s="17"/>
    </row>
    <row r="34" spans="1:20" x14ac:dyDescent="0.25">
      <c r="A34" s="115"/>
      <c r="B34" s="17"/>
      <c r="C34" s="17"/>
      <c r="D34" s="17"/>
      <c r="E34" s="17"/>
      <c r="F34" s="17"/>
      <c r="G34" s="17"/>
      <c r="H34" s="17"/>
      <c r="I34" s="17"/>
      <c r="J34" s="17"/>
      <c r="K34" s="115"/>
      <c r="L34" s="17"/>
      <c r="M34" s="17"/>
      <c r="N34" s="17"/>
      <c r="O34" s="17"/>
      <c r="P34" s="17"/>
      <c r="Q34" s="17"/>
      <c r="R34" s="17"/>
      <c r="S34" s="17"/>
      <c r="T34" s="17"/>
    </row>
    <row r="35" spans="1:20" x14ac:dyDescent="0.25">
      <c r="A35" s="19"/>
      <c r="B35" s="17"/>
      <c r="C35" s="17"/>
      <c r="D35" s="17"/>
      <c r="E35" s="17"/>
      <c r="F35" s="17"/>
      <c r="G35" s="17"/>
      <c r="H35" s="17"/>
      <c r="I35" s="17"/>
      <c r="J35" s="17"/>
      <c r="K35" s="19"/>
      <c r="L35" s="17"/>
      <c r="M35" s="17"/>
      <c r="N35" s="17"/>
      <c r="O35" s="17"/>
      <c r="P35" s="17"/>
      <c r="Q35" s="17"/>
      <c r="R35" s="17"/>
      <c r="S35" s="17"/>
      <c r="T35" s="17"/>
    </row>
    <row r="36" spans="1:20" x14ac:dyDescent="0.25">
      <c r="A36" s="19"/>
      <c r="B36" s="17"/>
      <c r="C36" s="17"/>
      <c r="D36" s="17"/>
      <c r="E36" s="17"/>
      <c r="F36" s="17"/>
      <c r="G36" s="17"/>
      <c r="H36" s="17"/>
      <c r="I36" s="17"/>
      <c r="J36" s="17"/>
      <c r="K36" s="19"/>
      <c r="L36" s="17"/>
      <c r="M36" s="17"/>
      <c r="N36" s="17"/>
      <c r="O36" s="17"/>
      <c r="P36" s="17"/>
      <c r="Q36" s="17"/>
      <c r="R36" s="17"/>
      <c r="S36" s="17"/>
      <c r="T36" s="17"/>
    </row>
    <row r="37" spans="1:20" x14ac:dyDescent="0.25">
      <c r="A37" s="19"/>
      <c r="B37" s="17"/>
      <c r="C37" s="17"/>
      <c r="D37" s="17"/>
      <c r="E37" s="17"/>
      <c r="F37" s="17"/>
      <c r="G37" s="17"/>
      <c r="H37" s="17"/>
      <c r="I37" s="17"/>
      <c r="J37" s="17"/>
      <c r="K37" s="19"/>
      <c r="L37" s="17"/>
      <c r="M37" s="17"/>
      <c r="N37" s="17"/>
      <c r="O37" s="17"/>
      <c r="P37" s="17"/>
      <c r="Q37" s="17"/>
      <c r="R37" s="17"/>
      <c r="S37" s="17"/>
      <c r="T37" s="17"/>
    </row>
    <row r="38" spans="1:20" x14ac:dyDescent="0.25">
      <c r="A38" s="19"/>
      <c r="B38" s="17"/>
      <c r="C38" s="17"/>
      <c r="D38" s="17"/>
      <c r="E38" s="17"/>
      <c r="F38" s="17"/>
      <c r="G38" s="17"/>
      <c r="H38" s="17"/>
      <c r="I38" s="17"/>
      <c r="J38" s="17"/>
      <c r="K38" s="19"/>
      <c r="L38" s="17"/>
      <c r="M38" s="17"/>
      <c r="N38" s="17"/>
      <c r="O38" s="17"/>
      <c r="P38" s="17"/>
      <c r="Q38" s="17"/>
      <c r="R38" s="17"/>
      <c r="S38" s="17"/>
      <c r="T38" s="17"/>
    </row>
    <row r="39" spans="1:20" x14ac:dyDescent="0.25">
      <c r="A39" s="115" t="str">
        <f>'R3'!B1</f>
        <v>Free State</v>
      </c>
      <c r="B39" s="17"/>
      <c r="C39" s="17"/>
      <c r="D39" s="17"/>
      <c r="E39" s="17"/>
      <c r="F39" s="17"/>
      <c r="G39" s="17"/>
      <c r="H39" s="17"/>
      <c r="I39" s="17"/>
      <c r="J39" s="17"/>
      <c r="K39" s="115" t="str">
        <f>'R4'!B1</f>
        <v>KwaZulu-Natal</v>
      </c>
      <c r="L39" s="17"/>
      <c r="M39" s="17"/>
      <c r="N39" s="17"/>
      <c r="O39" s="17"/>
      <c r="P39" s="17"/>
      <c r="Q39" s="17"/>
      <c r="R39" s="17"/>
      <c r="S39" s="17"/>
      <c r="T39" s="17"/>
    </row>
    <row r="40" spans="1:20" x14ac:dyDescent="0.25">
      <c r="A40" s="115"/>
      <c r="B40" s="17"/>
      <c r="C40" s="17"/>
      <c r="D40" s="17"/>
      <c r="E40" s="17"/>
      <c r="F40" s="17"/>
      <c r="G40" s="17"/>
      <c r="H40" s="17"/>
      <c r="I40" s="17"/>
      <c r="J40" s="17"/>
      <c r="K40" s="115"/>
      <c r="L40" s="17"/>
      <c r="M40" s="17"/>
      <c r="N40" s="17"/>
      <c r="O40" s="17"/>
      <c r="P40" s="17"/>
      <c r="Q40" s="17"/>
      <c r="R40" s="17"/>
      <c r="S40" s="17"/>
      <c r="T40" s="17"/>
    </row>
    <row r="41" spans="1:20" x14ac:dyDescent="0.25">
      <c r="A41" s="115"/>
      <c r="B41" s="17"/>
      <c r="C41" s="17"/>
      <c r="D41" s="17"/>
      <c r="E41" s="17"/>
      <c r="F41" s="17"/>
      <c r="G41" s="17"/>
      <c r="H41" s="17"/>
      <c r="I41" s="17"/>
      <c r="J41" s="17"/>
      <c r="K41" s="115"/>
      <c r="L41" s="17"/>
      <c r="M41" s="17"/>
      <c r="N41" s="17"/>
      <c r="O41" s="17"/>
      <c r="P41" s="17"/>
      <c r="Q41" s="17"/>
      <c r="R41" s="17"/>
      <c r="S41" s="17"/>
      <c r="T41" s="17"/>
    </row>
    <row r="42" spans="1:20" x14ac:dyDescent="0.25">
      <c r="A42" s="115"/>
      <c r="B42" s="17"/>
      <c r="C42" s="17"/>
      <c r="D42" s="17"/>
      <c r="E42" s="17"/>
      <c r="F42" s="17"/>
      <c r="G42" s="17"/>
      <c r="H42" s="17"/>
      <c r="I42" s="17"/>
      <c r="J42" s="17"/>
      <c r="K42" s="115"/>
      <c r="L42" s="17"/>
      <c r="M42" s="17"/>
      <c r="N42" s="17"/>
      <c r="O42" s="17"/>
      <c r="P42" s="17"/>
      <c r="Q42" s="17"/>
      <c r="R42" s="17"/>
      <c r="S42" s="17"/>
      <c r="T42" s="17"/>
    </row>
    <row r="43" spans="1:20" x14ac:dyDescent="0.25">
      <c r="A43" s="115"/>
      <c r="B43" s="17"/>
      <c r="C43" s="17"/>
      <c r="D43" s="17"/>
      <c r="E43" s="17"/>
      <c r="F43" s="17"/>
      <c r="G43" s="17"/>
      <c r="H43" s="17"/>
      <c r="I43" s="17"/>
      <c r="J43" s="17"/>
      <c r="K43" s="115"/>
      <c r="L43" s="17"/>
      <c r="M43" s="17"/>
      <c r="N43" s="17"/>
      <c r="O43" s="17"/>
      <c r="P43" s="17"/>
      <c r="Q43" s="17"/>
      <c r="R43" s="17"/>
      <c r="S43" s="17"/>
      <c r="T43" s="17"/>
    </row>
    <row r="44" spans="1:20" x14ac:dyDescent="0.25">
      <c r="A44" s="115"/>
      <c r="B44" s="17"/>
      <c r="C44" s="17"/>
      <c r="D44" s="17"/>
      <c r="E44" s="17"/>
      <c r="F44" s="17"/>
      <c r="G44" s="17"/>
      <c r="H44" s="17"/>
      <c r="I44" s="17"/>
      <c r="J44" s="17"/>
      <c r="K44" s="115"/>
      <c r="L44" s="17"/>
      <c r="M44" s="17"/>
      <c r="N44" s="17"/>
      <c r="O44" s="17"/>
      <c r="P44" s="17"/>
      <c r="Q44" s="17"/>
      <c r="R44" s="17"/>
      <c r="S44" s="17"/>
      <c r="T44" s="17"/>
    </row>
    <row r="45" spans="1:20" ht="15" customHeight="1" x14ac:dyDescent="0.25">
      <c r="A45" s="115"/>
      <c r="B45" s="17"/>
      <c r="C45" s="17"/>
      <c r="D45" s="17"/>
      <c r="E45" s="17"/>
      <c r="F45" s="17"/>
      <c r="G45" s="17"/>
      <c r="H45" s="17"/>
      <c r="I45" s="17"/>
      <c r="J45" s="17"/>
      <c r="K45" s="115"/>
      <c r="L45" s="17"/>
      <c r="M45" s="17"/>
      <c r="N45" s="17"/>
      <c r="O45" s="17"/>
      <c r="P45" s="17"/>
      <c r="Q45" s="17"/>
      <c r="R45" s="17"/>
      <c r="S45" s="17"/>
      <c r="T45" s="17"/>
    </row>
    <row r="46" spans="1:20" x14ac:dyDescent="0.25">
      <c r="A46" s="115"/>
      <c r="B46" s="17"/>
      <c r="C46" s="17"/>
      <c r="D46" s="17"/>
      <c r="E46" s="17"/>
      <c r="F46" s="17"/>
      <c r="G46" s="17"/>
      <c r="H46" s="17"/>
      <c r="I46" s="17"/>
      <c r="J46" s="17"/>
      <c r="K46" s="115"/>
      <c r="L46" s="17"/>
      <c r="M46" s="17"/>
      <c r="N46" s="17"/>
      <c r="O46" s="17"/>
      <c r="P46" s="17"/>
      <c r="Q46" s="17"/>
      <c r="R46" s="17"/>
      <c r="S46" s="17"/>
      <c r="T46" s="17"/>
    </row>
    <row r="47" spans="1:20" x14ac:dyDescent="0.25">
      <c r="A47" s="115"/>
      <c r="B47" s="17"/>
      <c r="C47" s="17"/>
      <c r="D47" s="17"/>
      <c r="E47" s="17"/>
      <c r="F47" s="17"/>
      <c r="G47" s="17"/>
      <c r="H47" s="17"/>
      <c r="I47" s="17"/>
      <c r="J47" s="17"/>
      <c r="K47" s="115"/>
      <c r="L47" s="17"/>
      <c r="M47" s="17"/>
      <c r="N47" s="17"/>
      <c r="O47" s="17"/>
      <c r="P47" s="17"/>
      <c r="Q47" s="17"/>
      <c r="R47" s="17"/>
      <c r="S47" s="17"/>
      <c r="T47" s="17"/>
    </row>
    <row r="48" spans="1:20" x14ac:dyDescent="0.25">
      <c r="A48" s="115"/>
      <c r="B48" s="17"/>
      <c r="C48" s="17"/>
      <c r="D48" s="17"/>
      <c r="E48" s="17"/>
      <c r="F48" s="17"/>
      <c r="G48" s="17"/>
      <c r="H48" s="17"/>
      <c r="I48" s="17"/>
      <c r="J48" s="17"/>
      <c r="K48" s="115"/>
      <c r="L48" s="17"/>
      <c r="M48" s="17"/>
      <c r="N48" s="17"/>
      <c r="O48" s="17"/>
      <c r="P48" s="17"/>
      <c r="Q48" s="17"/>
      <c r="R48" s="17"/>
      <c r="S48" s="17"/>
      <c r="T48" s="17"/>
    </row>
    <row r="49" spans="1:20" x14ac:dyDescent="0.25">
      <c r="A49" s="115"/>
      <c r="B49" s="17"/>
      <c r="C49" s="17"/>
      <c r="D49" s="17"/>
      <c r="E49" s="17"/>
      <c r="F49" s="17"/>
      <c r="G49" s="17"/>
      <c r="H49" s="17"/>
      <c r="I49" s="17"/>
      <c r="J49" s="17"/>
      <c r="K49" s="115"/>
      <c r="L49" s="17"/>
      <c r="M49" s="17"/>
      <c r="N49" s="17"/>
      <c r="O49" s="17"/>
      <c r="P49" s="17"/>
      <c r="Q49" s="17"/>
      <c r="R49" s="17"/>
      <c r="S49" s="17"/>
      <c r="T49" s="17"/>
    </row>
    <row r="50" spans="1:20" x14ac:dyDescent="0.25">
      <c r="A50" s="115"/>
      <c r="B50" s="17"/>
      <c r="C50" s="17"/>
      <c r="D50" s="17"/>
      <c r="E50" s="17"/>
      <c r="F50" s="17"/>
      <c r="G50" s="17"/>
      <c r="H50" s="17"/>
      <c r="I50" s="17"/>
      <c r="J50" s="17"/>
      <c r="K50" s="115"/>
      <c r="L50" s="17"/>
      <c r="M50" s="17"/>
      <c r="N50" s="17"/>
      <c r="O50" s="17"/>
      <c r="P50" s="17"/>
      <c r="Q50" s="17"/>
      <c r="R50" s="17"/>
      <c r="S50" s="17"/>
      <c r="T50" s="17"/>
    </row>
    <row r="51" spans="1:20" x14ac:dyDescent="0.25">
      <c r="A51" s="115"/>
      <c r="B51" s="17"/>
      <c r="C51" s="17"/>
      <c r="D51" s="17"/>
      <c r="E51" s="17"/>
      <c r="F51" s="17"/>
      <c r="G51" s="17"/>
      <c r="H51" s="17"/>
      <c r="I51" s="17"/>
      <c r="J51" s="17"/>
      <c r="K51" s="115"/>
      <c r="L51" s="17"/>
      <c r="M51" s="17"/>
      <c r="N51" s="17"/>
      <c r="O51" s="17"/>
      <c r="P51" s="17"/>
      <c r="Q51" s="17"/>
      <c r="R51" s="17"/>
      <c r="S51" s="17"/>
      <c r="T51" s="17"/>
    </row>
    <row r="52" spans="1:20" x14ac:dyDescent="0.25">
      <c r="A52" s="115"/>
      <c r="B52" s="17"/>
      <c r="C52" s="17"/>
      <c r="D52" s="17"/>
      <c r="E52" s="17"/>
      <c r="F52" s="17"/>
      <c r="G52" s="17"/>
      <c r="H52" s="17"/>
      <c r="I52" s="17"/>
      <c r="J52" s="17"/>
      <c r="K52" s="115"/>
      <c r="L52" s="17"/>
      <c r="M52" s="17"/>
      <c r="N52" s="17"/>
      <c r="O52" s="17"/>
      <c r="P52" s="17"/>
      <c r="Q52" s="17"/>
      <c r="R52" s="17"/>
      <c r="S52" s="17"/>
      <c r="T52" s="17"/>
    </row>
    <row r="53" spans="1:20" x14ac:dyDescent="0.25">
      <c r="A53" s="19"/>
      <c r="B53" s="17"/>
      <c r="C53" s="17"/>
      <c r="D53" s="17"/>
      <c r="E53" s="17"/>
      <c r="F53" s="17"/>
      <c r="G53" s="17"/>
      <c r="H53" s="17"/>
      <c r="I53" s="17"/>
      <c r="J53" s="17"/>
      <c r="K53" s="19"/>
      <c r="L53" s="17"/>
      <c r="M53" s="17"/>
      <c r="N53" s="17"/>
      <c r="O53" s="17"/>
      <c r="P53" s="17"/>
      <c r="Q53" s="17"/>
      <c r="R53" s="17"/>
      <c r="S53" s="17"/>
      <c r="T53" s="17"/>
    </row>
    <row r="54" spans="1:20" x14ac:dyDescent="0.25">
      <c r="A54" s="19"/>
      <c r="B54" s="17"/>
      <c r="C54" s="17"/>
      <c r="D54" s="17"/>
      <c r="E54" s="17"/>
      <c r="F54" s="17"/>
      <c r="G54" s="17"/>
      <c r="H54" s="17"/>
      <c r="I54" s="17"/>
      <c r="J54" s="17"/>
      <c r="K54" s="19"/>
      <c r="L54" s="17"/>
      <c r="M54" s="17"/>
      <c r="N54" s="17"/>
      <c r="O54" s="17"/>
      <c r="P54" s="17"/>
      <c r="Q54" s="17"/>
      <c r="R54" s="17"/>
      <c r="S54" s="17"/>
      <c r="T54" s="17"/>
    </row>
    <row r="55" spans="1:20" x14ac:dyDescent="0.25">
      <c r="A55" s="19"/>
      <c r="B55" s="17"/>
      <c r="C55" s="17"/>
      <c r="D55" s="17"/>
      <c r="E55" s="17"/>
      <c r="F55" s="17"/>
      <c r="G55" s="17"/>
      <c r="H55" s="17"/>
      <c r="I55" s="17"/>
      <c r="J55" s="17"/>
      <c r="K55" s="19"/>
      <c r="L55" s="17"/>
      <c r="M55" s="17"/>
      <c r="N55" s="17"/>
      <c r="O55" s="17"/>
      <c r="P55" s="17"/>
      <c r="Q55" s="17"/>
      <c r="R55" s="17"/>
      <c r="S55" s="17"/>
      <c r="T55" s="17"/>
    </row>
    <row r="56" spans="1:20" x14ac:dyDescent="0.25">
      <c r="A56" s="19"/>
      <c r="B56" s="17"/>
      <c r="C56" s="17"/>
      <c r="D56" s="17"/>
      <c r="E56" s="17"/>
      <c r="F56" s="17"/>
      <c r="G56" s="17"/>
      <c r="H56" s="17"/>
      <c r="I56" s="17"/>
      <c r="J56" s="17"/>
      <c r="K56" s="19"/>
      <c r="L56" s="17"/>
      <c r="M56" s="17"/>
      <c r="N56" s="17"/>
      <c r="O56" s="17"/>
      <c r="P56" s="17"/>
      <c r="Q56" s="17"/>
      <c r="R56" s="17"/>
      <c r="S56" s="17"/>
      <c r="T56" s="17"/>
    </row>
    <row r="57" spans="1:20" x14ac:dyDescent="0.25">
      <c r="A57" s="115" t="str">
        <f>'R5'!B1</f>
        <v>North West</v>
      </c>
      <c r="B57" s="17"/>
      <c r="C57" s="17"/>
      <c r="D57" s="17"/>
      <c r="E57" s="17"/>
      <c r="F57" s="17"/>
      <c r="G57" s="17"/>
      <c r="H57" s="17"/>
      <c r="I57" s="17"/>
      <c r="J57" s="17"/>
      <c r="K57" s="115" t="str">
        <f>'R6'!B1</f>
        <v>Gauteng</v>
      </c>
      <c r="L57" s="17"/>
      <c r="M57" s="17"/>
      <c r="N57" s="17"/>
      <c r="O57" s="17"/>
      <c r="P57" s="17"/>
      <c r="Q57" s="17"/>
      <c r="R57" s="17"/>
      <c r="S57" s="17"/>
      <c r="T57" s="17"/>
    </row>
    <row r="58" spans="1:20" x14ac:dyDescent="0.25">
      <c r="A58" s="115"/>
      <c r="B58" s="17"/>
      <c r="C58" s="17"/>
      <c r="D58" s="17"/>
      <c r="E58" s="17"/>
      <c r="F58" s="17"/>
      <c r="G58" s="17"/>
      <c r="H58" s="17"/>
      <c r="I58" s="17"/>
      <c r="J58" s="17"/>
      <c r="K58" s="115"/>
      <c r="L58" s="17"/>
      <c r="M58" s="17"/>
      <c r="N58" s="17"/>
      <c r="O58" s="17"/>
      <c r="P58" s="17"/>
      <c r="Q58" s="17"/>
      <c r="R58" s="17"/>
      <c r="S58" s="17"/>
      <c r="T58" s="17"/>
    </row>
    <row r="59" spans="1:20" x14ac:dyDescent="0.25">
      <c r="A59" s="115"/>
      <c r="B59" s="17"/>
      <c r="C59" s="17"/>
      <c r="D59" s="17"/>
      <c r="E59" s="17"/>
      <c r="F59" s="17"/>
      <c r="G59" s="17"/>
      <c r="H59" s="17"/>
      <c r="I59" s="17"/>
      <c r="J59" s="17"/>
      <c r="K59" s="115"/>
      <c r="L59" s="17"/>
      <c r="M59" s="17"/>
      <c r="N59" s="17"/>
      <c r="O59" s="17"/>
      <c r="P59" s="17"/>
      <c r="Q59" s="17"/>
      <c r="R59" s="17"/>
      <c r="S59" s="17"/>
      <c r="T59" s="17"/>
    </row>
    <row r="60" spans="1:20" x14ac:dyDescent="0.25">
      <c r="A60" s="115"/>
      <c r="B60" s="17"/>
      <c r="C60" s="17"/>
      <c r="D60" s="17"/>
      <c r="E60" s="17"/>
      <c r="F60" s="17"/>
      <c r="G60" s="17"/>
      <c r="H60" s="17"/>
      <c r="I60" s="17"/>
      <c r="J60" s="17"/>
      <c r="K60" s="115"/>
      <c r="L60" s="17"/>
      <c r="M60" s="17"/>
      <c r="N60" s="17"/>
      <c r="O60" s="17"/>
      <c r="P60" s="17"/>
      <c r="Q60" s="17"/>
      <c r="R60" s="17"/>
      <c r="S60" s="17"/>
      <c r="T60" s="17"/>
    </row>
    <row r="61" spans="1:20" x14ac:dyDescent="0.25">
      <c r="A61" s="115"/>
      <c r="B61" s="17"/>
      <c r="C61" s="17"/>
      <c r="D61" s="17"/>
      <c r="E61" s="17"/>
      <c r="F61" s="17"/>
      <c r="G61" s="17"/>
      <c r="H61" s="17"/>
      <c r="I61" s="17"/>
      <c r="J61" s="17"/>
      <c r="K61" s="115"/>
      <c r="L61" s="17"/>
      <c r="M61" s="17"/>
      <c r="N61" s="17"/>
      <c r="O61" s="17"/>
      <c r="P61" s="17"/>
      <c r="Q61" s="17"/>
      <c r="R61" s="17"/>
      <c r="S61" s="17"/>
      <c r="T61" s="17"/>
    </row>
    <row r="62" spans="1:20" x14ac:dyDescent="0.25">
      <c r="A62" s="115"/>
      <c r="B62" s="17"/>
      <c r="C62" s="17"/>
      <c r="D62" s="17"/>
      <c r="E62" s="17"/>
      <c r="F62" s="17"/>
      <c r="G62" s="17"/>
      <c r="H62" s="17"/>
      <c r="I62" s="17"/>
      <c r="J62" s="17"/>
      <c r="K62" s="115"/>
      <c r="L62" s="17"/>
      <c r="M62" s="17"/>
      <c r="N62" s="17"/>
      <c r="O62" s="17"/>
      <c r="P62" s="17"/>
      <c r="Q62" s="17"/>
      <c r="R62" s="17"/>
      <c r="S62" s="17"/>
      <c r="T62" s="17"/>
    </row>
    <row r="63" spans="1:20" x14ac:dyDescent="0.25">
      <c r="A63" s="115"/>
      <c r="B63" s="17"/>
      <c r="C63" s="17"/>
      <c r="D63" s="17"/>
      <c r="E63" s="17"/>
      <c r="F63" s="17"/>
      <c r="G63" s="17"/>
      <c r="H63" s="17"/>
      <c r="I63" s="17"/>
      <c r="J63" s="17"/>
      <c r="K63" s="115"/>
      <c r="L63" s="17"/>
      <c r="M63" s="17"/>
      <c r="N63" s="17"/>
      <c r="O63" s="17"/>
      <c r="P63" s="17"/>
      <c r="Q63" s="17"/>
      <c r="R63" s="17"/>
      <c r="S63" s="17"/>
      <c r="T63" s="17"/>
    </row>
    <row r="64" spans="1:20" x14ac:dyDescent="0.25">
      <c r="A64" s="115"/>
      <c r="B64" s="17"/>
      <c r="C64" s="17"/>
      <c r="D64" s="17"/>
      <c r="E64" s="17"/>
      <c r="F64" s="17"/>
      <c r="G64" s="17"/>
      <c r="H64" s="17"/>
      <c r="I64" s="17"/>
      <c r="J64" s="17"/>
      <c r="K64" s="115"/>
      <c r="L64" s="17"/>
      <c r="M64" s="17"/>
      <c r="N64" s="17"/>
      <c r="O64" s="17"/>
      <c r="P64" s="17"/>
      <c r="Q64" s="17"/>
      <c r="R64" s="17"/>
      <c r="S64" s="17"/>
      <c r="T64" s="17"/>
    </row>
    <row r="65" spans="1:20" x14ac:dyDescent="0.25">
      <c r="A65" s="115"/>
      <c r="B65" s="17"/>
      <c r="C65" s="17"/>
      <c r="D65" s="17"/>
      <c r="E65" s="17"/>
      <c r="F65" s="17"/>
      <c r="G65" s="17"/>
      <c r="H65" s="17"/>
      <c r="I65" s="17"/>
      <c r="J65" s="17"/>
      <c r="K65" s="115"/>
      <c r="L65" s="17"/>
      <c r="M65" s="17"/>
      <c r="N65" s="17"/>
      <c r="O65" s="17"/>
      <c r="P65" s="17"/>
      <c r="Q65" s="17"/>
      <c r="R65" s="17"/>
      <c r="S65" s="17"/>
      <c r="T65" s="17"/>
    </row>
    <row r="66" spans="1:20" ht="15" customHeight="1" x14ac:dyDescent="0.25">
      <c r="A66" s="115"/>
      <c r="B66" s="17"/>
      <c r="C66" s="17"/>
      <c r="D66" s="17"/>
      <c r="E66" s="17"/>
      <c r="F66" s="17"/>
      <c r="G66" s="17"/>
      <c r="H66" s="17"/>
      <c r="I66" s="17"/>
      <c r="J66" s="17"/>
      <c r="K66" s="115"/>
      <c r="L66" s="17"/>
      <c r="M66" s="17"/>
      <c r="N66" s="17"/>
      <c r="O66" s="17"/>
      <c r="P66" s="17"/>
      <c r="Q66" s="17"/>
      <c r="R66" s="17"/>
      <c r="S66" s="17"/>
      <c r="T66" s="17"/>
    </row>
    <row r="67" spans="1:20" x14ac:dyDescent="0.25">
      <c r="A67" s="115"/>
      <c r="B67" s="17"/>
      <c r="C67" s="17"/>
      <c r="D67" s="17"/>
      <c r="E67" s="17"/>
      <c r="F67" s="17"/>
      <c r="G67" s="17"/>
      <c r="H67" s="17"/>
      <c r="I67" s="17"/>
      <c r="J67" s="17"/>
      <c r="K67" s="115"/>
      <c r="L67" s="17"/>
      <c r="M67" s="17"/>
      <c r="N67" s="17"/>
      <c r="O67" s="17"/>
      <c r="P67" s="17"/>
      <c r="Q67" s="17"/>
      <c r="R67" s="17"/>
      <c r="S67" s="17"/>
      <c r="T67" s="17"/>
    </row>
    <row r="68" spans="1:20" x14ac:dyDescent="0.25">
      <c r="A68" s="115"/>
      <c r="B68" s="17"/>
      <c r="C68" s="17"/>
      <c r="D68" s="17"/>
      <c r="E68" s="17"/>
      <c r="F68" s="17"/>
      <c r="G68" s="17"/>
      <c r="H68" s="17"/>
      <c r="I68" s="17"/>
      <c r="J68" s="17"/>
      <c r="K68" s="115"/>
      <c r="L68" s="17"/>
      <c r="M68" s="17"/>
      <c r="N68" s="17"/>
      <c r="O68" s="17"/>
      <c r="P68" s="17"/>
      <c r="Q68" s="17"/>
      <c r="R68" s="17"/>
      <c r="S68" s="17"/>
      <c r="T68" s="17"/>
    </row>
    <row r="69" spans="1:20" x14ac:dyDescent="0.25">
      <c r="A69" s="115"/>
      <c r="B69" s="17"/>
      <c r="C69" s="17"/>
      <c r="D69" s="17"/>
      <c r="E69" s="17"/>
      <c r="F69" s="17"/>
      <c r="G69" s="17"/>
      <c r="H69" s="17"/>
      <c r="I69" s="17"/>
      <c r="J69" s="17"/>
      <c r="K69" s="115"/>
      <c r="L69" s="17"/>
      <c r="M69" s="17"/>
      <c r="N69" s="17"/>
      <c r="O69" s="17"/>
      <c r="P69" s="17"/>
      <c r="Q69" s="17"/>
      <c r="R69" s="17"/>
      <c r="S69" s="17"/>
      <c r="T69" s="17"/>
    </row>
    <row r="70" spans="1:20" x14ac:dyDescent="0.25">
      <c r="A70" s="115"/>
      <c r="B70" s="17"/>
      <c r="C70" s="17"/>
      <c r="D70" s="17"/>
      <c r="E70" s="17"/>
      <c r="F70" s="17"/>
      <c r="G70" s="17"/>
      <c r="H70" s="17"/>
      <c r="I70" s="17"/>
      <c r="J70" s="17"/>
      <c r="K70" s="115"/>
      <c r="L70" s="17"/>
      <c r="M70" s="17"/>
      <c r="N70" s="17"/>
      <c r="O70" s="17"/>
      <c r="P70" s="17"/>
      <c r="Q70" s="17"/>
      <c r="R70" s="17"/>
      <c r="S70" s="17"/>
      <c r="T70" s="17"/>
    </row>
    <row r="71" spans="1:20" x14ac:dyDescent="0.25">
      <c r="A71" s="19"/>
      <c r="B71" s="17"/>
      <c r="C71" s="17"/>
      <c r="D71" s="17"/>
      <c r="E71" s="17"/>
      <c r="F71" s="17"/>
      <c r="G71" s="17"/>
      <c r="H71" s="17"/>
      <c r="I71" s="17"/>
      <c r="J71" s="17"/>
      <c r="K71" s="19"/>
      <c r="L71" s="17"/>
      <c r="M71" s="17"/>
      <c r="N71" s="17"/>
      <c r="O71" s="17"/>
      <c r="P71" s="17"/>
      <c r="Q71" s="17"/>
      <c r="R71" s="17"/>
      <c r="S71" s="17"/>
      <c r="T71" s="17"/>
    </row>
    <row r="72" spans="1:20" x14ac:dyDescent="0.25">
      <c r="A72" s="19"/>
      <c r="B72" s="17"/>
      <c r="C72" s="17"/>
      <c r="D72" s="17"/>
      <c r="E72" s="17"/>
      <c r="F72" s="17"/>
      <c r="G72" s="17"/>
      <c r="H72" s="17"/>
      <c r="I72" s="17"/>
      <c r="J72" s="17"/>
      <c r="K72" s="19"/>
      <c r="L72" s="17"/>
      <c r="M72" s="17"/>
      <c r="N72" s="17"/>
      <c r="O72" s="17"/>
      <c r="P72" s="17"/>
      <c r="Q72" s="17"/>
      <c r="R72" s="17"/>
      <c r="S72" s="17"/>
      <c r="T72" s="17"/>
    </row>
    <row r="73" spans="1:20" x14ac:dyDescent="0.25">
      <c r="A73" s="19"/>
      <c r="B73" s="17"/>
      <c r="C73" s="17"/>
      <c r="D73" s="17"/>
      <c r="E73" s="17"/>
      <c r="F73" s="17"/>
      <c r="G73" s="17"/>
      <c r="H73" s="17"/>
      <c r="I73" s="17"/>
      <c r="J73" s="17"/>
      <c r="K73" s="19"/>
      <c r="L73" s="17"/>
      <c r="M73" s="17"/>
      <c r="N73" s="17"/>
      <c r="O73" s="17"/>
      <c r="P73" s="17"/>
      <c r="Q73" s="17"/>
      <c r="R73" s="17"/>
      <c r="S73" s="17"/>
      <c r="T73" s="17"/>
    </row>
    <row r="74" spans="1:20" x14ac:dyDescent="0.25">
      <c r="A74" s="115" t="str">
        <f>'R7'!B1</f>
        <v>Mpumalanga</v>
      </c>
      <c r="B74" s="115"/>
      <c r="C74" s="17"/>
      <c r="D74" s="17"/>
      <c r="E74" s="17"/>
      <c r="F74" s="17"/>
      <c r="G74" s="17"/>
      <c r="H74" s="17"/>
      <c r="I74" s="17"/>
      <c r="J74" s="17"/>
      <c r="K74" s="115" t="str">
        <f>'R8'!B1</f>
        <v>Limpopo</v>
      </c>
      <c r="L74" s="17"/>
      <c r="M74" s="17"/>
      <c r="N74" s="17"/>
      <c r="O74" s="17"/>
      <c r="P74" s="17"/>
      <c r="Q74" s="17"/>
      <c r="R74" s="17"/>
      <c r="S74" s="17"/>
      <c r="T74" s="17"/>
    </row>
    <row r="75" spans="1:20" x14ac:dyDescent="0.25">
      <c r="A75" s="115"/>
      <c r="B75" s="115"/>
      <c r="C75" s="17"/>
      <c r="D75" s="17"/>
      <c r="E75" s="17"/>
      <c r="F75" s="17"/>
      <c r="G75" s="17"/>
      <c r="H75" s="17"/>
      <c r="I75" s="17"/>
      <c r="J75" s="17"/>
      <c r="K75" s="115"/>
      <c r="L75" s="17"/>
      <c r="M75" s="17"/>
      <c r="N75" s="17"/>
      <c r="O75" s="17"/>
      <c r="P75" s="17"/>
      <c r="Q75" s="17"/>
      <c r="R75" s="17"/>
      <c r="S75" s="17"/>
      <c r="T75" s="17"/>
    </row>
    <row r="76" spans="1:20" x14ac:dyDescent="0.25">
      <c r="A76" s="115"/>
      <c r="B76" s="115"/>
      <c r="C76" s="17"/>
      <c r="D76" s="17"/>
      <c r="E76" s="17"/>
      <c r="F76" s="17"/>
      <c r="G76" s="17"/>
      <c r="H76" s="17"/>
      <c r="I76" s="17"/>
      <c r="J76" s="17"/>
      <c r="K76" s="115"/>
      <c r="L76" s="17"/>
      <c r="M76" s="17"/>
      <c r="N76" s="17"/>
      <c r="O76" s="17"/>
      <c r="P76" s="17"/>
      <c r="Q76" s="17"/>
      <c r="R76" s="17"/>
      <c r="S76" s="17"/>
      <c r="T76" s="17"/>
    </row>
    <row r="77" spans="1:20" x14ac:dyDescent="0.25">
      <c r="A77" s="115"/>
      <c r="B77" s="115"/>
      <c r="C77" s="17"/>
      <c r="D77" s="17"/>
      <c r="E77" s="17"/>
      <c r="F77" s="17"/>
      <c r="G77" s="17"/>
      <c r="H77" s="17"/>
      <c r="I77" s="17"/>
      <c r="J77" s="17"/>
      <c r="K77" s="115"/>
      <c r="L77" s="17"/>
      <c r="M77" s="17"/>
      <c r="N77" s="17"/>
      <c r="O77" s="17"/>
      <c r="P77" s="17"/>
      <c r="Q77" s="17"/>
      <c r="R77" s="17"/>
      <c r="S77" s="17"/>
      <c r="T77" s="17"/>
    </row>
    <row r="78" spans="1:20" x14ac:dyDescent="0.25">
      <c r="A78" s="115"/>
      <c r="B78" s="115"/>
      <c r="C78" s="17"/>
      <c r="D78" s="17"/>
      <c r="E78" s="17"/>
      <c r="F78" s="17"/>
      <c r="G78" s="17"/>
      <c r="H78" s="17"/>
      <c r="I78" s="17"/>
      <c r="J78" s="17"/>
      <c r="K78" s="115"/>
      <c r="L78" s="17"/>
      <c r="M78" s="17"/>
      <c r="N78" s="17"/>
      <c r="O78" s="17"/>
      <c r="P78" s="17"/>
      <c r="Q78" s="17"/>
      <c r="R78" s="17"/>
      <c r="S78" s="17"/>
      <c r="T78" s="17"/>
    </row>
    <row r="79" spans="1:20" x14ac:dyDescent="0.25">
      <c r="A79" s="115"/>
      <c r="B79" s="115"/>
      <c r="C79" s="17"/>
      <c r="D79" s="17"/>
      <c r="E79" s="17"/>
      <c r="F79" s="17"/>
      <c r="G79" s="17"/>
      <c r="H79" s="17"/>
      <c r="I79" s="17"/>
      <c r="J79" s="17"/>
      <c r="K79" s="115"/>
      <c r="L79" s="17"/>
      <c r="M79" s="17"/>
      <c r="N79" s="17"/>
      <c r="O79" s="17"/>
      <c r="P79" s="17"/>
      <c r="Q79" s="17"/>
      <c r="R79" s="17"/>
      <c r="S79" s="17"/>
      <c r="T79" s="17"/>
    </row>
    <row r="80" spans="1:20" x14ac:dyDescent="0.25">
      <c r="A80" s="115"/>
      <c r="B80" s="115"/>
      <c r="C80" s="17"/>
      <c r="D80" s="17"/>
      <c r="E80" s="17"/>
      <c r="F80" s="17"/>
      <c r="G80" s="17"/>
      <c r="H80" s="17"/>
      <c r="I80" s="17"/>
      <c r="J80" s="17"/>
      <c r="K80" s="115"/>
      <c r="L80" s="17"/>
      <c r="M80" s="17"/>
      <c r="N80" s="17"/>
      <c r="O80" s="17"/>
      <c r="P80" s="17"/>
      <c r="Q80" s="17"/>
      <c r="R80" s="17"/>
      <c r="S80" s="17"/>
      <c r="T80" s="17"/>
    </row>
    <row r="81" spans="1:20" x14ac:dyDescent="0.25">
      <c r="A81" s="115"/>
      <c r="B81" s="115"/>
      <c r="C81" s="17"/>
      <c r="D81" s="17"/>
      <c r="E81" s="17"/>
      <c r="F81" s="17"/>
      <c r="G81" s="17"/>
      <c r="H81" s="17"/>
      <c r="I81" s="17"/>
      <c r="J81" s="17"/>
      <c r="K81" s="115"/>
      <c r="L81" s="17"/>
      <c r="M81" s="17"/>
      <c r="N81" s="17"/>
      <c r="O81" s="17"/>
      <c r="P81" s="17"/>
      <c r="Q81" s="17"/>
      <c r="R81" s="17"/>
      <c r="S81" s="17"/>
      <c r="T81" s="17"/>
    </row>
    <row r="82" spans="1:20" x14ac:dyDescent="0.25">
      <c r="A82" s="115"/>
      <c r="B82" s="115"/>
      <c r="C82" s="17"/>
      <c r="D82" s="17"/>
      <c r="E82" s="17"/>
      <c r="F82" s="17"/>
      <c r="G82" s="17"/>
      <c r="H82" s="17"/>
      <c r="I82" s="17"/>
      <c r="J82" s="17"/>
      <c r="K82" s="115"/>
      <c r="L82" s="17"/>
      <c r="M82" s="17"/>
      <c r="N82" s="17"/>
      <c r="O82" s="17"/>
      <c r="P82" s="17"/>
      <c r="Q82" s="17"/>
      <c r="R82" s="17"/>
      <c r="S82" s="17"/>
      <c r="T82" s="17"/>
    </row>
    <row r="83" spans="1:20" x14ac:dyDescent="0.25">
      <c r="A83" s="115"/>
      <c r="B83" s="115"/>
      <c r="C83" s="17"/>
      <c r="D83" s="17"/>
      <c r="E83" s="17"/>
      <c r="F83" s="17"/>
      <c r="G83" s="17"/>
      <c r="H83" s="17"/>
      <c r="I83" s="17"/>
      <c r="J83" s="17"/>
      <c r="K83" s="115"/>
      <c r="L83" s="17"/>
      <c r="M83" s="17"/>
      <c r="N83" s="17"/>
      <c r="O83" s="17"/>
      <c r="P83" s="17"/>
      <c r="Q83" s="17"/>
      <c r="R83" s="17"/>
      <c r="S83" s="17"/>
      <c r="T83" s="17"/>
    </row>
    <row r="84" spans="1:20" x14ac:dyDescent="0.25">
      <c r="A84" s="115"/>
      <c r="B84" s="115"/>
      <c r="C84" s="17"/>
      <c r="D84" s="17"/>
      <c r="E84" s="17"/>
      <c r="F84" s="17"/>
      <c r="G84" s="17"/>
      <c r="H84" s="17"/>
      <c r="I84" s="17"/>
      <c r="J84" s="17"/>
      <c r="K84" s="115"/>
      <c r="L84" s="17"/>
      <c r="M84" s="17"/>
      <c r="N84" s="17"/>
      <c r="O84" s="17"/>
      <c r="P84" s="17"/>
      <c r="Q84" s="17"/>
      <c r="R84" s="17"/>
      <c r="S84" s="17"/>
      <c r="T84" s="17"/>
    </row>
    <row r="85" spans="1:20" x14ac:dyDescent="0.25">
      <c r="A85" s="115"/>
      <c r="B85" s="115"/>
      <c r="C85" s="17"/>
      <c r="D85" s="17"/>
      <c r="E85" s="17"/>
      <c r="F85" s="17"/>
      <c r="G85" s="17"/>
      <c r="H85" s="17"/>
      <c r="I85" s="17"/>
      <c r="J85" s="17"/>
      <c r="K85" s="115"/>
      <c r="L85" s="17"/>
      <c r="M85" s="17"/>
      <c r="N85" s="17"/>
      <c r="O85" s="17"/>
      <c r="P85" s="17"/>
      <c r="Q85" s="17"/>
      <c r="R85" s="17"/>
      <c r="S85" s="17"/>
      <c r="T85" s="17"/>
    </row>
    <row r="86" spans="1:20" x14ac:dyDescent="0.25">
      <c r="A86" s="115"/>
      <c r="B86" s="115"/>
      <c r="C86" s="17"/>
      <c r="D86" s="17"/>
      <c r="E86" s="17"/>
      <c r="F86" s="17"/>
      <c r="G86" s="17"/>
      <c r="H86" s="17"/>
      <c r="I86" s="17"/>
      <c r="J86" s="17"/>
      <c r="K86" s="115"/>
      <c r="L86" s="17"/>
      <c r="M86" s="17"/>
      <c r="N86" s="17"/>
      <c r="O86" s="17"/>
      <c r="P86" s="17"/>
      <c r="Q86" s="17"/>
      <c r="R86" s="17"/>
      <c r="S86" s="17"/>
      <c r="T86" s="17"/>
    </row>
    <row r="87" spans="1:20" ht="15" customHeight="1" x14ac:dyDescent="0.25">
      <c r="A87" s="115"/>
      <c r="B87" s="115"/>
      <c r="C87" s="17"/>
      <c r="D87" s="17"/>
      <c r="E87" s="17"/>
      <c r="F87" s="17"/>
      <c r="G87" s="17"/>
      <c r="H87" s="17"/>
      <c r="I87" s="17"/>
      <c r="J87" s="17"/>
      <c r="K87" s="115"/>
      <c r="L87" s="17"/>
      <c r="M87" s="17"/>
      <c r="N87" s="17"/>
      <c r="O87" s="17"/>
      <c r="P87" s="17"/>
      <c r="Q87" s="17"/>
      <c r="R87" s="17"/>
      <c r="S87" s="17"/>
      <c r="T87" s="17"/>
    </row>
    <row r="88" spans="1:20" x14ac:dyDescent="0.25">
      <c r="A88" s="19"/>
      <c r="B88" s="17"/>
      <c r="C88" s="17"/>
      <c r="D88" s="17"/>
      <c r="E88" s="17"/>
      <c r="F88" s="17"/>
      <c r="G88" s="17"/>
      <c r="H88" s="17"/>
      <c r="I88" s="17"/>
      <c r="J88" s="17"/>
      <c r="K88" s="19"/>
      <c r="L88" s="17"/>
      <c r="M88" s="17"/>
      <c r="N88" s="17"/>
      <c r="O88" s="17"/>
      <c r="P88" s="17"/>
      <c r="Q88" s="17"/>
      <c r="R88" s="17"/>
      <c r="S88" s="17"/>
      <c r="T88" s="17"/>
    </row>
    <row r="89" spans="1:20" x14ac:dyDescent="0.25">
      <c r="A89" s="19"/>
      <c r="B89" s="17"/>
      <c r="C89" s="17"/>
      <c r="D89" s="17"/>
      <c r="E89" s="17"/>
      <c r="F89" s="17"/>
      <c r="G89" s="17"/>
      <c r="H89" s="17"/>
      <c r="I89" s="17"/>
      <c r="J89" s="17"/>
      <c r="K89" s="19"/>
      <c r="L89" s="17"/>
      <c r="M89" s="17"/>
      <c r="N89" s="17"/>
      <c r="O89" s="17"/>
      <c r="P89" s="17"/>
      <c r="Q89" s="17"/>
      <c r="R89" s="17"/>
      <c r="S89" s="17"/>
      <c r="T89" s="17"/>
    </row>
    <row r="90" spans="1:20" x14ac:dyDescent="0.25">
      <c r="A90" s="19"/>
      <c r="B90" s="17"/>
      <c r="C90" s="17"/>
      <c r="D90" s="17"/>
      <c r="E90" s="17"/>
      <c r="F90" s="17"/>
      <c r="G90" s="17"/>
      <c r="H90" s="17"/>
      <c r="I90" s="17"/>
      <c r="J90" s="17"/>
      <c r="K90" s="19"/>
      <c r="L90" s="17"/>
      <c r="M90" s="17"/>
      <c r="N90" s="17"/>
      <c r="O90" s="17"/>
      <c r="P90" s="17"/>
      <c r="Q90" s="17"/>
      <c r="R90" s="17"/>
      <c r="S90" s="17"/>
      <c r="T90" s="17"/>
    </row>
    <row r="91" spans="1:20" x14ac:dyDescent="0.25">
      <c r="A91" s="19"/>
      <c r="B91" s="17"/>
      <c r="C91" s="17"/>
      <c r="D91" s="17"/>
      <c r="E91" s="17"/>
      <c r="F91" s="17"/>
      <c r="G91" s="17"/>
      <c r="H91" s="17"/>
      <c r="I91" s="17"/>
      <c r="J91" s="17"/>
      <c r="K91" s="19"/>
      <c r="L91" s="17"/>
      <c r="M91" s="17"/>
      <c r="N91" s="17"/>
      <c r="O91" s="17"/>
      <c r="P91" s="17"/>
      <c r="Q91" s="17"/>
      <c r="R91" s="17"/>
      <c r="S91" s="17"/>
      <c r="T91" s="17"/>
    </row>
    <row r="92" spans="1:20" x14ac:dyDescent="0.25">
      <c r="A92" s="74"/>
      <c r="B92" s="16"/>
      <c r="C92" s="16"/>
      <c r="D92" s="16"/>
      <c r="E92" s="16"/>
      <c r="F92" s="16"/>
      <c r="G92" s="16"/>
      <c r="H92" s="16"/>
      <c r="I92" s="16"/>
      <c r="J92" s="16"/>
      <c r="K92" s="74"/>
      <c r="L92" s="16"/>
      <c r="M92" s="16"/>
      <c r="N92" s="16"/>
      <c r="O92" s="16"/>
      <c r="P92" s="16"/>
      <c r="Q92" s="16"/>
      <c r="R92" s="16"/>
      <c r="S92" s="16"/>
      <c r="T92" s="16"/>
    </row>
    <row r="93" spans="1:20" x14ac:dyDescent="0.25">
      <c r="K93" s="73"/>
    </row>
    <row r="94" spans="1:20" x14ac:dyDescent="0.25">
      <c r="K94" s="73"/>
    </row>
    <row r="95" spans="1:20" x14ac:dyDescent="0.25">
      <c r="K95" s="73"/>
    </row>
    <row r="96" spans="1:20" x14ac:dyDescent="0.25">
      <c r="K96" s="73"/>
    </row>
    <row r="97" spans="11:11" x14ac:dyDescent="0.25">
      <c r="K97" s="73"/>
    </row>
    <row r="98" spans="11:11" x14ac:dyDescent="0.25">
      <c r="K98" s="73"/>
    </row>
    <row r="99" spans="11:11" x14ac:dyDescent="0.25">
      <c r="K99" s="73"/>
    </row>
    <row r="100" spans="11:11" x14ac:dyDescent="0.25">
      <c r="K100" s="73"/>
    </row>
    <row r="101" spans="11:11" x14ac:dyDescent="0.25">
      <c r="K101" s="73"/>
    </row>
    <row r="102" spans="11:11" x14ac:dyDescent="0.25">
      <c r="K102" s="73"/>
    </row>
    <row r="103" spans="11:11" x14ac:dyDescent="0.25">
      <c r="K103" s="73"/>
    </row>
    <row r="104" spans="11:11" x14ac:dyDescent="0.25">
      <c r="K104" s="73"/>
    </row>
    <row r="105" spans="11:11" x14ac:dyDescent="0.25">
      <c r="K105" s="73"/>
    </row>
    <row r="106" spans="11:11" x14ac:dyDescent="0.25">
      <c r="K106" s="73"/>
    </row>
    <row r="107" spans="11:11" x14ac:dyDescent="0.25">
      <c r="K107" s="73"/>
    </row>
  </sheetData>
  <mergeCells count="10">
    <mergeCell ref="A4:A17"/>
    <mergeCell ref="K4:K17"/>
    <mergeCell ref="A74:B87"/>
    <mergeCell ref="K74:K87"/>
    <mergeCell ref="A21:A34"/>
    <mergeCell ref="K21:K34"/>
    <mergeCell ref="A39:A52"/>
    <mergeCell ref="K39:K52"/>
    <mergeCell ref="A57:A70"/>
    <mergeCell ref="K57:K70"/>
  </mergeCells>
  <printOptions horizontalCentered="1" verticalCentered="1"/>
  <pageMargins left="0" right="0" top="0" bottom="0" header="0" footer="0"/>
  <pageSetup scale="150" orientation="landscape" horizontalDpi="4294967292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499984740745262"/>
    <pageSetUpPr fitToPage="1"/>
  </sheetPr>
  <dimension ref="A1:V91"/>
  <sheetViews>
    <sheetView zoomScale="55" zoomScaleNormal="55" workbookViewId="0">
      <selection activeCell="AE46" sqref="AE46"/>
    </sheetView>
  </sheetViews>
  <sheetFormatPr defaultColWidth="9.140625" defaultRowHeight="15" x14ac:dyDescent="0.25"/>
  <cols>
    <col min="1" max="1" width="9.140625" style="20"/>
    <col min="2" max="2" width="9.140625" style="20" customWidth="1"/>
    <col min="3" max="16384" width="9.140625" style="20"/>
  </cols>
  <sheetData>
    <row r="1" spans="1:22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</row>
    <row r="2" spans="1:22" ht="15" customHeight="1" x14ac:dyDescent="0.25">
      <c r="A2" s="16"/>
      <c r="B2" s="60"/>
      <c r="C2" s="61"/>
      <c r="D2" s="117" t="s">
        <v>43</v>
      </c>
      <c r="E2" s="117"/>
      <c r="F2" s="117"/>
      <c r="G2" s="117"/>
      <c r="H2" s="117"/>
      <c r="I2" s="117"/>
      <c r="J2" s="117"/>
      <c r="K2" s="117"/>
      <c r="L2" s="66"/>
      <c r="M2" s="117" t="s">
        <v>45</v>
      </c>
      <c r="N2" s="117"/>
      <c r="O2" s="117"/>
      <c r="P2" s="117"/>
      <c r="Q2" s="117"/>
      <c r="R2" s="117"/>
      <c r="S2" s="117"/>
      <c r="T2" s="117"/>
      <c r="U2" s="66"/>
      <c r="V2" s="20" t="s">
        <v>34</v>
      </c>
    </row>
    <row r="3" spans="1:22" ht="15" customHeight="1" x14ac:dyDescent="0.25">
      <c r="A3" s="16"/>
      <c r="B3" s="60"/>
      <c r="C3" s="61"/>
      <c r="D3" s="117"/>
      <c r="E3" s="117"/>
      <c r="F3" s="117"/>
      <c r="G3" s="117"/>
      <c r="H3" s="117"/>
      <c r="I3" s="117"/>
      <c r="J3" s="117"/>
      <c r="K3" s="117"/>
      <c r="L3" s="66"/>
      <c r="M3" s="117"/>
      <c r="N3" s="117"/>
      <c r="O3" s="117"/>
      <c r="P3" s="117"/>
      <c r="Q3" s="117"/>
      <c r="R3" s="117"/>
      <c r="S3" s="117"/>
      <c r="T3" s="117"/>
      <c r="U3" s="66"/>
      <c r="V3" s="20" t="s">
        <v>35</v>
      </c>
    </row>
    <row r="4" spans="1:22" ht="15" customHeight="1" x14ac:dyDescent="0.25">
      <c r="A4" s="16"/>
      <c r="B4" s="60"/>
      <c r="C4" s="61"/>
      <c r="D4" s="117" t="s">
        <v>44</v>
      </c>
      <c r="E4" s="117"/>
      <c r="F4" s="117"/>
      <c r="G4" s="117"/>
      <c r="H4" s="117"/>
      <c r="I4" s="117"/>
      <c r="J4" s="117"/>
      <c r="K4" s="117"/>
      <c r="L4" s="66"/>
      <c r="M4" s="117" t="s">
        <v>44</v>
      </c>
      <c r="N4" s="117"/>
      <c r="O4" s="117"/>
      <c r="P4" s="117"/>
      <c r="Q4" s="117"/>
      <c r="R4" s="117"/>
      <c r="S4" s="117"/>
      <c r="T4" s="117"/>
      <c r="U4" s="66"/>
      <c r="V4" s="20" t="s">
        <v>36</v>
      </c>
    </row>
    <row r="5" spans="1:22" ht="15" customHeight="1" x14ac:dyDescent="0.25">
      <c r="A5" s="16"/>
      <c r="B5" s="60"/>
      <c r="C5" s="61"/>
      <c r="D5" s="117"/>
      <c r="E5" s="117"/>
      <c r="F5" s="117"/>
      <c r="G5" s="117"/>
      <c r="H5" s="117"/>
      <c r="I5" s="117"/>
      <c r="J5" s="117"/>
      <c r="K5" s="117"/>
      <c r="L5" s="66"/>
      <c r="M5" s="117"/>
      <c r="N5" s="117"/>
      <c r="O5" s="117"/>
      <c r="P5" s="117"/>
      <c r="Q5" s="117"/>
      <c r="R5" s="117"/>
      <c r="S5" s="117"/>
      <c r="T5" s="117"/>
      <c r="U5" s="66"/>
      <c r="V5" s="20" t="s">
        <v>37</v>
      </c>
    </row>
    <row r="6" spans="1:22" ht="15" customHeight="1" x14ac:dyDescent="0.7">
      <c r="A6" s="16"/>
      <c r="B6" s="18"/>
      <c r="C6" s="17"/>
      <c r="D6" s="65"/>
      <c r="E6" s="65"/>
      <c r="F6" s="65"/>
      <c r="G6" s="65"/>
      <c r="H6" s="65"/>
      <c r="I6" s="65"/>
      <c r="J6" s="65"/>
      <c r="K6" s="65"/>
      <c r="L6" s="64"/>
      <c r="M6" s="64"/>
      <c r="N6" s="64"/>
      <c r="O6" s="64"/>
      <c r="P6" s="64"/>
      <c r="Q6" s="64"/>
      <c r="R6" s="64"/>
      <c r="S6" s="64"/>
      <c r="T6" s="65"/>
      <c r="U6" s="65"/>
    </row>
    <row r="7" spans="1:22" ht="15" customHeight="1" x14ac:dyDescent="0.25">
      <c r="A7" s="16"/>
      <c r="B7" s="18"/>
      <c r="C7" s="17"/>
      <c r="D7" s="17"/>
      <c r="E7" s="17"/>
      <c r="F7" s="17"/>
      <c r="G7" s="17"/>
      <c r="H7" s="17"/>
      <c r="I7" s="17"/>
      <c r="J7" s="17"/>
      <c r="K7" s="17"/>
      <c r="L7" s="61"/>
      <c r="M7" s="61"/>
      <c r="N7" s="61"/>
      <c r="O7" s="61"/>
      <c r="P7" s="61"/>
      <c r="Q7" s="61"/>
      <c r="R7" s="61"/>
      <c r="S7" s="61"/>
      <c r="T7" s="17"/>
      <c r="U7" s="17"/>
    </row>
    <row r="8" spans="1:22" ht="15" customHeight="1" x14ac:dyDescent="0.25">
      <c r="A8" s="16"/>
      <c r="B8" s="114" t="s">
        <v>39</v>
      </c>
      <c r="C8" s="17"/>
      <c r="D8" s="17"/>
      <c r="E8" s="17"/>
      <c r="F8" s="17"/>
      <c r="G8" s="17"/>
      <c r="H8" s="17"/>
      <c r="I8" s="17"/>
      <c r="J8" s="17"/>
      <c r="K8" s="17"/>
      <c r="L8" s="18"/>
      <c r="M8" s="17"/>
      <c r="N8" s="17"/>
      <c r="O8" s="17"/>
      <c r="P8" s="17"/>
      <c r="Q8" s="17"/>
      <c r="R8" s="17"/>
      <c r="S8" s="17"/>
      <c r="T8" s="17"/>
      <c r="U8" s="17"/>
    </row>
    <row r="9" spans="1:22" x14ac:dyDescent="0.25">
      <c r="A9" s="16"/>
      <c r="B9" s="114"/>
      <c r="C9" s="17"/>
      <c r="D9" s="17"/>
      <c r="E9" s="17"/>
      <c r="F9" s="17"/>
      <c r="G9" s="17"/>
      <c r="H9" s="17"/>
      <c r="I9" s="17"/>
      <c r="J9" s="17"/>
      <c r="K9" s="17"/>
      <c r="L9" s="19"/>
      <c r="M9" s="17"/>
      <c r="N9" s="17"/>
      <c r="O9" s="17"/>
      <c r="P9" s="17"/>
      <c r="Q9" s="17"/>
      <c r="R9" s="17"/>
      <c r="S9" s="17"/>
      <c r="T9" s="17"/>
      <c r="U9" s="17"/>
    </row>
    <row r="10" spans="1:22" x14ac:dyDescent="0.25">
      <c r="A10" s="16"/>
      <c r="B10" s="114"/>
      <c r="C10" s="17"/>
      <c r="D10" s="17"/>
      <c r="E10" s="17"/>
      <c r="F10" s="17"/>
      <c r="G10" s="17"/>
      <c r="H10" s="17"/>
      <c r="I10" s="17"/>
      <c r="J10" s="17"/>
      <c r="K10" s="17"/>
      <c r="L10" s="19"/>
      <c r="M10" s="17"/>
      <c r="N10" s="17"/>
      <c r="O10" s="17"/>
      <c r="P10" s="17"/>
      <c r="Q10" s="17"/>
      <c r="R10" s="17"/>
      <c r="S10" s="17"/>
      <c r="T10" s="17"/>
      <c r="U10" s="17"/>
    </row>
    <row r="11" spans="1:22" x14ac:dyDescent="0.25">
      <c r="A11" s="16"/>
      <c r="B11" s="114"/>
      <c r="C11" s="17"/>
      <c r="D11" s="17"/>
      <c r="E11" s="17"/>
      <c r="F11" s="17"/>
      <c r="G11" s="17"/>
      <c r="H11" s="17"/>
      <c r="I11" s="17"/>
      <c r="J11" s="17"/>
      <c r="K11" s="17"/>
      <c r="L11" s="19"/>
      <c r="M11" s="17"/>
      <c r="N11" s="17"/>
      <c r="O11" s="17"/>
      <c r="P11" s="17"/>
      <c r="Q11" s="17"/>
      <c r="R11" s="17"/>
      <c r="S11" s="17"/>
      <c r="T11" s="17"/>
      <c r="U11" s="17"/>
    </row>
    <row r="12" spans="1:22" x14ac:dyDescent="0.25">
      <c r="A12" s="16"/>
      <c r="B12" s="114"/>
      <c r="C12" s="17"/>
      <c r="D12" s="17"/>
      <c r="E12" s="17"/>
      <c r="F12" s="17"/>
      <c r="G12" s="17"/>
      <c r="H12" s="17"/>
      <c r="I12" s="17"/>
      <c r="J12" s="17"/>
      <c r="K12" s="17"/>
      <c r="L12" s="19"/>
      <c r="M12" s="17"/>
      <c r="N12" s="17"/>
      <c r="O12" s="17"/>
      <c r="P12" s="17"/>
      <c r="Q12" s="17"/>
      <c r="R12" s="17"/>
      <c r="S12" s="17"/>
      <c r="T12" s="17"/>
      <c r="U12" s="17"/>
    </row>
    <row r="13" spans="1:22" x14ac:dyDescent="0.25">
      <c r="A13" s="16"/>
      <c r="B13" s="114"/>
      <c r="C13" s="17"/>
      <c r="D13" s="17"/>
      <c r="E13" s="17"/>
      <c r="F13" s="17"/>
      <c r="G13" s="17"/>
      <c r="H13" s="17"/>
      <c r="I13" s="17"/>
      <c r="J13" s="17"/>
      <c r="K13" s="17"/>
      <c r="L13" s="19"/>
      <c r="M13" s="17"/>
      <c r="N13" s="17"/>
      <c r="O13" s="17"/>
      <c r="P13" s="17"/>
      <c r="Q13" s="17"/>
      <c r="R13" s="17"/>
      <c r="S13" s="17"/>
      <c r="T13" s="17"/>
      <c r="U13" s="17"/>
    </row>
    <row r="14" spans="1:22" x14ac:dyDescent="0.25">
      <c r="A14" s="16"/>
      <c r="B14" s="114"/>
      <c r="C14" s="17"/>
      <c r="D14" s="17"/>
      <c r="E14" s="17"/>
      <c r="F14" s="17"/>
      <c r="G14" s="17"/>
      <c r="H14" s="17"/>
      <c r="I14" s="17"/>
      <c r="J14" s="17"/>
      <c r="K14" s="17"/>
      <c r="L14" s="19"/>
      <c r="M14" s="17"/>
      <c r="N14" s="17"/>
      <c r="O14" s="17"/>
      <c r="P14" s="17"/>
      <c r="Q14" s="17"/>
      <c r="R14" s="17"/>
      <c r="S14" s="17"/>
      <c r="T14" s="17"/>
      <c r="U14" s="17"/>
    </row>
    <row r="15" spans="1:22" x14ac:dyDescent="0.25">
      <c r="A15" s="16"/>
      <c r="B15" s="114"/>
      <c r="C15" s="17"/>
      <c r="D15" s="17"/>
      <c r="E15" s="17"/>
      <c r="F15" s="17"/>
      <c r="G15" s="17"/>
      <c r="H15" s="17"/>
      <c r="I15" s="17"/>
      <c r="J15" s="17"/>
      <c r="K15" s="17"/>
      <c r="L15" s="19"/>
      <c r="M15" s="17"/>
      <c r="N15" s="17"/>
      <c r="O15" s="17"/>
      <c r="P15" s="17"/>
      <c r="Q15" s="17"/>
      <c r="R15" s="17"/>
      <c r="S15" s="17"/>
      <c r="T15" s="17"/>
      <c r="U15" s="17"/>
    </row>
    <row r="16" spans="1:22" x14ac:dyDescent="0.25">
      <c r="A16" s="16"/>
      <c r="B16" s="114"/>
      <c r="C16" s="17"/>
      <c r="D16" s="17"/>
      <c r="E16" s="17"/>
      <c r="F16" s="17"/>
      <c r="G16" s="17"/>
      <c r="H16" s="17"/>
      <c r="I16" s="17"/>
      <c r="J16" s="17"/>
      <c r="K16" s="17"/>
      <c r="L16" s="19"/>
      <c r="M16" s="17"/>
      <c r="N16" s="17"/>
      <c r="O16" s="17"/>
      <c r="P16" s="17"/>
      <c r="Q16" s="17"/>
      <c r="R16" s="17"/>
      <c r="S16" s="17"/>
      <c r="T16" s="17"/>
      <c r="U16" s="17"/>
    </row>
    <row r="17" spans="1:21" x14ac:dyDescent="0.25">
      <c r="A17" s="16"/>
      <c r="B17" s="114"/>
      <c r="C17" s="17"/>
      <c r="D17" s="17"/>
      <c r="E17" s="17"/>
      <c r="F17" s="17"/>
      <c r="G17" s="17"/>
      <c r="H17" s="17"/>
      <c r="I17" s="17"/>
      <c r="J17" s="17"/>
      <c r="K17" s="17"/>
      <c r="L17" s="19"/>
      <c r="M17" s="17"/>
      <c r="N17" s="17"/>
      <c r="O17" s="17"/>
      <c r="P17" s="17"/>
      <c r="Q17" s="17"/>
      <c r="R17" s="17"/>
      <c r="S17" s="17"/>
      <c r="T17" s="17"/>
      <c r="U17" s="17"/>
    </row>
    <row r="18" spans="1:21" x14ac:dyDescent="0.25">
      <c r="A18" s="16"/>
      <c r="B18" s="114"/>
      <c r="C18" s="17"/>
      <c r="D18" s="17"/>
      <c r="E18" s="17"/>
      <c r="F18" s="17"/>
      <c r="G18" s="17"/>
      <c r="H18" s="17"/>
      <c r="I18" s="17"/>
      <c r="J18" s="17"/>
      <c r="K18" s="17"/>
      <c r="L18" s="19"/>
      <c r="M18" s="17"/>
      <c r="N18" s="17"/>
      <c r="O18" s="17"/>
      <c r="P18" s="17"/>
      <c r="Q18" s="17"/>
      <c r="R18" s="17"/>
      <c r="S18" s="17"/>
      <c r="T18" s="17"/>
      <c r="U18" s="17"/>
    </row>
    <row r="19" spans="1:21" x14ac:dyDescent="0.25">
      <c r="A19" s="16"/>
      <c r="B19" s="114"/>
      <c r="C19" s="17"/>
      <c r="D19" s="17"/>
      <c r="E19" s="17"/>
      <c r="F19" s="17"/>
      <c r="G19" s="17"/>
      <c r="H19" s="17"/>
      <c r="I19" s="17"/>
      <c r="J19" s="17"/>
      <c r="K19" s="17"/>
      <c r="L19" s="19"/>
      <c r="M19" s="17"/>
      <c r="N19" s="17"/>
      <c r="O19" s="17"/>
      <c r="P19" s="17"/>
      <c r="Q19" s="17"/>
      <c r="R19" s="17"/>
      <c r="S19" s="17"/>
      <c r="T19" s="17"/>
      <c r="U19" s="17"/>
    </row>
    <row r="20" spans="1:21" x14ac:dyDescent="0.25">
      <c r="A20" s="16"/>
      <c r="B20" s="114"/>
      <c r="C20" s="17"/>
      <c r="D20" s="17"/>
      <c r="E20" s="17"/>
      <c r="F20" s="17"/>
      <c r="G20" s="17"/>
      <c r="H20" s="17"/>
      <c r="I20" s="17"/>
      <c r="J20" s="17"/>
      <c r="K20" s="17"/>
      <c r="L20" s="19"/>
      <c r="M20" s="17"/>
      <c r="N20" s="17"/>
      <c r="O20" s="17"/>
      <c r="P20" s="17"/>
      <c r="Q20" s="17"/>
      <c r="R20" s="17"/>
      <c r="S20" s="17"/>
      <c r="T20" s="17"/>
      <c r="U20" s="17"/>
    </row>
    <row r="21" spans="1:21" x14ac:dyDescent="0.25">
      <c r="A21" s="16"/>
      <c r="B21" s="114"/>
      <c r="C21" s="17"/>
      <c r="D21" s="17"/>
      <c r="E21" s="17"/>
      <c r="F21" s="17"/>
      <c r="G21" s="17"/>
      <c r="H21" s="17"/>
      <c r="I21" s="17"/>
      <c r="J21" s="17"/>
      <c r="K21" s="17"/>
      <c r="L21" s="19"/>
      <c r="M21" s="17"/>
      <c r="N21" s="17"/>
      <c r="O21" s="17"/>
      <c r="P21" s="17"/>
      <c r="Q21" s="17"/>
      <c r="R21" s="17"/>
      <c r="S21" s="17"/>
      <c r="T21" s="17"/>
      <c r="U21" s="17"/>
    </row>
    <row r="22" spans="1:21" x14ac:dyDescent="0.25">
      <c r="A22" s="16"/>
      <c r="B22" s="114"/>
      <c r="C22" s="17"/>
      <c r="D22" s="17"/>
      <c r="E22" s="17"/>
      <c r="F22" s="17"/>
      <c r="G22" s="17"/>
      <c r="H22" s="17"/>
      <c r="I22" s="17"/>
      <c r="J22" s="17"/>
      <c r="K22" s="17"/>
      <c r="L22" s="19"/>
      <c r="M22" s="17"/>
      <c r="N22" s="17"/>
      <c r="O22" s="17"/>
      <c r="P22" s="17"/>
      <c r="Q22" s="17"/>
      <c r="R22" s="17"/>
      <c r="S22" s="17"/>
      <c r="T22" s="17"/>
      <c r="U22" s="17"/>
    </row>
    <row r="23" spans="1:21" x14ac:dyDescent="0.25">
      <c r="A23" s="16"/>
      <c r="B23" s="114"/>
      <c r="C23" s="17"/>
      <c r="D23" s="17"/>
      <c r="E23" s="17"/>
      <c r="F23" s="17"/>
      <c r="G23" s="17"/>
      <c r="H23" s="17"/>
      <c r="I23" s="17"/>
      <c r="J23" s="17"/>
      <c r="K23" s="17"/>
      <c r="L23" s="19"/>
      <c r="M23" s="17"/>
      <c r="N23" s="17"/>
      <c r="O23" s="17"/>
      <c r="P23" s="17"/>
      <c r="Q23" s="17"/>
      <c r="R23" s="17"/>
      <c r="S23" s="17"/>
      <c r="T23" s="17"/>
      <c r="U23" s="17"/>
    </row>
    <row r="24" spans="1:21" x14ac:dyDescent="0.25">
      <c r="A24" s="16"/>
      <c r="B24" s="114"/>
      <c r="C24" s="17"/>
      <c r="D24" s="17"/>
      <c r="E24" s="17"/>
      <c r="F24" s="17"/>
      <c r="G24" s="17"/>
      <c r="H24" s="17"/>
      <c r="I24" s="17"/>
      <c r="J24" s="17"/>
      <c r="K24" s="17"/>
      <c r="L24" s="19"/>
      <c r="M24" s="17"/>
      <c r="N24" s="17"/>
      <c r="O24" s="17"/>
      <c r="P24" s="17"/>
      <c r="Q24" s="17"/>
      <c r="R24" s="17"/>
      <c r="S24" s="17"/>
      <c r="T24" s="17"/>
      <c r="U24" s="17"/>
    </row>
    <row r="25" spans="1:21" x14ac:dyDescent="0.25">
      <c r="A25" s="16"/>
      <c r="B25" s="1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6" spans="1:21" x14ac:dyDescent="0.25">
      <c r="A26" s="16"/>
      <c r="B26" s="1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</row>
    <row r="27" spans="1:21" x14ac:dyDescent="0.25">
      <c r="A27" s="16"/>
      <c r="B27" s="18"/>
      <c r="C27" s="17"/>
      <c r="D27" s="17"/>
      <c r="E27" s="17"/>
      <c r="F27" s="17"/>
      <c r="G27" s="17"/>
      <c r="H27" s="17"/>
      <c r="I27" s="17"/>
      <c r="J27" s="17"/>
      <c r="K27" s="17"/>
      <c r="L27" s="19"/>
      <c r="M27" s="17"/>
      <c r="N27" s="17"/>
      <c r="O27" s="17"/>
      <c r="P27" s="17"/>
      <c r="Q27" s="17"/>
      <c r="R27" s="17"/>
      <c r="S27" s="17"/>
      <c r="T27" s="17"/>
      <c r="U27" s="17"/>
    </row>
    <row r="28" spans="1:21" ht="15" customHeight="1" x14ac:dyDescent="0.25">
      <c r="A28" s="16"/>
      <c r="B28" s="18"/>
      <c r="C28" s="17"/>
      <c r="D28" s="17"/>
      <c r="E28" s="17"/>
      <c r="F28" s="17"/>
      <c r="G28" s="17"/>
      <c r="H28" s="17"/>
      <c r="I28" s="17"/>
      <c r="J28" s="17"/>
      <c r="K28" s="17"/>
      <c r="L28" s="19"/>
      <c r="M28" s="17"/>
      <c r="N28" s="17"/>
      <c r="O28" s="17"/>
      <c r="P28" s="17"/>
      <c r="Q28" s="17"/>
      <c r="R28" s="17"/>
      <c r="S28" s="17"/>
      <c r="T28" s="17"/>
      <c r="U28" s="17"/>
    </row>
    <row r="29" spans="1:21" ht="15" customHeight="1" x14ac:dyDescent="0.25">
      <c r="A29" s="16"/>
      <c r="B29" s="114" t="s">
        <v>40</v>
      </c>
      <c r="C29" s="17"/>
      <c r="D29" s="17"/>
      <c r="E29" s="17"/>
      <c r="F29" s="17"/>
      <c r="G29" s="17"/>
      <c r="H29" s="17"/>
      <c r="I29" s="17"/>
      <c r="J29" s="17"/>
      <c r="K29" s="17"/>
      <c r="L29" s="115"/>
      <c r="M29" s="17"/>
      <c r="N29" s="17"/>
      <c r="O29" s="17"/>
      <c r="P29" s="17"/>
      <c r="Q29" s="17"/>
      <c r="R29" s="17"/>
      <c r="S29" s="17"/>
      <c r="T29" s="17"/>
      <c r="U29" s="17"/>
    </row>
    <row r="30" spans="1:21" x14ac:dyDescent="0.25">
      <c r="A30" s="16"/>
      <c r="B30" s="114"/>
      <c r="C30" s="17"/>
      <c r="D30" s="17"/>
      <c r="E30" s="17"/>
      <c r="F30" s="17"/>
      <c r="G30" s="17"/>
      <c r="H30" s="17"/>
      <c r="I30" s="17"/>
      <c r="J30" s="17"/>
      <c r="K30" s="17"/>
      <c r="L30" s="115"/>
      <c r="M30" s="17"/>
      <c r="N30" s="17"/>
      <c r="O30" s="17"/>
      <c r="P30" s="17"/>
      <c r="Q30" s="17"/>
      <c r="R30" s="17"/>
      <c r="S30" s="17"/>
      <c r="T30" s="17"/>
      <c r="U30" s="17"/>
    </row>
    <row r="31" spans="1:21" x14ac:dyDescent="0.25">
      <c r="A31" s="16"/>
      <c r="B31" s="114"/>
      <c r="C31" s="17"/>
      <c r="D31" s="17"/>
      <c r="E31" s="17"/>
      <c r="F31" s="17"/>
      <c r="G31" s="17"/>
      <c r="H31" s="17"/>
      <c r="I31" s="17"/>
      <c r="J31" s="17"/>
      <c r="K31" s="17"/>
      <c r="L31" s="115"/>
      <c r="M31" s="17"/>
      <c r="N31" s="17"/>
      <c r="O31" s="17"/>
      <c r="P31" s="17"/>
      <c r="Q31" s="17"/>
      <c r="R31" s="17"/>
      <c r="S31" s="17"/>
      <c r="T31" s="17"/>
      <c r="U31" s="17"/>
    </row>
    <row r="32" spans="1:21" x14ac:dyDescent="0.25">
      <c r="A32" s="16"/>
      <c r="B32" s="114"/>
      <c r="C32" s="17"/>
      <c r="D32" s="17"/>
      <c r="E32" s="17"/>
      <c r="F32" s="17"/>
      <c r="G32" s="17"/>
      <c r="H32" s="17"/>
      <c r="I32" s="17"/>
      <c r="J32" s="17"/>
      <c r="K32" s="17"/>
      <c r="L32" s="115"/>
      <c r="M32" s="17"/>
      <c r="N32" s="17"/>
      <c r="O32" s="17"/>
      <c r="P32" s="17"/>
      <c r="Q32" s="17"/>
      <c r="R32" s="17"/>
      <c r="S32" s="17"/>
      <c r="T32" s="17"/>
      <c r="U32" s="17"/>
    </row>
    <row r="33" spans="1:21" x14ac:dyDescent="0.25">
      <c r="A33" s="16"/>
      <c r="B33" s="114"/>
      <c r="C33" s="17"/>
      <c r="D33" s="17"/>
      <c r="E33" s="17"/>
      <c r="F33" s="17"/>
      <c r="G33" s="17"/>
      <c r="H33" s="17"/>
      <c r="I33" s="17"/>
      <c r="J33" s="17"/>
      <c r="K33" s="17"/>
      <c r="L33" s="115"/>
      <c r="M33" s="17"/>
      <c r="N33" s="17"/>
      <c r="O33" s="17"/>
      <c r="P33" s="17"/>
      <c r="Q33" s="17"/>
      <c r="R33" s="17"/>
      <c r="S33" s="17"/>
      <c r="T33" s="17"/>
      <c r="U33" s="17"/>
    </row>
    <row r="34" spans="1:21" x14ac:dyDescent="0.25">
      <c r="A34" s="16"/>
      <c r="B34" s="114"/>
      <c r="C34" s="17"/>
      <c r="D34" s="17"/>
      <c r="E34" s="17"/>
      <c r="F34" s="17"/>
      <c r="G34" s="17"/>
      <c r="H34" s="17"/>
      <c r="I34" s="17"/>
      <c r="J34" s="17"/>
      <c r="K34" s="17"/>
      <c r="L34" s="115"/>
      <c r="M34" s="17"/>
      <c r="N34" s="17"/>
      <c r="O34" s="17"/>
      <c r="P34" s="17"/>
      <c r="Q34" s="17"/>
      <c r="R34" s="17"/>
      <c r="S34" s="17"/>
      <c r="T34" s="17"/>
      <c r="U34" s="17"/>
    </row>
    <row r="35" spans="1:21" x14ac:dyDescent="0.25">
      <c r="A35" s="16"/>
      <c r="B35" s="114"/>
      <c r="C35" s="17"/>
      <c r="D35" s="17"/>
      <c r="E35" s="17"/>
      <c r="F35" s="17"/>
      <c r="G35" s="17"/>
      <c r="H35" s="17"/>
      <c r="I35" s="17"/>
      <c r="J35" s="17"/>
      <c r="K35" s="17"/>
      <c r="L35" s="115"/>
      <c r="M35" s="17"/>
      <c r="N35" s="17"/>
      <c r="O35" s="17"/>
      <c r="P35" s="17"/>
      <c r="Q35" s="17"/>
      <c r="R35" s="17"/>
      <c r="S35" s="17"/>
      <c r="T35" s="17"/>
      <c r="U35" s="17"/>
    </row>
    <row r="36" spans="1:21" x14ac:dyDescent="0.25">
      <c r="A36" s="16"/>
      <c r="B36" s="114"/>
      <c r="C36" s="17"/>
      <c r="D36" s="17"/>
      <c r="E36" s="17"/>
      <c r="F36" s="17"/>
      <c r="G36" s="17"/>
      <c r="H36" s="17"/>
      <c r="I36" s="17"/>
      <c r="J36" s="17"/>
      <c r="K36" s="17"/>
      <c r="L36" s="115"/>
      <c r="M36" s="17"/>
      <c r="N36" s="17"/>
      <c r="O36" s="17"/>
      <c r="P36" s="17"/>
      <c r="Q36" s="17"/>
      <c r="R36" s="17"/>
      <c r="S36" s="17"/>
      <c r="T36" s="17"/>
      <c r="U36" s="17"/>
    </row>
    <row r="37" spans="1:21" x14ac:dyDescent="0.25">
      <c r="A37" s="16"/>
      <c r="B37" s="114"/>
      <c r="C37" s="17"/>
      <c r="D37" s="17"/>
      <c r="E37" s="17"/>
      <c r="F37" s="17"/>
      <c r="G37" s="17"/>
      <c r="H37" s="17"/>
      <c r="I37" s="17"/>
      <c r="J37" s="17"/>
      <c r="K37" s="17"/>
      <c r="L37" s="115"/>
      <c r="M37" s="17"/>
      <c r="N37" s="17"/>
      <c r="O37" s="17"/>
      <c r="P37" s="17"/>
      <c r="Q37" s="17"/>
      <c r="R37" s="17"/>
      <c r="S37" s="17"/>
      <c r="T37" s="17"/>
      <c r="U37" s="17"/>
    </row>
    <row r="38" spans="1:21" x14ac:dyDescent="0.25">
      <c r="A38" s="16"/>
      <c r="B38" s="114"/>
      <c r="C38" s="17"/>
      <c r="D38" s="17"/>
      <c r="E38" s="17"/>
      <c r="F38" s="17"/>
      <c r="G38" s="17"/>
      <c r="H38" s="17"/>
      <c r="I38" s="17"/>
      <c r="J38" s="17"/>
      <c r="K38" s="17"/>
      <c r="L38" s="115"/>
      <c r="M38" s="17"/>
      <c r="N38" s="17"/>
      <c r="O38" s="17"/>
      <c r="P38" s="17"/>
      <c r="Q38" s="17"/>
      <c r="R38" s="17"/>
      <c r="S38" s="17"/>
      <c r="T38" s="17"/>
      <c r="U38" s="17"/>
    </row>
    <row r="39" spans="1:21" x14ac:dyDescent="0.25">
      <c r="A39" s="16"/>
      <c r="B39" s="114"/>
      <c r="C39" s="17"/>
      <c r="D39" s="17"/>
      <c r="E39" s="17"/>
      <c r="F39" s="17"/>
      <c r="G39" s="17"/>
      <c r="H39" s="17"/>
      <c r="I39" s="17"/>
      <c r="J39" s="17"/>
      <c r="K39" s="17"/>
      <c r="L39" s="115"/>
      <c r="M39" s="17"/>
      <c r="N39" s="17"/>
      <c r="O39" s="17"/>
      <c r="P39" s="17"/>
      <c r="Q39" s="17"/>
      <c r="R39" s="17"/>
      <c r="S39" s="17"/>
      <c r="T39" s="17"/>
      <c r="U39" s="17"/>
    </row>
    <row r="40" spans="1:21" x14ac:dyDescent="0.25">
      <c r="A40" s="16"/>
      <c r="B40" s="114"/>
      <c r="C40" s="17"/>
      <c r="D40" s="17"/>
      <c r="E40" s="17"/>
      <c r="F40" s="17"/>
      <c r="G40" s="17"/>
      <c r="H40" s="17"/>
      <c r="I40" s="17"/>
      <c r="J40" s="17"/>
      <c r="K40" s="17"/>
      <c r="L40" s="115"/>
      <c r="M40" s="17"/>
      <c r="N40" s="17"/>
      <c r="O40" s="17"/>
      <c r="P40" s="17"/>
      <c r="Q40" s="17"/>
      <c r="R40" s="17"/>
      <c r="S40" s="17"/>
      <c r="T40" s="17"/>
      <c r="U40" s="17"/>
    </row>
    <row r="41" spans="1:21" x14ac:dyDescent="0.25">
      <c r="A41" s="16"/>
      <c r="B41" s="114"/>
      <c r="C41" s="17"/>
      <c r="D41" s="17"/>
      <c r="E41" s="17"/>
      <c r="F41" s="17"/>
      <c r="G41" s="17"/>
      <c r="H41" s="17"/>
      <c r="I41" s="17"/>
      <c r="J41" s="17"/>
      <c r="K41" s="17"/>
      <c r="L41" s="115"/>
      <c r="M41" s="17"/>
      <c r="N41" s="17"/>
      <c r="O41" s="17"/>
      <c r="P41" s="17"/>
      <c r="Q41" s="17"/>
      <c r="R41" s="17"/>
      <c r="S41" s="17"/>
      <c r="T41" s="17"/>
      <c r="U41" s="17"/>
    </row>
    <row r="42" spans="1:21" x14ac:dyDescent="0.25">
      <c r="A42" s="16"/>
      <c r="B42" s="114"/>
      <c r="C42" s="17"/>
      <c r="D42" s="17"/>
      <c r="E42" s="17"/>
      <c r="F42" s="17"/>
      <c r="G42" s="17"/>
      <c r="H42" s="17"/>
      <c r="I42" s="17"/>
      <c r="J42" s="17"/>
      <c r="K42" s="17"/>
      <c r="L42" s="115"/>
      <c r="M42" s="17"/>
      <c r="N42" s="17"/>
      <c r="O42" s="17"/>
      <c r="P42" s="17"/>
      <c r="Q42" s="17"/>
      <c r="R42" s="17"/>
      <c r="S42" s="17"/>
      <c r="T42" s="17"/>
      <c r="U42" s="17"/>
    </row>
    <row r="43" spans="1:21" x14ac:dyDescent="0.25">
      <c r="A43" s="16"/>
      <c r="B43" s="114"/>
      <c r="C43" s="17"/>
      <c r="D43" s="17"/>
      <c r="E43" s="17"/>
      <c r="F43" s="17"/>
      <c r="G43" s="17"/>
      <c r="H43" s="17"/>
      <c r="I43" s="17"/>
      <c r="J43" s="17"/>
      <c r="K43" s="17"/>
      <c r="L43" s="115"/>
      <c r="M43" s="17"/>
      <c r="N43" s="17"/>
      <c r="O43" s="17"/>
      <c r="P43" s="17"/>
      <c r="Q43" s="17"/>
      <c r="R43" s="17"/>
      <c r="S43" s="17"/>
      <c r="T43" s="17"/>
      <c r="U43" s="17"/>
    </row>
    <row r="44" spans="1:21" x14ac:dyDescent="0.25">
      <c r="A44" s="16"/>
      <c r="B44" s="114"/>
      <c r="C44" s="17"/>
      <c r="D44" s="17"/>
      <c r="E44" s="17"/>
      <c r="F44" s="17"/>
      <c r="G44" s="17"/>
      <c r="H44" s="17"/>
      <c r="I44" s="17"/>
      <c r="J44" s="17"/>
      <c r="K44" s="17"/>
      <c r="L44" s="115"/>
      <c r="M44" s="17"/>
      <c r="N44" s="17"/>
      <c r="O44" s="17"/>
      <c r="P44" s="17"/>
      <c r="Q44" s="17"/>
      <c r="R44" s="17"/>
      <c r="S44" s="17"/>
      <c r="T44" s="17"/>
      <c r="U44" s="17"/>
    </row>
    <row r="45" spans="1:21" x14ac:dyDescent="0.25">
      <c r="A45" s="16"/>
      <c r="B45" s="114"/>
      <c r="C45" s="17"/>
      <c r="D45" s="17"/>
      <c r="E45" s="17"/>
      <c r="F45" s="17"/>
      <c r="G45" s="17"/>
      <c r="H45" s="17"/>
      <c r="I45" s="17"/>
      <c r="J45" s="17"/>
      <c r="K45" s="17"/>
      <c r="L45" s="115"/>
      <c r="M45" s="17"/>
      <c r="N45" s="17"/>
      <c r="O45" s="17"/>
      <c r="P45" s="17"/>
      <c r="Q45" s="17"/>
      <c r="R45" s="17"/>
      <c r="S45" s="17"/>
      <c r="T45" s="17"/>
      <c r="U45" s="17"/>
    </row>
    <row r="46" spans="1:21" x14ac:dyDescent="0.25">
      <c r="A46" s="16"/>
      <c r="B46" s="114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</row>
    <row r="47" spans="1:21" x14ac:dyDescent="0.25">
      <c r="A47" s="16"/>
      <c r="B47" s="114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</row>
    <row r="48" spans="1:2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</row>
    <row r="49" spans="1:21" ht="15" customHeight="1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</row>
    <row r="50" spans="1:21" ht="15" customHeight="1" x14ac:dyDescent="0.25">
      <c r="A50" s="16"/>
      <c r="B50" s="114" t="s">
        <v>41</v>
      </c>
      <c r="L50" s="115"/>
      <c r="U50" s="16"/>
    </row>
    <row r="51" spans="1:21" x14ac:dyDescent="0.25">
      <c r="A51" s="16"/>
      <c r="B51" s="114"/>
      <c r="L51" s="115"/>
      <c r="U51" s="16"/>
    </row>
    <row r="52" spans="1:21" x14ac:dyDescent="0.25">
      <c r="A52" s="16"/>
      <c r="B52" s="114"/>
      <c r="L52" s="115"/>
      <c r="U52" s="16"/>
    </row>
    <row r="53" spans="1:21" x14ac:dyDescent="0.25">
      <c r="A53" s="16"/>
      <c r="B53" s="114"/>
      <c r="L53" s="115"/>
      <c r="U53" s="16"/>
    </row>
    <row r="54" spans="1:21" x14ac:dyDescent="0.25">
      <c r="A54" s="16"/>
      <c r="B54" s="114"/>
      <c r="L54" s="115"/>
      <c r="U54" s="16"/>
    </row>
    <row r="55" spans="1:21" x14ac:dyDescent="0.25">
      <c r="A55" s="16"/>
      <c r="B55" s="114"/>
      <c r="L55" s="115"/>
      <c r="U55" s="16"/>
    </row>
    <row r="56" spans="1:21" x14ac:dyDescent="0.25">
      <c r="A56" s="16"/>
      <c r="B56" s="114"/>
      <c r="L56" s="115"/>
      <c r="U56" s="16"/>
    </row>
    <row r="57" spans="1:21" x14ac:dyDescent="0.25">
      <c r="A57" s="16"/>
      <c r="B57" s="114"/>
      <c r="L57" s="115"/>
      <c r="U57" s="16"/>
    </row>
    <row r="58" spans="1:21" x14ac:dyDescent="0.25">
      <c r="A58" s="16"/>
      <c r="B58" s="114"/>
      <c r="L58" s="115"/>
      <c r="U58" s="16"/>
    </row>
    <row r="59" spans="1:21" x14ac:dyDescent="0.25">
      <c r="A59" s="16"/>
      <c r="B59" s="114"/>
      <c r="L59" s="115"/>
      <c r="U59" s="16"/>
    </row>
    <row r="60" spans="1:21" x14ac:dyDescent="0.25">
      <c r="A60" s="16"/>
      <c r="B60" s="114"/>
      <c r="L60" s="115"/>
      <c r="U60" s="16"/>
    </row>
    <row r="61" spans="1:21" x14ac:dyDescent="0.25">
      <c r="A61" s="16"/>
      <c r="B61" s="114"/>
      <c r="L61" s="115"/>
      <c r="U61" s="16"/>
    </row>
    <row r="62" spans="1:21" x14ac:dyDescent="0.25">
      <c r="A62" s="16"/>
      <c r="B62" s="114"/>
      <c r="L62" s="115"/>
      <c r="U62" s="16"/>
    </row>
    <row r="63" spans="1:21" x14ac:dyDescent="0.25">
      <c r="A63" s="16"/>
      <c r="B63" s="114"/>
      <c r="L63" s="115"/>
      <c r="U63" s="16"/>
    </row>
    <row r="64" spans="1:21" x14ac:dyDescent="0.25">
      <c r="A64" s="16"/>
      <c r="B64" s="114"/>
      <c r="L64" s="115"/>
      <c r="U64" s="16"/>
    </row>
    <row r="65" spans="1:21" x14ac:dyDescent="0.25">
      <c r="A65" s="16"/>
      <c r="B65" s="114"/>
      <c r="L65" s="115"/>
      <c r="U65" s="16"/>
    </row>
    <row r="66" spans="1:21" x14ac:dyDescent="0.25">
      <c r="A66" s="16"/>
      <c r="B66" s="114"/>
      <c r="L66" s="115"/>
      <c r="U66" s="16"/>
    </row>
    <row r="67" spans="1:21" x14ac:dyDescent="0.25">
      <c r="A67" s="16"/>
      <c r="B67" s="114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</row>
    <row r="68" spans="1:21" x14ac:dyDescent="0.25">
      <c r="A68" s="16"/>
      <c r="B68" s="114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</row>
    <row r="69" spans="1:21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</row>
    <row r="70" spans="1:21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</row>
    <row r="71" spans="1:21" ht="15" customHeight="1" x14ac:dyDescent="0.25">
      <c r="A71" s="16"/>
      <c r="B71" s="114" t="s">
        <v>42</v>
      </c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</row>
    <row r="72" spans="1:21" x14ac:dyDescent="0.25">
      <c r="A72" s="16"/>
      <c r="B72" s="114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</row>
    <row r="73" spans="1:21" x14ac:dyDescent="0.25">
      <c r="A73" s="16"/>
      <c r="B73" s="114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</row>
    <row r="74" spans="1:21" x14ac:dyDescent="0.25">
      <c r="A74" s="16"/>
      <c r="B74" s="114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</row>
    <row r="75" spans="1:21" x14ac:dyDescent="0.25">
      <c r="A75" s="16"/>
      <c r="B75" s="114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</row>
    <row r="76" spans="1:21" x14ac:dyDescent="0.25">
      <c r="A76" s="16"/>
      <c r="B76" s="114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</row>
    <row r="77" spans="1:21" x14ac:dyDescent="0.25">
      <c r="A77" s="16"/>
      <c r="B77" s="114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</row>
    <row r="78" spans="1:21" x14ac:dyDescent="0.25">
      <c r="A78" s="16"/>
      <c r="B78" s="114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</row>
    <row r="79" spans="1:21" x14ac:dyDescent="0.25">
      <c r="A79" s="16"/>
      <c r="B79" s="114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</row>
    <row r="80" spans="1:21" x14ac:dyDescent="0.25">
      <c r="A80" s="16"/>
      <c r="B80" s="114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</row>
    <row r="81" spans="1:21" x14ac:dyDescent="0.25">
      <c r="A81" s="16"/>
      <c r="B81" s="114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</row>
    <row r="82" spans="1:21" x14ac:dyDescent="0.25">
      <c r="A82" s="16"/>
      <c r="B82" s="114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</row>
    <row r="83" spans="1:21" x14ac:dyDescent="0.25">
      <c r="A83" s="16"/>
      <c r="B83" s="114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</row>
    <row r="84" spans="1:21" x14ac:dyDescent="0.25">
      <c r="A84" s="16"/>
      <c r="B84" s="114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</row>
    <row r="85" spans="1:21" x14ac:dyDescent="0.25">
      <c r="A85" s="16"/>
      <c r="B85" s="114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</row>
    <row r="86" spans="1:21" x14ac:dyDescent="0.25">
      <c r="A86" s="16"/>
      <c r="B86" s="114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</row>
    <row r="87" spans="1:21" x14ac:dyDescent="0.25">
      <c r="A87" s="16"/>
      <c r="B87" s="114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</row>
    <row r="88" spans="1:21" x14ac:dyDescent="0.25">
      <c r="A88" s="16"/>
      <c r="B88" s="114"/>
      <c r="U88" s="16"/>
    </row>
    <row r="89" spans="1:21" x14ac:dyDescent="0.25">
      <c r="A89" s="16"/>
      <c r="B89" s="114"/>
      <c r="U89" s="16"/>
    </row>
    <row r="90" spans="1:21" x14ac:dyDescent="0.25">
      <c r="A90" s="16"/>
      <c r="B90" s="114"/>
    </row>
    <row r="91" spans="1:21" x14ac:dyDescent="0.25">
      <c r="A91" s="16"/>
      <c r="B91" s="114"/>
    </row>
  </sheetData>
  <mergeCells count="10">
    <mergeCell ref="M2:T3"/>
    <mergeCell ref="M4:T5"/>
    <mergeCell ref="D2:K3"/>
    <mergeCell ref="D4:K5"/>
    <mergeCell ref="B71:B91"/>
    <mergeCell ref="L29:L45"/>
    <mergeCell ref="L50:L66"/>
    <mergeCell ref="B8:B26"/>
    <mergeCell ref="B29:B47"/>
    <mergeCell ref="B50:B68"/>
  </mergeCells>
  <printOptions horizontalCentered="1" verticalCentered="1"/>
  <pageMargins left="0" right="0" top="0" bottom="0" header="0" footer="0"/>
  <pageSetup scale="45" orientation="landscape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RCP26</vt:lpstr>
      <vt:lpstr>RCP45</vt:lpstr>
      <vt:lpstr>RCP60</vt:lpstr>
      <vt:lpstr>RCP85</vt:lpstr>
      <vt:lpstr>R0</vt:lpstr>
      <vt:lpstr>R1</vt:lpstr>
      <vt:lpstr>R2</vt:lpstr>
      <vt:lpstr>R3</vt:lpstr>
      <vt:lpstr>R4</vt:lpstr>
      <vt:lpstr>R5</vt:lpstr>
      <vt:lpstr>R6</vt:lpstr>
      <vt:lpstr>R7</vt:lpstr>
      <vt:lpstr>R8</vt:lpstr>
      <vt:lpstr>R9</vt:lpstr>
      <vt:lpstr>Figure 1</vt:lpstr>
      <vt:lpstr>Figure 2</vt:lpstr>
      <vt:lpstr>Figure 3</vt:lpstr>
      <vt:lpstr>Figure S1</vt:lpstr>
      <vt:lpstr>Figure S2</vt:lpstr>
      <vt:lpstr>Figure S3</vt:lpstr>
      <vt:lpstr>Figure (3a)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Soheil Shayegh</dc:creator>
  <cp:lastModifiedBy>Soheil Shayegh</cp:lastModifiedBy>
  <cp:lastPrinted>2019-05-21T14:27:55Z</cp:lastPrinted>
  <dcterms:created xsi:type="dcterms:W3CDTF">2016-04-13T18:33:45Z</dcterms:created>
  <dcterms:modified xsi:type="dcterms:W3CDTF">2019-05-21T14:58:32Z</dcterms:modified>
</cp:coreProperties>
</file>